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nstaat" sheetId="1" state="visible" r:id="rId1"/>
  </sheets>
  <definedNames>
    <definedName name="_xlnm.Print_Area" localSheetId="0">'Urenstaat'!$A$1:$J$35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"/>
  </numFmts>
  <fonts count="14">
    <font>
      <name val="Calibri"/>
      <family val="2"/>
      <color theme="1"/>
      <sz val="11"/>
      <scheme val="minor"/>
    </font>
    <font>
      <name val="Arial"/>
      <b val="1"/>
      <color rgb="006B6B70"/>
      <sz val="8"/>
    </font>
    <font>
      <name val="Arial"/>
      <color rgb="009A9AA0"/>
      <sz val="8"/>
    </font>
    <font>
      <name val="Arial"/>
      <b val="1"/>
      <color rgb="001C1C1E"/>
      <sz val="22"/>
    </font>
    <font>
      <name val="Arial"/>
      <b val="1"/>
      <color rgb="006B6B70"/>
      <sz val="7"/>
    </font>
    <font>
      <name val="Arial"/>
      <b val="1"/>
      <color rgb="001C1C1E"/>
      <sz val="15"/>
    </font>
    <font>
      <name val="Arial"/>
      <color rgb="006B6B70"/>
      <sz val="7"/>
    </font>
    <font>
      <name val="Arial"/>
      <color rgb="006B6B70"/>
      <sz val="9"/>
    </font>
    <font>
      <name val="Arial"/>
      <b val="1"/>
      <color rgb="001B52C4"/>
      <sz val="9"/>
    </font>
    <font>
      <name val="Arial"/>
      <b val="1"/>
      <color rgb="001C1C1E"/>
      <sz val="9"/>
    </font>
    <font>
      <name val="Arial"/>
      <color rgb="001C1C1E"/>
      <sz val="9"/>
    </font>
    <font>
      <name val="Arial"/>
      <b val="1"/>
      <sz val="10"/>
    </font>
    <font>
      <name val="Arial"/>
      <color rgb="009A9AA0"/>
      <sz val="7"/>
    </font>
    <font>
      <name val="Arial"/>
      <b val="1"/>
      <color rgb="001C1C1E"/>
      <sz val="10"/>
    </font>
  </fonts>
  <fills count="3">
    <fill>
      <patternFill/>
    </fill>
    <fill>
      <patternFill patternType="gray125"/>
    </fill>
    <fill>
      <patternFill patternType="solid">
        <fgColor rgb="00FAFAFA"/>
      </patternFill>
    </fill>
  </fills>
  <borders count="13">
    <border>
      <left/>
      <right/>
      <top/>
      <bottom/>
      <diagonal/>
    </border>
    <border>
      <bottom style="thin">
        <color rgb="00D9D9DB"/>
      </bottom>
    </border>
    <border>
      <left style="thin">
        <color rgb="001C1C1E"/>
      </left>
      <top style="thin">
        <color rgb="001C1C1E"/>
      </top>
    </border>
    <border>
      <top style="thin">
        <color rgb="001C1C1E"/>
      </top>
    </border>
    <border>
      <right style="thin">
        <color rgb="001C1C1E"/>
      </right>
      <top style="thin">
        <color rgb="001C1C1E"/>
      </top>
    </border>
    <border>
      <left style="thin">
        <color rgb="001C1C1E"/>
      </left>
    </border>
    <border/>
    <border>
      <right style="thin">
        <color rgb="001C1C1E"/>
      </right>
    </border>
    <border>
      <left style="thin">
        <color rgb="001C1C1E"/>
      </left>
      <bottom style="thin">
        <color rgb="001C1C1E"/>
      </bottom>
    </border>
    <border>
      <bottom style="thin">
        <color rgb="001C1C1E"/>
      </bottom>
    </border>
    <border>
      <right style="thin">
        <color rgb="001C1C1E"/>
      </right>
      <bottom style="thin">
        <color rgb="001C1C1E"/>
      </bottom>
    </border>
    <border>
      <left style="thin">
        <color rgb="00D9D9DB"/>
      </left>
      <bottom style="thin">
        <color rgb="00D9D9DB"/>
      </bottom>
    </border>
    <border>
      <bottom style="thin">
        <color rgb="00C8C8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bottom"/>
    </xf>
    <xf numFmtId="0" fontId="4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center" vertical="center" wrapText="1"/>
    </xf>
    <xf numFmtId="165" fontId="8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165" fontId="8" fillId="2" borderId="11" applyAlignment="1" pivotButton="0" quotePrefix="0" xfId="0">
      <alignment horizontal="left" vertical="center"/>
    </xf>
    <xf numFmtId="0" fontId="10" fillId="2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0" fillId="0" borderId="12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292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8" customWidth="1" min="7" max="7"/>
    <col width="18" customWidth="1" min="8" max="8"/>
    <col width="14" customWidth="1" min="9" max="9"/>
    <col width="14" customWidth="1" min="10" max="10"/>
  </cols>
  <sheetData>
    <row r="1" ht="18" customHeight="1">
      <c r="H1" s="1" t="inlineStr">
        <is>
          <t>URENSTAAT</t>
        </is>
      </c>
    </row>
    <row r="2" ht="18" customHeight="1">
      <c r="H2" s="2" t="inlineStr">
        <is>
          <t>FO-Q4S-18 rev. 2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14" customHeight="1">
      <c r="A5" s="4" t="inlineStr">
        <is>
          <t>Urenstaat</t>
        </is>
      </c>
      <c r="G5" s="5" t="inlineStr">
        <is>
          <t>ONDERTEKEND INSTUREN NAAR</t>
        </is>
      </c>
      <c r="H5" s="6" t="n"/>
      <c r="I5" s="6" t="n"/>
      <c r="J5" s="7" t="n"/>
    </row>
    <row r="6" ht="22" customHeight="1">
      <c r="G6" s="8" t="inlineStr">
        <is>
          <t>admin@q4s.nl</t>
        </is>
      </c>
      <c r="H6" s="9" t="n"/>
      <c r="I6" s="9" t="n"/>
      <c r="J6" s="10" t="n"/>
    </row>
    <row r="7" ht="13" customHeight="1">
      <c r="G7" s="11" t="inlineStr">
        <is>
          <t>Uiterlijk dinsdag 12:00 na afloop van de week</t>
        </is>
      </c>
      <c r="H7" s="12" t="n"/>
      <c r="I7" s="12" t="n"/>
      <c r="J7" s="13" t="n"/>
    </row>
    <row r="9" ht="20" customHeight="1">
      <c r="A9" s="14" t="inlineStr">
        <is>
          <t>Naam</t>
        </is>
      </c>
      <c r="B9" s="3" t="n"/>
      <c r="C9" s="15" t="n"/>
      <c r="D9" s="3" t="n"/>
      <c r="E9" s="3" t="n"/>
      <c r="G9" s="14" t="inlineStr">
        <is>
          <t>Maandag (datum)</t>
        </is>
      </c>
      <c r="H9" s="3" t="n"/>
      <c r="I9" s="16" t="n"/>
      <c r="J9" s="3" t="n"/>
    </row>
    <row r="10" ht="20" customHeight="1">
      <c r="A10" s="14" t="inlineStr">
        <is>
          <t>Klant</t>
        </is>
      </c>
      <c r="B10" s="3" t="n"/>
      <c r="C10" s="15" t="n"/>
      <c r="D10" s="3" t="n"/>
      <c r="E10" s="3" t="n"/>
      <c r="G10" s="14" t="inlineStr">
        <is>
          <t>Weeknummer</t>
        </is>
      </c>
      <c r="H10" s="3" t="n"/>
      <c r="I10" s="17">
        <f>IF(I9="","",_xlfn.ISOWEEKNUM(I9)&amp;" — "&amp;YEAR(I9+3))</f>
        <v/>
      </c>
      <c r="J10" s="3" t="n"/>
    </row>
    <row r="11" ht="20" customHeight="1">
      <c r="A11" s="14" t="inlineStr">
        <is>
          <t>Project / job nr.</t>
        </is>
      </c>
      <c r="B11" s="3" t="n"/>
      <c r="C11" s="15" t="n"/>
      <c r="D11" s="3" t="n"/>
      <c r="E11" s="3" t="n"/>
      <c r="G11" s="14" t="inlineStr">
        <is>
          <t>PO-nummer</t>
        </is>
      </c>
      <c r="H11" s="3" t="n"/>
      <c r="I11" s="15" t="n"/>
      <c r="J11" s="3" t="n"/>
    </row>
    <row r="13" ht="26" customHeight="1">
      <c r="A13" s="18" t="inlineStr">
        <is>
          <t>DAG</t>
        </is>
      </c>
      <c r="B13" s="18" t="inlineStr">
        <is>
          <t>DATUM</t>
        </is>
      </c>
      <c r="C13" s="19" t="inlineStr">
        <is>
          <t>NORMALE UREN</t>
        </is>
      </c>
      <c r="D13" s="19" t="inlineStr">
        <is>
          <t>REISTIJD</t>
        </is>
      </c>
      <c r="E13" s="19" t="inlineStr">
        <is>
          <t>KM VAN</t>
        </is>
      </c>
      <c r="F13" s="19" t="inlineStr">
        <is>
          <t>KM NAAR</t>
        </is>
      </c>
      <c r="G13" s="19" t="inlineStr">
        <is>
          <t>KM</t>
        </is>
      </c>
      <c r="H13" s="18" t="inlineStr">
        <is>
          <t>OMSCHRIJVING WERKZAAMHEDEN</t>
        </is>
      </c>
      <c r="I13" s="12" t="n"/>
      <c r="J13" s="12" t="n"/>
    </row>
    <row r="14" ht="36" customHeight="1">
      <c r="A14" s="17" t="inlineStr">
        <is>
          <t>Ma</t>
        </is>
      </c>
      <c r="B14" s="20">
        <f>IF($I$9="","",$I$9+0)</f>
        <v/>
      </c>
      <c r="C14" s="21" t="n"/>
      <c r="D14" s="21" t="n"/>
      <c r="E14" s="21" t="n"/>
      <c r="F14" s="21" t="n"/>
      <c r="G14" s="21">
        <f>IF(AND(ISNUMBER(E14),ISNUMBER(F14)),ABS(F14-E14),"")</f>
        <v/>
      </c>
      <c r="H14" s="22" t="n"/>
      <c r="I14" s="23" t="n"/>
      <c r="J14" s="23" t="n"/>
    </row>
    <row r="15" ht="36" customHeight="1">
      <c r="A15" s="17" t="inlineStr">
        <is>
          <t>Di</t>
        </is>
      </c>
      <c r="B15" s="20">
        <f>IF($I$9="","",$I$9+1)</f>
        <v/>
      </c>
      <c r="C15" s="21" t="n"/>
      <c r="D15" s="21" t="n"/>
      <c r="E15" s="21" t="n"/>
      <c r="F15" s="21" t="n"/>
      <c r="G15" s="21">
        <f>IF(AND(ISNUMBER(E15),ISNUMBER(F15)),ABS(F15-E15),"")</f>
        <v/>
      </c>
      <c r="H15" s="22" t="n"/>
      <c r="I15" s="23" t="n"/>
      <c r="J15" s="23" t="n"/>
    </row>
    <row r="16" ht="36" customHeight="1">
      <c r="A16" s="17" t="inlineStr">
        <is>
          <t>Wo</t>
        </is>
      </c>
      <c r="B16" s="20">
        <f>IF($I$9="","",$I$9+2)</f>
        <v/>
      </c>
      <c r="C16" s="21" t="n"/>
      <c r="D16" s="21" t="n"/>
      <c r="E16" s="21" t="n"/>
      <c r="F16" s="21" t="n"/>
      <c r="G16" s="21">
        <f>IF(AND(ISNUMBER(E16),ISNUMBER(F16)),ABS(F16-E16),"")</f>
        <v/>
      </c>
      <c r="H16" s="22" t="n"/>
      <c r="I16" s="23" t="n"/>
      <c r="J16" s="23" t="n"/>
    </row>
    <row r="17" ht="36" customHeight="1">
      <c r="A17" s="17" t="inlineStr">
        <is>
          <t>Do</t>
        </is>
      </c>
      <c r="B17" s="20">
        <f>IF($I$9="","",$I$9+3)</f>
        <v/>
      </c>
      <c r="C17" s="21" t="n"/>
      <c r="D17" s="21" t="n"/>
      <c r="E17" s="21" t="n"/>
      <c r="F17" s="21" t="n"/>
      <c r="G17" s="21">
        <f>IF(AND(ISNUMBER(E17),ISNUMBER(F17)),ABS(F17-E17),"")</f>
        <v/>
      </c>
      <c r="H17" s="22" t="n"/>
      <c r="I17" s="23" t="n"/>
      <c r="J17" s="23" t="n"/>
    </row>
    <row r="18" ht="36" customHeight="1">
      <c r="A18" s="17" t="inlineStr">
        <is>
          <t>Vr</t>
        </is>
      </c>
      <c r="B18" s="20">
        <f>IF($I$9="","",$I$9+4)</f>
        <v/>
      </c>
      <c r="C18" s="21" t="n"/>
      <c r="D18" s="21" t="n"/>
      <c r="E18" s="21" t="n"/>
      <c r="F18" s="21" t="n"/>
      <c r="G18" s="21">
        <f>IF(AND(ISNUMBER(E18),ISNUMBER(F18)),ABS(F18-E18),"")</f>
        <v/>
      </c>
      <c r="H18" s="22" t="n"/>
      <c r="I18" s="23" t="n"/>
      <c r="J18" s="23" t="n"/>
    </row>
    <row r="19" ht="36" customHeight="1">
      <c r="A19" s="24" t="inlineStr">
        <is>
          <t>Za</t>
        </is>
      </c>
      <c r="B19" s="25">
        <f>IF($I$9="","",$I$9+5)</f>
        <v/>
      </c>
      <c r="C19" s="26" t="n"/>
      <c r="D19" s="26" t="n"/>
      <c r="E19" s="26" t="n"/>
      <c r="F19" s="26" t="n"/>
      <c r="G19" s="26">
        <f>IF(AND(ISNUMBER(E19),ISNUMBER(F19)),ABS(F19-E19),"")</f>
        <v/>
      </c>
      <c r="H19" s="27" t="n"/>
      <c r="I19" s="28" t="n"/>
      <c r="J19" s="28" t="n"/>
    </row>
    <row r="20" ht="36" customHeight="1">
      <c r="A20" s="24" t="inlineStr">
        <is>
          <t>Zo</t>
        </is>
      </c>
      <c r="B20" s="25">
        <f>IF($I$9="","",$I$9+6)</f>
        <v/>
      </c>
      <c r="C20" s="26" t="n"/>
      <c r="D20" s="26" t="n"/>
      <c r="E20" s="26" t="n"/>
      <c r="F20" s="26" t="n"/>
      <c r="G20" s="26">
        <f>IF(AND(ISNUMBER(E20),ISNUMBER(F20)),ABS(F20-E20),"")</f>
        <v/>
      </c>
      <c r="H20" s="27" t="n"/>
      <c r="I20" s="28" t="n"/>
      <c r="J20" s="28" t="n"/>
    </row>
    <row r="21" ht="24" customHeight="1">
      <c r="A21" s="29" t="inlineStr">
        <is>
          <t>Totaal</t>
        </is>
      </c>
      <c r="B21" s="6" t="n"/>
      <c r="C21" s="30">
        <f>SUM(C14:C20)</f>
        <v/>
      </c>
      <c r="D21" s="30">
        <f>SUM(D14:D20)</f>
        <v/>
      </c>
      <c r="E21" s="6" t="n"/>
      <c r="F21" s="6" t="n"/>
      <c r="G21" s="30">
        <f>SUM(G14:G20)</f>
        <v/>
      </c>
      <c r="H21" s="31" t="inlineStr">
        <is>
          <t>Overuren, toeslagen en dagtarieven rekent Q4S uit op basis van de uren per dag.</t>
        </is>
      </c>
      <c r="I21" s="6" t="n"/>
      <c r="J21" s="6" t="n"/>
    </row>
    <row r="23">
      <c r="A23" s="32" t="inlineStr">
        <is>
          <t>Opmerkingen / onkosten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8">
      <c r="A28" s="33" t="inlineStr">
        <is>
          <t>Medewerker / ZZP'er</t>
        </is>
      </c>
      <c r="B28" s="6" t="n"/>
      <c r="C28" s="6" t="n"/>
      <c r="D28" s="6" t="n"/>
      <c r="F28" s="33" t="inlineStr">
        <is>
          <t>Akkoord klant</t>
        </is>
      </c>
      <c r="G28" s="6" t="n"/>
      <c r="H28" s="6" t="n"/>
      <c r="I28" s="6" t="n"/>
      <c r="J28" s="6" t="n"/>
    </row>
    <row r="29" ht="20" customHeight="1">
      <c r="A29" s="14" t="inlineStr">
        <is>
          <t>Naam</t>
        </is>
      </c>
      <c r="B29" s="3" t="n"/>
      <c r="C29" s="3" t="n"/>
      <c r="D29" s="3" t="n"/>
      <c r="F29" s="14" t="inlineStr">
        <is>
          <t>Naam</t>
        </is>
      </c>
      <c r="G29" s="3" t="n"/>
      <c r="H29" s="3" t="n"/>
      <c r="I29" s="3" t="n"/>
      <c r="J29" s="3" t="n"/>
    </row>
    <row r="30" ht="20" customHeight="1">
      <c r="A30" s="14" t="inlineStr">
        <is>
          <t>Datum</t>
        </is>
      </c>
      <c r="B30" s="3" t="n"/>
      <c r="C30" s="3" t="n"/>
      <c r="D30" s="3" t="n"/>
      <c r="F30" s="14" t="inlineStr">
        <is>
          <t>Functie</t>
        </is>
      </c>
      <c r="G30" s="3" t="n"/>
      <c r="H30" s="3" t="n"/>
      <c r="I30" s="3" t="n"/>
      <c r="J30" s="3" t="n"/>
    </row>
    <row r="31" ht="20" customHeight="1">
      <c r="A31" s="14" t="inlineStr">
        <is>
          <t>Handtekening</t>
        </is>
      </c>
      <c r="B31" s="3" t="n"/>
      <c r="C31" s="3" t="n"/>
      <c r="D31" s="3" t="n"/>
      <c r="F31" s="14" t="inlineStr">
        <is>
          <t>Datum</t>
        </is>
      </c>
      <c r="G31" s="3" t="n"/>
      <c r="H31" s="3" t="n"/>
      <c r="I31" s="3" t="n"/>
      <c r="J31" s="3" t="n"/>
    </row>
    <row r="32" ht="20" customHeight="1">
      <c r="A32" s="34" t="n"/>
      <c r="B32" s="34" t="n"/>
      <c r="C32" s="34" t="n"/>
      <c r="D32" s="34" t="n"/>
      <c r="F32" s="14" t="inlineStr">
        <is>
          <t>Handtekening</t>
        </is>
      </c>
      <c r="G32" s="3" t="n"/>
      <c r="H32" s="3" t="n"/>
      <c r="I32" s="3" t="n"/>
      <c r="J32" s="3" t="n"/>
    </row>
    <row r="33" ht="44" customHeight="1">
      <c r="F33" s="34" t="n"/>
      <c r="G33" s="34" t="n"/>
      <c r="H33" s="34" t="n"/>
      <c r="I33" s="34" t="n"/>
      <c r="J33" s="34" t="n"/>
    </row>
    <row r="35" ht="22" customHeight="1">
      <c r="A35" s="35" t="inlineStr">
        <is>
          <t>Alleen een door de klant ondertekende urenstaat wordt verwerkt. Eén urenstaat per week, als PDF of duidelijke foto naar admin@q4s.nl.</t>
        </is>
      </c>
    </row>
  </sheetData>
  <mergeCells count="28">
    <mergeCell ref="G11:H11"/>
    <mergeCell ref="C9:E9"/>
    <mergeCell ref="I11:J11"/>
    <mergeCell ref="A35:J35"/>
    <mergeCell ref="H2:J2"/>
    <mergeCell ref="A5:D7"/>
    <mergeCell ref="H17:J17"/>
    <mergeCell ref="H16:J16"/>
    <mergeCell ref="C11:E11"/>
    <mergeCell ref="G10:H10"/>
    <mergeCell ref="H13:J13"/>
    <mergeCell ref="H19:J19"/>
    <mergeCell ref="A24:J24"/>
    <mergeCell ref="H15:J15"/>
    <mergeCell ref="H18:J18"/>
    <mergeCell ref="H14:J14"/>
    <mergeCell ref="G7:J7"/>
    <mergeCell ref="A25:J25"/>
    <mergeCell ref="H20:J20"/>
    <mergeCell ref="H1:J1"/>
    <mergeCell ref="G6:J6"/>
    <mergeCell ref="I10:J10"/>
    <mergeCell ref="A26:J26"/>
    <mergeCell ref="G9:H9"/>
    <mergeCell ref="G5:J5"/>
    <mergeCell ref="I9:J9"/>
    <mergeCell ref="H21:J21"/>
    <mergeCell ref="C10:E10"/>
  </mergeCells>
  <dataValidations count="1">
    <dataValidation sqref="I9" showDropDown="0" showInputMessage="1" showErrorMessage="0" allowBlank="1" promptTitle="Maandag (datum)" prompt="Vul de datum van maandag in — de overige datums en het weeknummer volgen vanzelf." type="date" operator="greaterThan">
      <formula1>DATE(2020,1,1)</formula1>
    </dataValidation>
  </dataValidations>
  <printOptions horizontalCentered="1"/>
  <pageMargins left="0.5" right="0.5" top="0.5" bottom="0.6" header="0.5" footer="0.5"/>
  <pageSetup orientation="portrait" paperSize="9" fitToHeight="1" fitToWidth="1"/>
  <headerFooter>
    <oddHeader/>
    <oddFooter>&amp;L&amp;7 &amp;K8A8A90Q4S B.V., Arnhemseweg 12, 2994LA Barendrecht, the Netherlands · www.q4s.nl · info@q4s.nl · Tel: +31 6 85 782 6818 · KvK: 69073287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2026-10-02T07:35:07Z</dcterms:created>
  <dcterms:modified xmlns:dcterms="http://purl.org/dc/terms/" xmlns:xsi="http://www.w3.org/2001/XMLSchema-instance" xsi:type="dcterms:W3CDTF">2026-10-02T07:35:07Z</dcterms:modified>
</cp:coreProperties>
</file>