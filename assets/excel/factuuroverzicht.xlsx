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Facturen" sheetId="2" state="visible" r:id="rId2"/>
    <sheet name="Kosten" sheetId="3" state="visible" r:id="rId3"/>
    <sheet name="Lijsten" sheetId="4" state="hidden" r:id="rId4"/>
  </sheets>
  <definedNames>
    <definedName name="_xlnm.Print_Titles" localSheetId="1">'Facturen'!$4:$5</definedName>
    <definedName name="_xlnm.Print_Titles" localSheetId="2">'Kosten'!$4:$5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-yyyy"/>
    <numFmt numFmtId="165" formatCode="€ #,##0.00;[Red]-€ #,##0.00;&quot;–&quot;"/>
    <numFmt numFmtId="166" formatCode="€ #,##0;[Red]-€ #,##0;&quot;€ 0&quot;"/>
  </numFmts>
  <fonts count="22">
    <font>
      <name val="Calibri"/>
      <family val="2"/>
      <color theme="1"/>
      <sz val="11"/>
      <scheme val="minor"/>
    </font>
    <font>
      <name val="Calibri"/>
      <b val="1"/>
      <color rgb="001C1C1E"/>
      <sz val="18"/>
    </font>
    <font>
      <name val="Calibri"/>
      <color rgb="006B6B70"/>
      <sz val="10"/>
    </font>
    <font>
      <name val="Calibri"/>
      <b val="1"/>
      <color rgb="00FFFFFF"/>
      <sz val="9"/>
    </font>
    <font>
      <name val="Calibri"/>
      <b val="1"/>
      <color rgb="001C1C1E"/>
      <sz val="10"/>
    </font>
    <font>
      <name val="Calibri"/>
      <color rgb="001C1C1E"/>
      <sz val="10"/>
    </font>
    <font>
      <name val="Calibri"/>
      <color rgb="0045454B"/>
      <sz val="10"/>
    </font>
    <font>
      <name val="Calibri"/>
      <b val="1"/>
      <color rgb="001C1C1E"/>
      <sz val="22"/>
    </font>
    <font>
      <name val="Calibri"/>
      <b val="1"/>
      <color rgb="006B6B70"/>
      <sz val="10"/>
    </font>
    <font>
      <name val="Calibri"/>
      <b val="1"/>
      <color rgb="00FFFFFF"/>
      <sz val="14"/>
    </font>
    <font>
      <name val="Calibri"/>
      <i val="1"/>
      <color rgb="006B6B70"/>
      <sz val="8"/>
    </font>
    <font>
      <name val="Calibri"/>
      <b val="1"/>
      <color rgb="006B6B70"/>
      <sz val="8"/>
    </font>
    <font>
      <name val="Calibri"/>
      <b val="1"/>
      <color rgb="001C1C1E"/>
      <sz val="16"/>
    </font>
    <font>
      <name val="Calibri"/>
      <b val="1"/>
      <color rgb="0016A34A"/>
      <sz val="16"/>
    </font>
    <font>
      <name val="Calibri"/>
      <b val="1"/>
      <color rgb="001C1C1E"/>
      <sz val="13"/>
    </font>
    <font>
      <name val="Calibri"/>
      <b val="1"/>
      <color rgb="00FFFFFF"/>
      <sz val="10"/>
    </font>
    <font>
      <name val="Calibri"/>
      <color rgb="001C1C1E"/>
      <sz val="11"/>
    </font>
    <font>
      <name val="Calibri"/>
      <b val="1"/>
      <color rgb="001C1C1E"/>
      <sz val="11"/>
    </font>
    <font>
      <name val="Calibri"/>
      <color rgb="006B6B70"/>
      <sz val="9"/>
    </font>
    <font>
      <name val="Calibri"/>
      <i val="1"/>
      <color rgb="006B6B70"/>
      <sz val="10"/>
    </font>
    <font>
      <name val="Calibri"/>
      <b val="1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45454B"/>
      </patternFill>
    </fill>
    <fill>
      <patternFill patternType="solid">
        <fgColor rgb="003F3F46"/>
      </patternFill>
    </fill>
    <fill>
      <patternFill patternType="solid">
        <fgColor rgb="001C1C1E"/>
      </patternFill>
    </fill>
    <fill>
      <patternFill patternType="solid">
        <fgColor rgb="0016A34A"/>
      </patternFill>
    </fill>
    <fill>
      <patternFill patternType="solid">
        <fgColor rgb="00F4F4F5"/>
      </patternFill>
    </fill>
    <fill>
      <patternFill patternType="solid">
        <fgColor rgb="00FAFAFA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8">
    <border>
      <left/>
      <right/>
      <top/>
      <bottom/>
      <diagonal/>
    </border>
    <border>
      <bottom style="medium">
        <color rgb="001C1C1E"/>
      </bottom>
    </border>
    <border>
      <bottom style="thin">
        <color rgb="00D9D9DB"/>
      </bottom>
    </border>
    <border>
      <left style="thick">
        <color rgb="00FFFFFF"/>
      </left>
      <right style="thick">
        <color rgb="00FFFFFF"/>
      </right>
    </border>
    <border>
      <left style="thick">
        <color rgb="00FFFFFF"/>
      </left>
      <right style="thick">
        <color rgb="00FFFFFF"/>
      </right>
      <bottom style="thick">
        <color rgb="001C1C1E"/>
      </bottom>
    </border>
    <border>
      <left style="thick">
        <color rgb="00FFFFFF"/>
      </left>
      <right style="thick">
        <color rgb="00FFFFFF"/>
      </right>
      <bottom style="thick">
        <color rgb="0016A34A"/>
      </bottom>
    </border>
    <border>
      <top style="medium">
        <color rgb="001C1C1E"/>
      </top>
    </border>
    <border>
      <bottom style="thin">
        <color rgb="00FFFFF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1" pivotButton="0" quotePrefix="0" xfId="0"/>
    <xf numFmtId="0" fontId="11" fillId="6" borderId="3" applyAlignment="1" pivotButton="0" quotePrefix="0" xfId="0">
      <alignment horizontal="left" vertical="center" indent="1"/>
    </xf>
    <xf numFmtId="166" fontId="12" fillId="6" borderId="3" applyAlignment="1" pivotButton="0" quotePrefix="0" xfId="0">
      <alignment horizontal="left" vertical="center" indent="1"/>
    </xf>
    <xf numFmtId="166" fontId="13" fillId="6" borderId="3" applyAlignment="1" pivotButton="0" quotePrefix="0" xfId="0">
      <alignment horizontal="left" vertical="center" indent="1"/>
    </xf>
    <xf numFmtId="0" fontId="0" fillId="6" borderId="4" applyAlignment="1" pivotButton="0" quotePrefix="0" xfId="0">
      <alignment horizontal="left" vertical="center" indent="1"/>
    </xf>
    <xf numFmtId="0" fontId="0" fillId="6" borderId="5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right" vertical="center"/>
    </xf>
    <xf numFmtId="0" fontId="16" fillId="0" borderId="2" pivotButton="0" quotePrefix="0" xfId="0"/>
    <xf numFmtId="165" fontId="16" fillId="0" borderId="2" applyAlignment="1" pivotButton="0" quotePrefix="0" xfId="0">
      <alignment horizontal="right"/>
    </xf>
    <xf numFmtId="0" fontId="17" fillId="6" borderId="6" pivotButton="0" quotePrefix="0" xfId="0"/>
    <xf numFmtId="165" fontId="17" fillId="6" borderId="6" applyAlignment="1" pivotButton="0" quotePrefix="0" xfId="0">
      <alignment horizontal="right"/>
    </xf>
    <xf numFmtId="0" fontId="18" fillId="0" borderId="0" pivotButton="0" quotePrefix="0" xfId="0"/>
    <xf numFmtId="0" fontId="16" fillId="8" borderId="7" applyAlignment="1" pivotButton="0" quotePrefix="0" xfId="0">
      <alignment vertical="center" indent="1"/>
    </xf>
    <xf numFmtId="0" fontId="0" fillId="0" borderId="7" pivotButton="0" quotePrefix="0" xfId="0"/>
    <xf numFmtId="0" fontId="0" fillId="8" borderId="7" pivotButton="0" quotePrefix="0" xfId="0"/>
    <xf numFmtId="0" fontId="2" fillId="8" borderId="7" applyAlignment="1" pivotButton="0" quotePrefix="0" xfId="0">
      <alignment horizontal="right" vertical="center"/>
    </xf>
    <xf numFmtId="165" fontId="17" fillId="8" borderId="7" applyAlignment="1" pivotButton="0" quotePrefix="0" xfId="0">
      <alignment vertical="center"/>
    </xf>
    <xf numFmtId="0" fontId="16" fillId="9" borderId="7" applyAlignment="1" pivotButton="0" quotePrefix="0" xfId="0">
      <alignment vertical="center" indent="1"/>
    </xf>
    <xf numFmtId="0" fontId="0" fillId="9" borderId="7" pivotButton="0" quotePrefix="0" xfId="0"/>
    <xf numFmtId="0" fontId="2" fillId="9" borderId="7" applyAlignment="1" pivotButton="0" quotePrefix="0" xfId="0">
      <alignment horizontal="right" vertical="center"/>
    </xf>
    <xf numFmtId="165" fontId="17" fillId="9" borderId="7" applyAlignment="1" pivotButton="0" quotePrefix="0" xfId="0">
      <alignment vertical="center"/>
    </xf>
    <xf numFmtId="0" fontId="16" fillId="10" borderId="7" applyAlignment="1" pivotButton="0" quotePrefix="0" xfId="0">
      <alignment vertical="center" indent="1"/>
    </xf>
    <xf numFmtId="0" fontId="0" fillId="10" borderId="7" pivotButton="0" quotePrefix="0" xfId="0"/>
    <xf numFmtId="0" fontId="2" fillId="10" borderId="7" applyAlignment="1" pivotButton="0" quotePrefix="0" xfId="0">
      <alignment horizontal="right" vertical="center"/>
    </xf>
    <xf numFmtId="165" fontId="17" fillId="10" borderId="7" applyAlignment="1" pivotButton="0" quotePrefix="0" xfId="0">
      <alignment vertical="center"/>
    </xf>
    <xf numFmtId="0" fontId="6" fillId="0" borderId="0" pivotButton="0" quotePrefix="0" xfId="0"/>
    <xf numFmtId="0" fontId="19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0" applyAlignment="1" pivotButton="0" quotePrefix="0" xfId="0">
      <alignment vertical="center" wrapText="1"/>
    </xf>
    <xf numFmtId="164" fontId="5" fillId="0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9" fontId="5" fillId="0" borderId="2" applyAlignment="1" pivotButton="0" quotePrefix="0" xfId="0">
      <alignment vertical="center"/>
    </xf>
    <xf numFmtId="165" fontId="6" fillId="7" borderId="2" applyAlignment="1" pivotButton="0" quotePrefix="0" xfId="0">
      <alignment vertical="center"/>
    </xf>
    <xf numFmtId="165" fontId="4" fillId="7" borderId="2" applyAlignment="1" pivotButton="0" quotePrefix="0" xfId="0">
      <alignment vertical="center"/>
    </xf>
    <xf numFmtId="0" fontId="3" fillId="4" borderId="0" applyAlignment="1" pivotButton="0" quotePrefix="0" xfId="0">
      <alignment horizontal="center"/>
    </xf>
    <xf numFmtId="164" fontId="5" fillId="0" borderId="2" pivotButton="0" quotePrefix="0" xfId="0"/>
    <xf numFmtId="0" fontId="6" fillId="7" borderId="2" pivotButton="0" quotePrefix="0" xfId="0"/>
    <xf numFmtId="0" fontId="5" fillId="0" borderId="2" pivotButton="0" quotePrefix="0" xfId="0"/>
    <xf numFmtId="165" fontId="5" fillId="0" borderId="2" pivotButton="0" quotePrefix="0" xfId="0"/>
    <xf numFmtId="9" fontId="5" fillId="0" borderId="2" pivotButton="0" quotePrefix="0" xfId="0"/>
    <xf numFmtId="165" fontId="6" fillId="7" borderId="2" pivotButton="0" quotePrefix="0" xfId="0"/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dxfs count="5">
    <dxf>
      <font>
        <name val="Calibri"/>
        <b val="1"/>
        <color rgb="0016A34A"/>
      </font>
    </dxf>
    <dxf>
      <font>
        <name val="Calibri"/>
        <b val="1"/>
        <color rgb="00166534"/>
        <sz val="10"/>
      </font>
      <fill>
        <patternFill patternType="solid">
          <fgColor rgb="00DCFCE7"/>
        </patternFill>
      </fill>
    </dxf>
    <dxf>
      <font>
        <name val="Calibri"/>
        <b val="1"/>
        <color rgb="001E40AF"/>
        <sz val="10"/>
      </font>
      <fill>
        <patternFill patternType="solid">
          <fgColor rgb="00DBEAFE"/>
        </patternFill>
      </fill>
    </dxf>
    <dxf>
      <font>
        <name val="Calibri"/>
        <b val="1"/>
        <color rgb="0092400E"/>
        <sz val="10"/>
      </font>
      <fill>
        <patternFill patternType="solid">
          <fgColor rgb="00FEF3C7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0125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blFacturen" displayName="tblFacturen" ref="A5:T1505" headerRowCount="1">
  <autoFilter ref="A5:T1505"/>
  <tableColumns count="20">
    <tableColumn id="1" name="Ontvangen op"/>
    <tableColumn id="2" name="Kwartaal"/>
    <tableColumn id="3" name="Freelancer"/>
    <tableColumn id="4" name="Klant / project"/>
    <tableColumn id="5" name="Weken / opmerking"/>
    <tableColumn id="6" name="Factuurnr"/>
    <tableColumn id="7" name="Inkoop ex btw"/>
    <tableColumn id="8" name="Btw %"/>
    <tableColumn id="9" name="Btw inkoop"/>
    <tableColumn id="10" name="Inkoop incl btw"/>
    <tableColumn id="11" name="Betaald op"/>
    <tableColumn id="12" name="Q4S factuurnr"/>
    <tableColumn id="13" name="Verkoop ex btw"/>
    <tableColumn id="14" name="Btw % klant"/>
    <tableColumn id="15" name="Btw verkoop"/>
    <tableColumn id="16" name="Verkoop incl btw"/>
    <tableColumn id="17" name="Verstuurd op"/>
    <tableColumn id="18" name="Klant betaald op"/>
    <tableColumn id="19" name="Marge ex btw"/>
    <tableColumn id="20" name="Status"/>
  </tableColumns>
  <tableStyleInfo name="TableStyleLight1" showRowStripes="1"/>
</table>
</file>

<file path=xl/tables/table2.xml><?xml version="1.0" encoding="utf-8"?>
<table xmlns="http://schemas.openxmlformats.org/spreadsheetml/2006/main" id="2" name="tblKosten" displayName="tblKosten" ref="A5:L805" headerRowCount="1">
  <autoFilter ref="A5:L805"/>
  <tableColumns count="12">
    <tableColumn id="1" name="Datum"/>
    <tableColumn id="2" name="Kwartaal"/>
    <tableColumn id="3" name="Leverancier"/>
    <tableColumn id="4" name="Omschrijving"/>
    <tableColumn id="5" name="Soort"/>
    <tableColumn id="6" name="Factuurnr"/>
    <tableColumn id="7" name="Bedrag ex btw"/>
    <tableColumn id="8" name="Btw %"/>
    <tableColumn id="9" name="Btw €"/>
    <tableColumn id="10" name="Totaal incl btw"/>
    <tableColumn id="11" name="Betaald op"/>
    <tableColumn id="12" name="Statu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tabColor rgb="001C1C1E"/>
    <outlinePr summaryBelow="1" summaryRight="1"/>
    <pageSetUpPr fitToPage="1"/>
  </sheetPr>
  <dimension ref="B1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7" customWidth="1" min="8" max="8"/>
    <col width="3" customWidth="1" min="9" max="9"/>
  </cols>
  <sheetData>
    <row r="1" ht="20" customHeight="1">
      <c r="C1" s="1" t="inlineStr">
        <is>
          <t>Factuuroverzicht</t>
        </is>
      </c>
    </row>
    <row r="2" ht="20" customHeight="1">
      <c r="C2" s="2" t="inlineStr">
        <is>
          <t>Q4S B.V.  ·  bedragen ex btw, tenzij anders vermeld</t>
        </is>
      </c>
    </row>
    <row r="3" ht="20" customHeight="1"/>
    <row r="4" ht="20" customHeight="1">
      <c r="G4" s="3" t="inlineStr">
        <is>
          <t>Jaar</t>
        </is>
      </c>
      <c r="H4" s="4" t="n">
        <v>2026</v>
      </c>
    </row>
    <row r="5">
      <c r="H5" s="5" t="inlineStr">
        <is>
          <t>▲ kies hier het jaar</t>
        </is>
      </c>
    </row>
    <row r="6">
      <c r="B6" s="6" t="n"/>
      <c r="C6" s="6" t="n"/>
      <c r="D6" s="6" t="n"/>
      <c r="E6" s="6" t="n"/>
      <c r="F6" s="6" t="n"/>
      <c r="G6" s="6" t="n"/>
      <c r="H6" s="6" t="n"/>
    </row>
    <row r="8">
      <c r="C8" s="7" t="inlineStr">
        <is>
          <t>OMZET</t>
        </is>
      </c>
      <c r="D8" s="7" t="inlineStr">
        <is>
          <t>INKOOP FREELANCERS</t>
        </is>
      </c>
      <c r="E8" s="7" t="inlineStr">
        <is>
          <t>BRUTOMARGE</t>
        </is>
      </c>
      <c r="F8" s="7" t="inlineStr">
        <is>
          <t>KOSTEN</t>
        </is>
      </c>
      <c r="G8" s="7" t="inlineStr">
        <is>
          <t>WINST</t>
        </is>
      </c>
    </row>
    <row r="9" ht="30" customHeight="1">
      <c r="C9" s="8">
        <f>C19</f>
        <v/>
      </c>
      <c r="D9" s="8">
        <f>D19</f>
        <v/>
      </c>
      <c r="E9" s="8">
        <f>E19</f>
        <v/>
      </c>
      <c r="F9" s="8">
        <f>F19</f>
        <v/>
      </c>
      <c r="G9" s="9">
        <f>G19</f>
        <v/>
      </c>
    </row>
    <row r="10">
      <c r="C10" s="10" t="n"/>
      <c r="D10" s="10" t="n"/>
      <c r="E10" s="10" t="n"/>
      <c r="F10" s="10" t="n"/>
      <c r="G10" s="11" t="n"/>
    </row>
    <row r="12">
      <c r="B12" s="12" t="inlineStr">
        <is>
          <t>Per kwartaal</t>
        </is>
      </c>
    </row>
    <row r="14" ht="22" customHeight="1">
      <c r="B14" s="13" t="inlineStr">
        <is>
          <t>Kwartaal</t>
        </is>
      </c>
      <c r="C14" s="14" t="inlineStr">
        <is>
          <t>Omzet</t>
        </is>
      </c>
      <c r="D14" s="14" t="inlineStr">
        <is>
          <t>Inkoop freelancers</t>
        </is>
      </c>
      <c r="E14" s="14" t="inlineStr">
        <is>
          <t>Brutomarge</t>
        </is>
      </c>
      <c r="F14" s="14" t="inlineStr">
        <is>
          <t>Kosten</t>
        </is>
      </c>
      <c r="G14" s="14" t="inlineStr">
        <is>
          <t>Winst</t>
        </is>
      </c>
      <c r="H14" s="14" t="inlineStr">
        <is>
          <t>Btw afdragen</t>
        </is>
      </c>
    </row>
    <row r="15" ht="20" customHeight="1">
      <c r="B15" s="15" t="inlineStr">
        <is>
          <t>Q1</t>
        </is>
      </c>
      <c r="C15" s="16">
        <f>SUMIFS(Facturen!$M$6:$M$2000,Facturen!$Q$6:$Q$2000,"&gt;="&amp;DATE($H$4,1,1),Facturen!$Q$6:$Q$2000,"&lt;"&amp;DATE($H$4,4,1))</f>
        <v/>
      </c>
      <c r="D15" s="16">
        <f>SUMIFS(Facturen!$G$6:$G$2000,Facturen!$A$6:$A$2000,"&gt;="&amp;DATE($H$4,1,1),Facturen!$A$6:$A$2000,"&lt;"&amp;DATE($H$4,4,1))</f>
        <v/>
      </c>
      <c r="E15" s="16">
        <f>C15-D15</f>
        <v/>
      </c>
      <c r="F15" s="16">
        <f>SUMIFS(Kosten!$G$6:$G$2000,Kosten!$A$6:$A$2000,"&gt;="&amp;DATE($H$4,1,1),Kosten!$A$6:$A$2000,"&lt;"&amp;DATE($H$4,4,1))</f>
        <v/>
      </c>
      <c r="G15" s="16">
        <f>E15-F15</f>
        <v/>
      </c>
      <c r="H15" s="16">
        <f>SUMIFS(Facturen!$O$6:$O$2000,Facturen!$Q$6:$Q$2000,"&gt;="&amp;DATE($H$4,1,1),Facturen!$Q$6:$Q$2000,"&lt;"&amp;DATE($H$4,4,1))-SUMIFS(Facturen!$I$6:$I$2000,Facturen!$A$6:$A$2000,"&gt;="&amp;DATE($H$4,1,1),Facturen!$A$6:$A$2000,"&lt;"&amp;DATE($H$4,4,1))-SUMIFS(Kosten!$I$6:$I$2000,Kosten!$A$6:$A$2000,"&gt;="&amp;DATE($H$4,1,1),Kosten!$A$6:$A$2000,"&lt;"&amp;DATE($H$4,4,1))</f>
        <v/>
      </c>
    </row>
    <row r="16" ht="20" customHeight="1">
      <c r="B16" s="15" t="inlineStr">
        <is>
          <t>Q2</t>
        </is>
      </c>
      <c r="C16" s="16">
        <f>SUMIFS(Facturen!$M$6:$M$2000,Facturen!$Q$6:$Q$2000,"&gt;="&amp;DATE($H$4,4,1),Facturen!$Q$6:$Q$2000,"&lt;"&amp;DATE($H$4,7,1))</f>
        <v/>
      </c>
      <c r="D16" s="16">
        <f>SUMIFS(Facturen!$G$6:$G$2000,Facturen!$A$6:$A$2000,"&gt;="&amp;DATE($H$4,4,1),Facturen!$A$6:$A$2000,"&lt;"&amp;DATE($H$4,7,1))</f>
        <v/>
      </c>
      <c r="E16" s="16">
        <f>C16-D16</f>
        <v/>
      </c>
      <c r="F16" s="16">
        <f>SUMIFS(Kosten!$G$6:$G$2000,Kosten!$A$6:$A$2000,"&gt;="&amp;DATE($H$4,4,1),Kosten!$A$6:$A$2000,"&lt;"&amp;DATE($H$4,7,1))</f>
        <v/>
      </c>
      <c r="G16" s="16">
        <f>E16-F16</f>
        <v/>
      </c>
      <c r="H16" s="16">
        <f>SUMIFS(Facturen!$O$6:$O$2000,Facturen!$Q$6:$Q$2000,"&gt;="&amp;DATE($H$4,4,1),Facturen!$Q$6:$Q$2000,"&lt;"&amp;DATE($H$4,7,1))-SUMIFS(Facturen!$I$6:$I$2000,Facturen!$A$6:$A$2000,"&gt;="&amp;DATE($H$4,4,1),Facturen!$A$6:$A$2000,"&lt;"&amp;DATE($H$4,7,1))-SUMIFS(Kosten!$I$6:$I$2000,Kosten!$A$6:$A$2000,"&gt;="&amp;DATE($H$4,4,1),Kosten!$A$6:$A$2000,"&lt;"&amp;DATE($H$4,7,1))</f>
        <v/>
      </c>
    </row>
    <row r="17" ht="20" customHeight="1">
      <c r="B17" s="15" t="inlineStr">
        <is>
          <t>Q3</t>
        </is>
      </c>
      <c r="C17" s="16">
        <f>SUMIFS(Facturen!$M$6:$M$2000,Facturen!$Q$6:$Q$2000,"&gt;="&amp;DATE($H$4,7,1),Facturen!$Q$6:$Q$2000,"&lt;"&amp;DATE($H$4,10,1))</f>
        <v/>
      </c>
      <c r="D17" s="16">
        <f>SUMIFS(Facturen!$G$6:$G$2000,Facturen!$A$6:$A$2000,"&gt;="&amp;DATE($H$4,7,1),Facturen!$A$6:$A$2000,"&lt;"&amp;DATE($H$4,10,1))</f>
        <v/>
      </c>
      <c r="E17" s="16">
        <f>C17-D17</f>
        <v/>
      </c>
      <c r="F17" s="16">
        <f>SUMIFS(Kosten!$G$6:$G$2000,Kosten!$A$6:$A$2000,"&gt;="&amp;DATE($H$4,7,1),Kosten!$A$6:$A$2000,"&lt;"&amp;DATE($H$4,10,1))</f>
        <v/>
      </c>
      <c r="G17" s="16">
        <f>E17-F17</f>
        <v/>
      </c>
      <c r="H17" s="16">
        <f>SUMIFS(Facturen!$O$6:$O$2000,Facturen!$Q$6:$Q$2000,"&gt;="&amp;DATE($H$4,7,1),Facturen!$Q$6:$Q$2000,"&lt;"&amp;DATE($H$4,10,1))-SUMIFS(Facturen!$I$6:$I$2000,Facturen!$A$6:$A$2000,"&gt;="&amp;DATE($H$4,7,1),Facturen!$A$6:$A$2000,"&lt;"&amp;DATE($H$4,10,1))-SUMIFS(Kosten!$I$6:$I$2000,Kosten!$A$6:$A$2000,"&gt;="&amp;DATE($H$4,7,1),Kosten!$A$6:$A$2000,"&lt;"&amp;DATE($H$4,10,1))</f>
        <v/>
      </c>
    </row>
    <row r="18" ht="20" customHeight="1">
      <c r="B18" s="15" t="inlineStr">
        <is>
          <t>Q4</t>
        </is>
      </c>
      <c r="C18" s="16">
        <f>SUMIFS(Facturen!$M$6:$M$2000,Facturen!$Q$6:$Q$2000,"&gt;="&amp;DATE($H$4,10,1),Facturen!$Q$6:$Q$2000,"&lt;"&amp;DATE($H$4,13,1))</f>
        <v/>
      </c>
      <c r="D18" s="16">
        <f>SUMIFS(Facturen!$G$6:$G$2000,Facturen!$A$6:$A$2000,"&gt;="&amp;DATE($H$4,10,1),Facturen!$A$6:$A$2000,"&lt;"&amp;DATE($H$4,13,1))</f>
        <v/>
      </c>
      <c r="E18" s="16">
        <f>C18-D18</f>
        <v/>
      </c>
      <c r="F18" s="16">
        <f>SUMIFS(Kosten!$G$6:$G$2000,Kosten!$A$6:$A$2000,"&gt;="&amp;DATE($H$4,10,1),Kosten!$A$6:$A$2000,"&lt;"&amp;DATE($H$4,13,1))</f>
        <v/>
      </c>
      <c r="G18" s="16">
        <f>E18-F18</f>
        <v/>
      </c>
      <c r="H18" s="16">
        <f>SUMIFS(Facturen!$O$6:$O$2000,Facturen!$Q$6:$Q$2000,"&gt;="&amp;DATE($H$4,10,1),Facturen!$Q$6:$Q$2000,"&lt;"&amp;DATE($H$4,13,1))-SUMIFS(Facturen!$I$6:$I$2000,Facturen!$A$6:$A$2000,"&gt;="&amp;DATE($H$4,10,1),Facturen!$A$6:$A$2000,"&lt;"&amp;DATE($H$4,13,1))-SUMIFS(Kosten!$I$6:$I$2000,Kosten!$A$6:$A$2000,"&gt;="&amp;DATE($H$4,10,1),Kosten!$A$6:$A$2000,"&lt;"&amp;DATE($H$4,13,1))</f>
        <v/>
      </c>
    </row>
    <row r="19" ht="20" customHeight="1">
      <c r="B19" s="17" t="inlineStr">
        <is>
          <t>Totaal</t>
        </is>
      </c>
      <c r="C19" s="18">
        <f>SUM(C15:C18)</f>
        <v/>
      </c>
      <c r="D19" s="18">
        <f>SUM(D15:D18)</f>
        <v/>
      </c>
      <c r="E19" s="18">
        <f>SUM(E15:E18)</f>
        <v/>
      </c>
      <c r="F19" s="18">
        <f>SUM(F15:F18)</f>
        <v/>
      </c>
      <c r="G19" s="18">
        <f>SUM(G15:G18)</f>
        <v/>
      </c>
      <c r="H19" s="18">
        <f>SUM(H15:H18)</f>
        <v/>
      </c>
    </row>
    <row r="22">
      <c r="B22" s="12" t="inlineStr">
        <is>
          <t>Wat staat er nog open?</t>
        </is>
      </c>
    </row>
    <row r="23">
      <c r="B23" s="19" t="inlineStr">
        <is>
          <t>incl btw, alle jaren</t>
        </is>
      </c>
    </row>
    <row r="24" ht="22" customHeight="1">
      <c r="B24" s="20" t="inlineStr">
        <is>
          <t>Klanten moeten ons nog betalen</t>
        </is>
      </c>
      <c r="C24" s="21" t="n"/>
      <c r="D24" s="21" t="n"/>
      <c r="E24" s="21" t="n"/>
      <c r="F24" s="22" t="n"/>
      <c r="G24" s="23">
        <f>COUNTIF(Facturen!$T$6:$T$2000,"Wacht op klant")&amp;IF(COUNTIF(Facturen!$T$6:$T$2000,"Wacht op klant")=1," factuur"," facturen")</f>
        <v/>
      </c>
      <c r="H24" s="24">
        <f>SUMIFS(Facturen!$P$6:$P$2000,Facturen!$T$6:$T$2000,"Wacht op klant")</f>
        <v/>
      </c>
    </row>
    <row r="25" ht="22" customHeight="1">
      <c r="B25" s="25" t="inlineStr">
        <is>
          <t>Wij moeten freelancers nog betalen</t>
        </is>
      </c>
      <c r="C25" s="21" t="n"/>
      <c r="D25" s="21" t="n"/>
      <c r="E25" s="21" t="n"/>
      <c r="F25" s="26" t="n"/>
      <c r="G25" s="27">
        <f>COUNTIF(Facturen!$T$6:$T$2000,"Nog betalen")&amp;IF(COUNTIF(Facturen!$T$6:$T$2000,"Nog betalen")=1," factuur"," facturen")</f>
        <v/>
      </c>
      <c r="H25" s="28">
        <f>SUMIFS(Facturen!$J$6:$J$2000,Facturen!$T$6:$T$2000,"Nog betalen")</f>
        <v/>
      </c>
    </row>
    <row r="26" ht="22" customHeight="1">
      <c r="B26" s="25" t="inlineStr">
        <is>
          <t>Wij moeten kosten nog betalen</t>
        </is>
      </c>
      <c r="C26" s="21" t="n"/>
      <c r="D26" s="21" t="n"/>
      <c r="E26" s="21" t="n"/>
      <c r="F26" s="26" t="n"/>
      <c r="G26" s="27">
        <f>COUNTIF(Kosten!$L$6:$L$2000,"Nog betalen")&amp;IF(COUNTIF(Kosten!$L$6:$L$2000,"Nog betalen")=1," factuur"," facturen")</f>
        <v/>
      </c>
      <c r="H26" s="28">
        <f>SUMIFS(Kosten!$J$6:$J$2000,Kosten!$L$6:$L$2000,"Nog betalen")</f>
        <v/>
      </c>
    </row>
    <row r="27" ht="22" customHeight="1">
      <c r="B27" s="29" t="inlineStr">
        <is>
          <t>Freelancerfacturen nog niet doorgefactureerd</t>
        </is>
      </c>
      <c r="C27" s="21" t="n"/>
      <c r="D27" s="21" t="n"/>
      <c r="E27" s="21" t="n"/>
      <c r="F27" s="30" t="n"/>
      <c r="G27" s="31">
        <f>COUNTIF(Facturen!$T$6:$T$2000,"Nog factureren")&amp;IF(COUNTIF(Facturen!$T$6:$T$2000,"Nog factureren")=1," factuur"," facturen")</f>
        <v/>
      </c>
      <c r="H27" s="32">
        <f>SUMIFS(Facturen!$J$6:$J$2000,Facturen!$T$6:$T$2000,"Nog factureren")</f>
        <v/>
      </c>
    </row>
    <row r="30">
      <c r="B30" s="12" t="inlineStr">
        <is>
          <t>Zo werkt het</t>
        </is>
      </c>
    </row>
    <row r="31">
      <c r="B31" s="33" t="inlineStr">
        <is>
          <t>1.  Factuur van een freelancer binnen?  →  tabblad Facturen, nieuwe regel: datum, naam, klant, factuurnr en bedrag ex btw.</t>
        </is>
      </c>
    </row>
    <row r="32">
      <c r="B32" s="33" t="inlineStr">
        <is>
          <t>2.  Onze factuur aan de klant gemaakt?  →  zelfde regel: Q4S factuurnr, bedrag ex btw en de datum verstuurd.</t>
        </is>
      </c>
    </row>
    <row r="33">
      <c r="B33" s="33" t="inlineStr">
        <is>
          <t xml:space="preserve">     Eén Q4S-factuur voor meerdere freelancerfacturen? Zet hetzelfde Q4S-nummer op elke regel en het bedrag alleen op de eerste.</t>
        </is>
      </c>
    </row>
    <row r="34">
      <c r="B34" s="33" t="inlineStr">
        <is>
          <t>3.  Betaald of geld binnen?  →  vul 'Betaald op' / 'Klant betaald op' in. De Status springt vanzelf naar Afgerond.</t>
        </is>
      </c>
    </row>
    <row r="35">
      <c r="B35" s="33" t="inlineStr">
        <is>
          <t>4.  Eigen kosten (huur, software, tankpas …)  →  tabblad Kosten, kies een Soort.</t>
        </is>
      </c>
    </row>
    <row r="36">
      <c r="B36" s="34" t="inlineStr">
        <is>
          <t>Grijze vakjes rekenen zelf — niet overschrijven.  Omzet telt op 'Verstuurd op', inkoop en kosten op de factuurdatum.</t>
        </is>
      </c>
    </row>
  </sheetData>
  <mergeCells count="4">
    <mergeCell ref="B26:E26"/>
    <mergeCell ref="B25:E25"/>
    <mergeCell ref="B24:E24"/>
    <mergeCell ref="B27:E27"/>
  </mergeCells>
  <conditionalFormatting sqref="G15:G19">
    <cfRule type="cellIs" priority="1" operator="greaterThan" dxfId="0">
      <formula>0</formula>
    </cfRule>
  </conditionalFormatting>
  <dataValidations count="1">
    <dataValidation sqref="H4" showDropDown="0" showInputMessage="0" showErrorMessage="0" allowBlank="0" type="list">
      <formula1>"2025,2026,2027,2028"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F3F46"/>
    <outlinePr summaryBelow="1" summaryRight="1"/>
    <pageSetUpPr fitToPage="1"/>
  </sheetPr>
  <dimension ref="A1:T150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20" customWidth="1" min="4" max="4"/>
    <col width="22" customWidth="1" min="5" max="5"/>
    <col width="13" customWidth="1" min="6" max="6"/>
    <col width="13" customWidth="1" min="7" max="7"/>
    <col width="7" customWidth="1" min="8" max="8"/>
    <col width="11" customWidth="1" min="9" max="9"/>
    <col width="14" customWidth="1" min="10" max="10"/>
    <col width="12" customWidth="1" min="11" max="11"/>
    <col width="13" customWidth="1" min="12" max="12"/>
    <col width="13" customWidth="1" min="13" max="13"/>
    <col width="8" customWidth="1" min="14" max="14"/>
    <col width="11" customWidth="1" min="15" max="15"/>
    <col width="14" customWidth="1" min="16" max="16"/>
    <col width="12" customWidth="1" min="17" max="17"/>
    <col width="13" customWidth="1" min="18" max="18"/>
    <col width="13" customWidth="1" min="19" max="19"/>
    <col width="16" customWidth="1" min="20" max="20"/>
  </cols>
  <sheetData>
    <row r="1" ht="22" customHeight="1">
      <c r="C1" s="35" t="inlineStr">
        <is>
          <t>Facturen</t>
        </is>
      </c>
    </row>
    <row r="2" ht="22" customHeight="1">
      <c r="C2" s="2" t="inlineStr">
        <is>
          <t>Eén regel per factuur van een freelancer. Vul de witte vakjes in; de grijze rekenen zelf.</t>
        </is>
      </c>
    </row>
    <row r="3" ht="12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</row>
    <row r="4" ht="18" customHeight="1">
      <c r="A4" s="36" t="inlineStr">
        <is>
          <t>WIE &amp; WAT</t>
        </is>
      </c>
      <c r="B4" s="37" t="n"/>
      <c r="C4" s="37" t="n"/>
      <c r="D4" s="37" t="n"/>
      <c r="E4" s="37" t="n"/>
      <c r="F4" s="38" t="inlineStr">
        <is>
          <t>INKOOP  ·  factuur van de freelancer</t>
        </is>
      </c>
      <c r="G4" s="39" t="n"/>
      <c r="H4" s="39" t="n"/>
      <c r="I4" s="39" t="n"/>
      <c r="J4" s="39" t="n"/>
      <c r="K4" s="39" t="n"/>
      <c r="L4" s="40" t="inlineStr">
        <is>
          <t>VERKOOP  ·  onze factuur aan de klant</t>
        </is>
      </c>
      <c r="M4" s="41" t="n"/>
      <c r="N4" s="41" t="n"/>
      <c r="O4" s="41" t="n"/>
      <c r="P4" s="41" t="n"/>
      <c r="Q4" s="41" t="n"/>
      <c r="R4" s="41" t="n"/>
      <c r="S4" s="42" t="inlineStr">
        <is>
          <t>RESULTAAT</t>
        </is>
      </c>
      <c r="T4" s="43" t="n"/>
    </row>
    <row r="5" ht="30" customHeight="1">
      <c r="A5" s="44" t="inlineStr">
        <is>
          <t>Ontvangen op</t>
        </is>
      </c>
      <c r="B5" s="44" t="inlineStr">
        <is>
          <t>Kwartaal</t>
        </is>
      </c>
      <c r="C5" s="44" t="inlineStr">
        <is>
          <t>Freelancer</t>
        </is>
      </c>
      <c r="D5" s="44" t="inlineStr">
        <is>
          <t>Klant / project</t>
        </is>
      </c>
      <c r="E5" s="44" t="inlineStr">
        <is>
          <t>Weken / opmerking</t>
        </is>
      </c>
      <c r="F5" s="44" t="inlineStr">
        <is>
          <t>Factuurnr</t>
        </is>
      </c>
      <c r="G5" s="44" t="inlineStr">
        <is>
          <t>Inkoop ex btw</t>
        </is>
      </c>
      <c r="H5" s="44" t="inlineStr">
        <is>
          <t>Btw %</t>
        </is>
      </c>
      <c r="I5" s="44" t="inlineStr">
        <is>
          <t>Btw inkoop</t>
        </is>
      </c>
      <c r="J5" s="44" t="inlineStr">
        <is>
          <t>Inkoop incl btw</t>
        </is>
      </c>
      <c r="K5" s="44" t="inlineStr">
        <is>
          <t>Betaald op</t>
        </is>
      </c>
      <c r="L5" s="44" t="inlineStr">
        <is>
          <t>Q4S factuurnr</t>
        </is>
      </c>
      <c r="M5" s="44" t="inlineStr">
        <is>
          <t>Verkoop ex btw</t>
        </is>
      </c>
      <c r="N5" s="44" t="inlineStr">
        <is>
          <t>Btw % klant</t>
        </is>
      </c>
      <c r="O5" s="44" t="inlineStr">
        <is>
          <t>Btw verkoop</t>
        </is>
      </c>
      <c r="P5" s="44" t="inlineStr">
        <is>
          <t>Verkoop incl btw</t>
        </is>
      </c>
      <c r="Q5" s="44" t="inlineStr">
        <is>
          <t>Verstuurd op</t>
        </is>
      </c>
      <c r="R5" s="44" t="inlineStr">
        <is>
          <t>Klant betaald op</t>
        </is>
      </c>
      <c r="S5" s="44" t="inlineStr">
        <is>
          <t>Marge ex btw</t>
        </is>
      </c>
      <c r="T5" s="44" t="inlineStr">
        <is>
          <t>Status</t>
        </is>
      </c>
    </row>
    <row r="6">
      <c r="A6" s="45" t="n"/>
      <c r="B6" s="46">
        <f>IF(A6="","",YEAR(A6)&amp;" Q"&amp;ROUNDUP(MONTH(A6)/3,0))</f>
        <v/>
      </c>
      <c r="C6" s="47" t="n"/>
      <c r="D6" s="47" t="n"/>
      <c r="E6" s="47" t="n"/>
      <c r="F6" s="47" t="n"/>
      <c r="G6" s="48" t="n"/>
      <c r="H6" s="49" t="n"/>
      <c r="I6" s="50">
        <f>IF(G6="","",ROUND(G6*H6,2))</f>
        <v/>
      </c>
      <c r="J6" s="50">
        <f>IF(G6="","",G6+N(I6))</f>
        <v/>
      </c>
      <c r="K6" s="45" t="n"/>
      <c r="L6" s="47" t="n"/>
      <c r="M6" s="48" t="n"/>
      <c r="N6" s="49" t="n"/>
      <c r="O6" s="50">
        <f>IF(M6="","",ROUND(M6*N6,2))</f>
        <v/>
      </c>
      <c r="P6" s="50">
        <f>IF(M6="","",M6+N(O6))</f>
        <v/>
      </c>
      <c r="Q6" s="45" t="n"/>
      <c r="R6" s="45" t="n"/>
      <c r="S6" s="51">
        <f>IF(L6="","",IF(COUNTIF(L$6:L6,L6)&gt;1,"",SUMIF(L$6:L$2000,L6,M$6:M$2000)-SUMIF(L$6:L$2000,L6,G$6:G$2000)))</f>
        <v/>
      </c>
      <c r="T6" s="46">
        <f>IF(AND(C6="",G6=""),"",IF(L6="","Nog factureren",IF(AND(G6&lt;&gt;"",OR(K6="",K6&gt;TODAY())),"Nog betalen",IF(OR(R6="",R6&gt;TODAY()),"Wacht op klant","Afgerond"))))</f>
        <v/>
      </c>
    </row>
    <row r="7">
      <c r="A7" s="45" t="n"/>
      <c r="B7" s="46">
        <f>IF(A7="","",YEAR(A7)&amp;" Q"&amp;ROUNDUP(MONTH(A7)/3,0))</f>
        <v/>
      </c>
      <c r="C7" s="47" t="n"/>
      <c r="D7" s="47" t="n"/>
      <c r="E7" s="47" t="n"/>
      <c r="F7" s="47" t="n"/>
      <c r="G7" s="48" t="n"/>
      <c r="H7" s="49" t="n"/>
      <c r="I7" s="50">
        <f>IF(G7="","",ROUND(G7*H7,2))</f>
        <v/>
      </c>
      <c r="J7" s="50">
        <f>IF(G7="","",G7+N(I7))</f>
        <v/>
      </c>
      <c r="K7" s="45" t="n"/>
      <c r="L7" s="47" t="n"/>
      <c r="M7" s="48" t="n"/>
      <c r="N7" s="49" t="n"/>
      <c r="O7" s="50">
        <f>IF(M7="","",ROUND(M7*N7,2))</f>
        <v/>
      </c>
      <c r="P7" s="50">
        <f>IF(M7="","",M7+N(O7))</f>
        <v/>
      </c>
      <c r="Q7" s="45" t="n"/>
      <c r="R7" s="45" t="n"/>
      <c r="S7" s="51">
        <f>IF(L7="","",IF(COUNTIF(L$6:L7,L7)&gt;1,"",SUMIF(L$6:L$2000,L7,M$6:M$2000)-SUMIF(L$6:L$2000,L7,G$6:G$2000)))</f>
        <v/>
      </c>
      <c r="T7" s="46">
        <f>IF(AND(C7="",G7=""),"",IF(L7="","Nog factureren",IF(AND(G7&lt;&gt;"",OR(K7="",K7&gt;TODAY())),"Nog betalen",IF(OR(R7="",R7&gt;TODAY()),"Wacht op klant","Afgerond"))))</f>
        <v/>
      </c>
    </row>
    <row r="8">
      <c r="A8" s="45" t="n"/>
      <c r="B8" s="46">
        <f>IF(A8="","",YEAR(A8)&amp;" Q"&amp;ROUNDUP(MONTH(A8)/3,0))</f>
        <v/>
      </c>
      <c r="C8" s="47" t="n"/>
      <c r="D8" s="47" t="n"/>
      <c r="E8" s="47" t="n"/>
      <c r="F8" s="47" t="n"/>
      <c r="G8" s="48" t="n"/>
      <c r="H8" s="49" t="n"/>
      <c r="I8" s="50">
        <f>IF(G8="","",ROUND(G8*H8,2))</f>
        <v/>
      </c>
      <c r="J8" s="50">
        <f>IF(G8="","",G8+N(I8))</f>
        <v/>
      </c>
      <c r="K8" s="45" t="n"/>
      <c r="L8" s="47" t="n"/>
      <c r="M8" s="48" t="n"/>
      <c r="N8" s="49" t="n"/>
      <c r="O8" s="50">
        <f>IF(M8="","",ROUND(M8*N8,2))</f>
        <v/>
      </c>
      <c r="P8" s="50">
        <f>IF(M8="","",M8+N(O8))</f>
        <v/>
      </c>
      <c r="Q8" s="45" t="n"/>
      <c r="R8" s="45" t="n"/>
      <c r="S8" s="51">
        <f>IF(L8="","",IF(COUNTIF(L$6:L8,L8)&gt;1,"",SUMIF(L$6:L$2000,L8,M$6:M$2000)-SUMIF(L$6:L$2000,L8,G$6:G$2000)))</f>
        <v/>
      </c>
      <c r="T8" s="46">
        <f>IF(AND(C8="",G8=""),"",IF(L8="","Nog factureren",IF(AND(G8&lt;&gt;"",OR(K8="",K8&gt;TODAY())),"Nog betalen",IF(OR(R8="",R8&gt;TODAY()),"Wacht op klant","Afgerond"))))</f>
        <v/>
      </c>
    </row>
    <row r="9">
      <c r="A9" s="45" t="n"/>
      <c r="B9" s="46">
        <f>IF(A9="","",YEAR(A9)&amp;" Q"&amp;ROUNDUP(MONTH(A9)/3,0))</f>
        <v/>
      </c>
      <c r="C9" s="47" t="n"/>
      <c r="D9" s="47" t="n"/>
      <c r="E9" s="47" t="n"/>
      <c r="F9" s="47" t="n"/>
      <c r="G9" s="48" t="n"/>
      <c r="H9" s="49" t="n"/>
      <c r="I9" s="50">
        <f>IF(G9="","",ROUND(G9*H9,2))</f>
        <v/>
      </c>
      <c r="J9" s="50">
        <f>IF(G9="","",G9+N(I9))</f>
        <v/>
      </c>
      <c r="K9" s="45" t="n"/>
      <c r="L9" s="47" t="n"/>
      <c r="M9" s="48" t="n"/>
      <c r="N9" s="49" t="n"/>
      <c r="O9" s="50">
        <f>IF(M9="","",ROUND(M9*N9,2))</f>
        <v/>
      </c>
      <c r="P9" s="50">
        <f>IF(M9="","",M9+N(O9))</f>
        <v/>
      </c>
      <c r="Q9" s="45" t="n"/>
      <c r="R9" s="45" t="n"/>
      <c r="S9" s="51">
        <f>IF(L9="","",IF(COUNTIF(L$6:L9,L9)&gt;1,"",SUMIF(L$6:L$2000,L9,M$6:M$2000)-SUMIF(L$6:L$2000,L9,G$6:G$2000)))</f>
        <v/>
      </c>
      <c r="T9" s="46">
        <f>IF(AND(C9="",G9=""),"",IF(L9="","Nog factureren",IF(AND(G9&lt;&gt;"",OR(K9="",K9&gt;TODAY())),"Nog betalen",IF(OR(R9="",R9&gt;TODAY()),"Wacht op klant","Afgerond"))))</f>
        <v/>
      </c>
    </row>
    <row r="10">
      <c r="A10" s="45" t="n"/>
      <c r="B10" s="46">
        <f>IF(A10="","",YEAR(A10)&amp;" Q"&amp;ROUNDUP(MONTH(A10)/3,0))</f>
        <v/>
      </c>
      <c r="C10" s="47" t="n"/>
      <c r="D10" s="47" t="n"/>
      <c r="E10" s="47" t="n"/>
      <c r="F10" s="47" t="n"/>
      <c r="G10" s="48" t="n"/>
      <c r="H10" s="49" t="n"/>
      <c r="I10" s="50">
        <f>IF(G10="","",ROUND(G10*H10,2))</f>
        <v/>
      </c>
      <c r="J10" s="50">
        <f>IF(G10="","",G10+N(I10))</f>
        <v/>
      </c>
      <c r="K10" s="45" t="n"/>
      <c r="L10" s="47" t="n"/>
      <c r="M10" s="48" t="n"/>
      <c r="N10" s="49" t="n"/>
      <c r="O10" s="50">
        <f>IF(M10="","",ROUND(M10*N10,2))</f>
        <v/>
      </c>
      <c r="P10" s="50">
        <f>IF(M10="","",M10+N(O10))</f>
        <v/>
      </c>
      <c r="Q10" s="45" t="n"/>
      <c r="R10" s="45" t="n"/>
      <c r="S10" s="51">
        <f>IF(L10="","",IF(COUNTIF(L$6:L10,L10)&gt;1,"",SUMIF(L$6:L$2000,L10,M$6:M$2000)-SUMIF(L$6:L$2000,L10,G$6:G$2000)))</f>
        <v/>
      </c>
      <c r="T10" s="46">
        <f>IF(AND(C10="",G10=""),"",IF(L10="","Nog factureren",IF(AND(G10&lt;&gt;"",OR(K10="",K10&gt;TODAY())),"Nog betalen",IF(OR(R10="",R10&gt;TODAY()),"Wacht op klant","Afgerond"))))</f>
        <v/>
      </c>
    </row>
    <row r="11">
      <c r="A11" s="45" t="n"/>
      <c r="B11" s="46">
        <f>IF(A11="","",YEAR(A11)&amp;" Q"&amp;ROUNDUP(MONTH(A11)/3,0))</f>
        <v/>
      </c>
      <c r="C11" s="47" t="n"/>
      <c r="D11" s="47" t="n"/>
      <c r="E11" s="47" t="n"/>
      <c r="F11" s="47" t="n"/>
      <c r="G11" s="48" t="n"/>
      <c r="H11" s="49" t="n"/>
      <c r="I11" s="50">
        <f>IF(G11="","",ROUND(G11*H11,2))</f>
        <v/>
      </c>
      <c r="J11" s="50">
        <f>IF(G11="","",G11+N(I11))</f>
        <v/>
      </c>
      <c r="K11" s="45" t="n"/>
      <c r="L11" s="47" t="n"/>
      <c r="M11" s="48" t="n"/>
      <c r="N11" s="49" t="n"/>
      <c r="O11" s="50">
        <f>IF(M11="","",ROUND(M11*N11,2))</f>
        <v/>
      </c>
      <c r="P11" s="50">
        <f>IF(M11="","",M11+N(O11))</f>
        <v/>
      </c>
      <c r="Q11" s="45" t="n"/>
      <c r="R11" s="45" t="n"/>
      <c r="S11" s="51">
        <f>IF(L11="","",IF(COUNTIF(L$6:L11,L11)&gt;1,"",SUMIF(L$6:L$2000,L11,M$6:M$2000)-SUMIF(L$6:L$2000,L11,G$6:G$2000)))</f>
        <v/>
      </c>
      <c r="T11" s="46">
        <f>IF(AND(C11="",G11=""),"",IF(L11="","Nog factureren",IF(AND(G11&lt;&gt;"",OR(K11="",K11&gt;TODAY())),"Nog betalen",IF(OR(R11="",R11&gt;TODAY()),"Wacht op klant","Afgerond"))))</f>
        <v/>
      </c>
    </row>
    <row r="12">
      <c r="A12" s="45" t="n"/>
      <c r="B12" s="46">
        <f>IF(A12="","",YEAR(A12)&amp;" Q"&amp;ROUNDUP(MONTH(A12)/3,0))</f>
        <v/>
      </c>
      <c r="C12" s="47" t="n"/>
      <c r="D12" s="47" t="n"/>
      <c r="E12" s="47" t="n"/>
      <c r="F12" s="47" t="n"/>
      <c r="G12" s="48" t="n"/>
      <c r="H12" s="49" t="n"/>
      <c r="I12" s="50">
        <f>IF(G12="","",ROUND(G12*H12,2))</f>
        <v/>
      </c>
      <c r="J12" s="50">
        <f>IF(G12="","",G12+N(I12))</f>
        <v/>
      </c>
      <c r="K12" s="45" t="n"/>
      <c r="L12" s="47" t="n"/>
      <c r="M12" s="48" t="n"/>
      <c r="N12" s="49" t="n"/>
      <c r="O12" s="50">
        <f>IF(M12="","",ROUND(M12*N12,2))</f>
        <v/>
      </c>
      <c r="P12" s="50">
        <f>IF(M12="","",M12+N(O12))</f>
        <v/>
      </c>
      <c r="Q12" s="45" t="n"/>
      <c r="R12" s="45" t="n"/>
      <c r="S12" s="51">
        <f>IF(L12="","",IF(COUNTIF(L$6:L12,L12)&gt;1,"",SUMIF(L$6:L$2000,L12,M$6:M$2000)-SUMIF(L$6:L$2000,L12,G$6:G$2000)))</f>
        <v/>
      </c>
      <c r="T12" s="46">
        <f>IF(AND(C12="",G12=""),"",IF(L12="","Nog factureren",IF(AND(G12&lt;&gt;"",OR(K12="",K12&gt;TODAY())),"Nog betalen",IF(OR(R12="",R12&gt;TODAY()),"Wacht op klant","Afgerond"))))</f>
        <v/>
      </c>
    </row>
    <row r="13">
      <c r="A13" s="45" t="n"/>
      <c r="B13" s="46">
        <f>IF(A13="","",YEAR(A13)&amp;" Q"&amp;ROUNDUP(MONTH(A13)/3,0))</f>
        <v/>
      </c>
      <c r="C13" s="47" t="n"/>
      <c r="D13" s="47" t="n"/>
      <c r="E13" s="47" t="n"/>
      <c r="F13" s="47" t="n"/>
      <c r="G13" s="48" t="n"/>
      <c r="H13" s="49" t="n"/>
      <c r="I13" s="50">
        <f>IF(G13="","",ROUND(G13*H13,2))</f>
        <v/>
      </c>
      <c r="J13" s="50">
        <f>IF(G13="","",G13+N(I13))</f>
        <v/>
      </c>
      <c r="K13" s="45" t="n"/>
      <c r="L13" s="47" t="n"/>
      <c r="M13" s="48" t="n"/>
      <c r="N13" s="49" t="n"/>
      <c r="O13" s="50">
        <f>IF(M13="","",ROUND(M13*N13,2))</f>
        <v/>
      </c>
      <c r="P13" s="50">
        <f>IF(M13="","",M13+N(O13))</f>
        <v/>
      </c>
      <c r="Q13" s="45" t="n"/>
      <c r="R13" s="45" t="n"/>
      <c r="S13" s="51">
        <f>IF(L13="","",IF(COUNTIF(L$6:L13,L13)&gt;1,"",SUMIF(L$6:L$2000,L13,M$6:M$2000)-SUMIF(L$6:L$2000,L13,G$6:G$2000)))</f>
        <v/>
      </c>
      <c r="T13" s="46">
        <f>IF(AND(C13="",G13=""),"",IF(L13="","Nog factureren",IF(AND(G13&lt;&gt;"",OR(K13="",K13&gt;TODAY())),"Nog betalen",IF(OR(R13="",R13&gt;TODAY()),"Wacht op klant","Afgerond"))))</f>
        <v/>
      </c>
    </row>
    <row r="14">
      <c r="A14" s="45" t="n"/>
      <c r="B14" s="46">
        <f>IF(A14="","",YEAR(A14)&amp;" Q"&amp;ROUNDUP(MONTH(A14)/3,0))</f>
        <v/>
      </c>
      <c r="C14" s="47" t="n"/>
      <c r="D14" s="47" t="n"/>
      <c r="E14" s="47" t="n"/>
      <c r="F14" s="47" t="n"/>
      <c r="G14" s="48" t="n"/>
      <c r="H14" s="49" t="n"/>
      <c r="I14" s="50">
        <f>IF(G14="","",ROUND(G14*H14,2))</f>
        <v/>
      </c>
      <c r="J14" s="50">
        <f>IF(G14="","",G14+N(I14))</f>
        <v/>
      </c>
      <c r="K14" s="45" t="n"/>
      <c r="L14" s="47" t="n"/>
      <c r="M14" s="48" t="n"/>
      <c r="N14" s="49" t="n"/>
      <c r="O14" s="50">
        <f>IF(M14="","",ROUND(M14*N14,2))</f>
        <v/>
      </c>
      <c r="P14" s="50">
        <f>IF(M14="","",M14+N(O14))</f>
        <v/>
      </c>
      <c r="Q14" s="45" t="n"/>
      <c r="R14" s="45" t="n"/>
      <c r="S14" s="51">
        <f>IF(L14="","",IF(COUNTIF(L$6:L14,L14)&gt;1,"",SUMIF(L$6:L$2000,L14,M$6:M$2000)-SUMIF(L$6:L$2000,L14,G$6:G$2000)))</f>
        <v/>
      </c>
      <c r="T14" s="46">
        <f>IF(AND(C14="",G14=""),"",IF(L14="","Nog factureren",IF(AND(G14&lt;&gt;"",OR(K14="",K14&gt;TODAY())),"Nog betalen",IF(OR(R14="",R14&gt;TODAY()),"Wacht op klant","Afgerond"))))</f>
        <v/>
      </c>
    </row>
    <row r="15">
      <c r="A15" s="45" t="n"/>
      <c r="B15" s="46">
        <f>IF(A15="","",YEAR(A15)&amp;" Q"&amp;ROUNDUP(MONTH(A15)/3,0))</f>
        <v/>
      </c>
      <c r="C15" s="47" t="n"/>
      <c r="D15" s="47" t="n"/>
      <c r="E15" s="47" t="n"/>
      <c r="F15" s="47" t="n"/>
      <c r="G15" s="48" t="n"/>
      <c r="H15" s="49" t="n"/>
      <c r="I15" s="50">
        <f>IF(G15="","",ROUND(G15*H15,2))</f>
        <v/>
      </c>
      <c r="J15" s="50">
        <f>IF(G15="","",G15+N(I15))</f>
        <v/>
      </c>
      <c r="K15" s="45" t="n"/>
      <c r="L15" s="47" t="n"/>
      <c r="M15" s="48" t="n"/>
      <c r="N15" s="49" t="n"/>
      <c r="O15" s="50">
        <f>IF(M15="","",ROUND(M15*N15,2))</f>
        <v/>
      </c>
      <c r="P15" s="50">
        <f>IF(M15="","",M15+N(O15))</f>
        <v/>
      </c>
      <c r="Q15" s="45" t="n"/>
      <c r="R15" s="45" t="n"/>
      <c r="S15" s="51">
        <f>IF(L15="","",IF(COUNTIF(L$6:L15,L15)&gt;1,"",SUMIF(L$6:L$2000,L15,M$6:M$2000)-SUMIF(L$6:L$2000,L15,G$6:G$2000)))</f>
        <v/>
      </c>
      <c r="T15" s="46">
        <f>IF(AND(C15="",G15=""),"",IF(L15="","Nog factureren",IF(AND(G15&lt;&gt;"",OR(K15="",K15&gt;TODAY())),"Nog betalen",IF(OR(R15="",R15&gt;TODAY()),"Wacht op klant","Afgerond"))))</f>
        <v/>
      </c>
    </row>
    <row r="16">
      <c r="A16" s="45" t="n"/>
      <c r="B16" s="46">
        <f>IF(A16="","",YEAR(A16)&amp;" Q"&amp;ROUNDUP(MONTH(A16)/3,0))</f>
        <v/>
      </c>
      <c r="C16" s="47" t="n"/>
      <c r="D16" s="47" t="n"/>
      <c r="E16" s="47" t="n"/>
      <c r="F16" s="47" t="n"/>
      <c r="G16" s="48" t="n"/>
      <c r="H16" s="49" t="n"/>
      <c r="I16" s="50">
        <f>IF(G16="","",ROUND(G16*H16,2))</f>
        <v/>
      </c>
      <c r="J16" s="50">
        <f>IF(G16="","",G16+N(I16))</f>
        <v/>
      </c>
      <c r="K16" s="45" t="n"/>
      <c r="L16" s="47" t="n"/>
      <c r="M16" s="48" t="n"/>
      <c r="N16" s="49" t="n"/>
      <c r="O16" s="50">
        <f>IF(M16="","",ROUND(M16*N16,2))</f>
        <v/>
      </c>
      <c r="P16" s="50">
        <f>IF(M16="","",M16+N(O16))</f>
        <v/>
      </c>
      <c r="Q16" s="45" t="n"/>
      <c r="R16" s="45" t="n"/>
      <c r="S16" s="51">
        <f>IF(L16="","",IF(COUNTIF(L$6:L16,L16)&gt;1,"",SUMIF(L$6:L$2000,L16,M$6:M$2000)-SUMIF(L$6:L$2000,L16,G$6:G$2000)))</f>
        <v/>
      </c>
      <c r="T16" s="46">
        <f>IF(AND(C16="",G16=""),"",IF(L16="","Nog factureren",IF(AND(G16&lt;&gt;"",OR(K16="",K16&gt;TODAY())),"Nog betalen",IF(OR(R16="",R16&gt;TODAY()),"Wacht op klant","Afgerond"))))</f>
        <v/>
      </c>
    </row>
    <row r="17">
      <c r="A17" s="45" t="n"/>
      <c r="B17" s="46">
        <f>IF(A17="","",YEAR(A17)&amp;" Q"&amp;ROUNDUP(MONTH(A17)/3,0))</f>
        <v/>
      </c>
      <c r="C17" s="47" t="n"/>
      <c r="D17" s="47" t="n"/>
      <c r="E17" s="47" t="n"/>
      <c r="F17" s="47" t="n"/>
      <c r="G17" s="48" t="n"/>
      <c r="H17" s="49" t="n"/>
      <c r="I17" s="50">
        <f>IF(G17="","",ROUND(G17*H17,2))</f>
        <v/>
      </c>
      <c r="J17" s="50">
        <f>IF(G17="","",G17+N(I17))</f>
        <v/>
      </c>
      <c r="K17" s="45" t="n"/>
      <c r="L17" s="47" t="n"/>
      <c r="M17" s="48" t="n"/>
      <c r="N17" s="49" t="n"/>
      <c r="O17" s="50">
        <f>IF(M17="","",ROUND(M17*N17,2))</f>
        <v/>
      </c>
      <c r="P17" s="50">
        <f>IF(M17="","",M17+N(O17))</f>
        <v/>
      </c>
      <c r="Q17" s="45" t="n"/>
      <c r="R17" s="45" t="n"/>
      <c r="S17" s="51">
        <f>IF(L17="","",IF(COUNTIF(L$6:L17,L17)&gt;1,"",SUMIF(L$6:L$2000,L17,M$6:M$2000)-SUMIF(L$6:L$2000,L17,G$6:G$2000)))</f>
        <v/>
      </c>
      <c r="T17" s="46">
        <f>IF(AND(C17="",G17=""),"",IF(L17="","Nog factureren",IF(AND(G17&lt;&gt;"",OR(K17="",K17&gt;TODAY())),"Nog betalen",IF(OR(R17="",R17&gt;TODAY()),"Wacht op klant","Afgerond"))))</f>
        <v/>
      </c>
    </row>
    <row r="18">
      <c r="A18" s="45" t="n"/>
      <c r="B18" s="46">
        <f>IF(A18="","",YEAR(A18)&amp;" Q"&amp;ROUNDUP(MONTH(A18)/3,0))</f>
        <v/>
      </c>
      <c r="C18" s="47" t="n"/>
      <c r="D18" s="47" t="n"/>
      <c r="E18" s="47" t="n"/>
      <c r="F18" s="47" t="n"/>
      <c r="G18" s="48" t="n"/>
      <c r="H18" s="49" t="n"/>
      <c r="I18" s="50">
        <f>IF(G18="","",ROUND(G18*H18,2))</f>
        <v/>
      </c>
      <c r="J18" s="50">
        <f>IF(G18="","",G18+N(I18))</f>
        <v/>
      </c>
      <c r="K18" s="45" t="n"/>
      <c r="L18" s="47" t="n"/>
      <c r="M18" s="48" t="n"/>
      <c r="N18" s="49" t="n"/>
      <c r="O18" s="50">
        <f>IF(M18="","",ROUND(M18*N18,2))</f>
        <v/>
      </c>
      <c r="P18" s="50">
        <f>IF(M18="","",M18+N(O18))</f>
        <v/>
      </c>
      <c r="Q18" s="45" t="n"/>
      <c r="R18" s="45" t="n"/>
      <c r="S18" s="51">
        <f>IF(L18="","",IF(COUNTIF(L$6:L18,L18)&gt;1,"",SUMIF(L$6:L$2000,L18,M$6:M$2000)-SUMIF(L$6:L$2000,L18,G$6:G$2000)))</f>
        <v/>
      </c>
      <c r="T18" s="46">
        <f>IF(AND(C18="",G18=""),"",IF(L18="","Nog factureren",IF(AND(G18&lt;&gt;"",OR(K18="",K18&gt;TODAY())),"Nog betalen",IF(OR(R18="",R18&gt;TODAY()),"Wacht op klant","Afgerond"))))</f>
        <v/>
      </c>
    </row>
    <row r="19">
      <c r="A19" s="45" t="n"/>
      <c r="B19" s="46">
        <f>IF(A19="","",YEAR(A19)&amp;" Q"&amp;ROUNDUP(MONTH(A19)/3,0))</f>
        <v/>
      </c>
      <c r="C19" s="47" t="n"/>
      <c r="D19" s="47" t="n"/>
      <c r="E19" s="47" t="n"/>
      <c r="F19" s="47" t="n"/>
      <c r="G19" s="48" t="n"/>
      <c r="H19" s="49" t="n"/>
      <c r="I19" s="50">
        <f>IF(G19="","",ROUND(G19*H19,2))</f>
        <v/>
      </c>
      <c r="J19" s="50">
        <f>IF(G19="","",G19+N(I19))</f>
        <v/>
      </c>
      <c r="K19" s="45" t="n"/>
      <c r="L19" s="47" t="n"/>
      <c r="M19" s="48" t="n"/>
      <c r="N19" s="49" t="n"/>
      <c r="O19" s="50">
        <f>IF(M19="","",ROUND(M19*N19,2))</f>
        <v/>
      </c>
      <c r="P19" s="50">
        <f>IF(M19="","",M19+N(O19))</f>
        <v/>
      </c>
      <c r="Q19" s="45" t="n"/>
      <c r="R19" s="45" t="n"/>
      <c r="S19" s="51">
        <f>IF(L19="","",IF(COUNTIF(L$6:L19,L19)&gt;1,"",SUMIF(L$6:L$2000,L19,M$6:M$2000)-SUMIF(L$6:L$2000,L19,G$6:G$2000)))</f>
        <v/>
      </c>
      <c r="T19" s="46">
        <f>IF(AND(C19="",G19=""),"",IF(L19="","Nog factureren",IF(AND(G19&lt;&gt;"",OR(K19="",K19&gt;TODAY())),"Nog betalen",IF(OR(R19="",R19&gt;TODAY()),"Wacht op klant","Afgerond"))))</f>
        <v/>
      </c>
    </row>
    <row r="20">
      <c r="A20" s="45" t="n"/>
      <c r="B20" s="46">
        <f>IF(A20="","",YEAR(A20)&amp;" Q"&amp;ROUNDUP(MONTH(A20)/3,0))</f>
        <v/>
      </c>
      <c r="C20" s="47" t="n"/>
      <c r="D20" s="47" t="n"/>
      <c r="E20" s="47" t="n"/>
      <c r="F20" s="47" t="n"/>
      <c r="G20" s="48" t="n"/>
      <c r="H20" s="49" t="n"/>
      <c r="I20" s="50">
        <f>IF(G20="","",ROUND(G20*H20,2))</f>
        <v/>
      </c>
      <c r="J20" s="50">
        <f>IF(G20="","",G20+N(I20))</f>
        <v/>
      </c>
      <c r="K20" s="45" t="n"/>
      <c r="L20" s="47" t="n"/>
      <c r="M20" s="48" t="n"/>
      <c r="N20" s="49" t="n"/>
      <c r="O20" s="50">
        <f>IF(M20="","",ROUND(M20*N20,2))</f>
        <v/>
      </c>
      <c r="P20" s="50">
        <f>IF(M20="","",M20+N(O20))</f>
        <v/>
      </c>
      <c r="Q20" s="45" t="n"/>
      <c r="R20" s="45" t="n"/>
      <c r="S20" s="51">
        <f>IF(L20="","",IF(COUNTIF(L$6:L20,L20)&gt;1,"",SUMIF(L$6:L$2000,L20,M$6:M$2000)-SUMIF(L$6:L$2000,L20,G$6:G$2000)))</f>
        <v/>
      </c>
      <c r="T20" s="46">
        <f>IF(AND(C20="",G20=""),"",IF(L20="","Nog factureren",IF(AND(G20&lt;&gt;"",OR(K20="",K20&gt;TODAY())),"Nog betalen",IF(OR(R20="",R20&gt;TODAY()),"Wacht op klant","Afgerond"))))</f>
        <v/>
      </c>
    </row>
    <row r="21">
      <c r="A21" s="45" t="n"/>
      <c r="B21" s="46">
        <f>IF(A21="","",YEAR(A21)&amp;" Q"&amp;ROUNDUP(MONTH(A21)/3,0))</f>
        <v/>
      </c>
      <c r="C21" s="47" t="n"/>
      <c r="D21" s="47" t="n"/>
      <c r="E21" s="47" t="n"/>
      <c r="F21" s="47" t="n"/>
      <c r="G21" s="48" t="n"/>
      <c r="H21" s="49" t="n"/>
      <c r="I21" s="50">
        <f>IF(G21="","",ROUND(G21*H21,2))</f>
        <v/>
      </c>
      <c r="J21" s="50">
        <f>IF(G21="","",G21+N(I21))</f>
        <v/>
      </c>
      <c r="K21" s="45" t="n"/>
      <c r="L21" s="47" t="n"/>
      <c r="M21" s="48" t="n"/>
      <c r="N21" s="49" t="n"/>
      <c r="O21" s="50">
        <f>IF(M21="","",ROUND(M21*N21,2))</f>
        <v/>
      </c>
      <c r="P21" s="50">
        <f>IF(M21="","",M21+N(O21))</f>
        <v/>
      </c>
      <c r="Q21" s="45" t="n"/>
      <c r="R21" s="45" t="n"/>
      <c r="S21" s="51">
        <f>IF(L21="","",IF(COUNTIF(L$6:L21,L21)&gt;1,"",SUMIF(L$6:L$2000,L21,M$6:M$2000)-SUMIF(L$6:L$2000,L21,G$6:G$2000)))</f>
        <v/>
      </c>
      <c r="T21" s="46">
        <f>IF(AND(C21="",G21=""),"",IF(L21="","Nog factureren",IF(AND(G21&lt;&gt;"",OR(K21="",K21&gt;TODAY())),"Nog betalen",IF(OR(R21="",R21&gt;TODAY()),"Wacht op klant","Afgerond"))))</f>
        <v/>
      </c>
    </row>
    <row r="22">
      <c r="A22" s="45" t="n"/>
      <c r="B22" s="46">
        <f>IF(A22="","",YEAR(A22)&amp;" Q"&amp;ROUNDUP(MONTH(A22)/3,0))</f>
        <v/>
      </c>
      <c r="C22" s="47" t="n"/>
      <c r="D22" s="47" t="n"/>
      <c r="E22" s="47" t="n"/>
      <c r="F22" s="47" t="n"/>
      <c r="G22" s="48" t="n"/>
      <c r="H22" s="49" t="n"/>
      <c r="I22" s="50">
        <f>IF(G22="","",ROUND(G22*H22,2))</f>
        <v/>
      </c>
      <c r="J22" s="50">
        <f>IF(G22="","",G22+N(I22))</f>
        <v/>
      </c>
      <c r="K22" s="45" t="n"/>
      <c r="L22" s="47" t="n"/>
      <c r="M22" s="48" t="n"/>
      <c r="N22" s="49" t="n"/>
      <c r="O22" s="50">
        <f>IF(M22="","",ROUND(M22*N22,2))</f>
        <v/>
      </c>
      <c r="P22" s="50">
        <f>IF(M22="","",M22+N(O22))</f>
        <v/>
      </c>
      <c r="Q22" s="45" t="n"/>
      <c r="R22" s="45" t="n"/>
      <c r="S22" s="51">
        <f>IF(L22="","",IF(COUNTIF(L$6:L22,L22)&gt;1,"",SUMIF(L$6:L$2000,L22,M$6:M$2000)-SUMIF(L$6:L$2000,L22,G$6:G$2000)))</f>
        <v/>
      </c>
      <c r="T22" s="46">
        <f>IF(AND(C22="",G22=""),"",IF(L22="","Nog factureren",IF(AND(G22&lt;&gt;"",OR(K22="",K22&gt;TODAY())),"Nog betalen",IF(OR(R22="",R22&gt;TODAY()),"Wacht op klant","Afgerond"))))</f>
        <v/>
      </c>
    </row>
    <row r="23">
      <c r="A23" s="45" t="n"/>
      <c r="B23" s="46">
        <f>IF(A23="","",YEAR(A23)&amp;" Q"&amp;ROUNDUP(MONTH(A23)/3,0))</f>
        <v/>
      </c>
      <c r="C23" s="47" t="n"/>
      <c r="D23" s="47" t="n"/>
      <c r="E23" s="47" t="n"/>
      <c r="F23" s="47" t="n"/>
      <c r="G23" s="48" t="n"/>
      <c r="H23" s="49" t="n"/>
      <c r="I23" s="50">
        <f>IF(G23="","",ROUND(G23*H23,2))</f>
        <v/>
      </c>
      <c r="J23" s="50">
        <f>IF(G23="","",G23+N(I23))</f>
        <v/>
      </c>
      <c r="K23" s="45" t="n"/>
      <c r="L23" s="47" t="n"/>
      <c r="M23" s="48" t="n"/>
      <c r="N23" s="49" t="n"/>
      <c r="O23" s="50">
        <f>IF(M23="","",ROUND(M23*N23,2))</f>
        <v/>
      </c>
      <c r="P23" s="50">
        <f>IF(M23="","",M23+N(O23))</f>
        <v/>
      </c>
      <c r="Q23" s="45" t="n"/>
      <c r="R23" s="45" t="n"/>
      <c r="S23" s="51">
        <f>IF(L23="","",IF(COUNTIF(L$6:L23,L23)&gt;1,"",SUMIF(L$6:L$2000,L23,M$6:M$2000)-SUMIF(L$6:L$2000,L23,G$6:G$2000)))</f>
        <v/>
      </c>
      <c r="T23" s="46">
        <f>IF(AND(C23="",G23=""),"",IF(L23="","Nog factureren",IF(AND(G23&lt;&gt;"",OR(K23="",K23&gt;TODAY())),"Nog betalen",IF(OR(R23="",R23&gt;TODAY()),"Wacht op klant","Afgerond"))))</f>
        <v/>
      </c>
    </row>
    <row r="24">
      <c r="A24" s="45" t="n"/>
      <c r="B24" s="46">
        <f>IF(A24="","",YEAR(A24)&amp;" Q"&amp;ROUNDUP(MONTH(A24)/3,0))</f>
        <v/>
      </c>
      <c r="C24" s="47" t="n"/>
      <c r="D24" s="47" t="n"/>
      <c r="E24" s="47" t="n"/>
      <c r="F24" s="47" t="n"/>
      <c r="G24" s="48" t="n"/>
      <c r="H24" s="49" t="n"/>
      <c r="I24" s="50">
        <f>IF(G24="","",ROUND(G24*H24,2))</f>
        <v/>
      </c>
      <c r="J24" s="50">
        <f>IF(G24="","",G24+N(I24))</f>
        <v/>
      </c>
      <c r="K24" s="45" t="n"/>
      <c r="L24" s="47" t="n"/>
      <c r="M24" s="48" t="n"/>
      <c r="N24" s="49" t="n"/>
      <c r="O24" s="50">
        <f>IF(M24="","",ROUND(M24*N24,2))</f>
        <v/>
      </c>
      <c r="P24" s="50">
        <f>IF(M24="","",M24+N(O24))</f>
        <v/>
      </c>
      <c r="Q24" s="45" t="n"/>
      <c r="R24" s="45" t="n"/>
      <c r="S24" s="51">
        <f>IF(L24="","",IF(COUNTIF(L$6:L24,L24)&gt;1,"",SUMIF(L$6:L$2000,L24,M$6:M$2000)-SUMIF(L$6:L$2000,L24,G$6:G$2000)))</f>
        <v/>
      </c>
      <c r="T24" s="46">
        <f>IF(AND(C24="",G24=""),"",IF(L24="","Nog factureren",IF(AND(G24&lt;&gt;"",OR(K24="",K24&gt;TODAY())),"Nog betalen",IF(OR(R24="",R24&gt;TODAY()),"Wacht op klant","Afgerond"))))</f>
        <v/>
      </c>
    </row>
    <row r="25">
      <c r="A25" s="45" t="n"/>
      <c r="B25" s="46">
        <f>IF(A25="","",YEAR(A25)&amp;" Q"&amp;ROUNDUP(MONTH(A25)/3,0))</f>
        <v/>
      </c>
      <c r="C25" s="47" t="n"/>
      <c r="D25" s="47" t="n"/>
      <c r="E25" s="47" t="n"/>
      <c r="F25" s="47" t="n"/>
      <c r="G25" s="48" t="n"/>
      <c r="H25" s="49" t="n"/>
      <c r="I25" s="50">
        <f>IF(G25="","",ROUND(G25*H25,2))</f>
        <v/>
      </c>
      <c r="J25" s="50">
        <f>IF(G25="","",G25+N(I25))</f>
        <v/>
      </c>
      <c r="K25" s="45" t="n"/>
      <c r="L25" s="47" t="n"/>
      <c r="M25" s="48" t="n"/>
      <c r="N25" s="49" t="n"/>
      <c r="O25" s="50">
        <f>IF(M25="","",ROUND(M25*N25,2))</f>
        <v/>
      </c>
      <c r="P25" s="50">
        <f>IF(M25="","",M25+N(O25))</f>
        <v/>
      </c>
      <c r="Q25" s="45" t="n"/>
      <c r="R25" s="45" t="n"/>
      <c r="S25" s="51">
        <f>IF(L25="","",IF(COUNTIF(L$6:L25,L25)&gt;1,"",SUMIF(L$6:L$2000,L25,M$6:M$2000)-SUMIF(L$6:L$2000,L25,G$6:G$2000)))</f>
        <v/>
      </c>
      <c r="T25" s="46">
        <f>IF(AND(C25="",G25=""),"",IF(L25="","Nog factureren",IF(AND(G25&lt;&gt;"",OR(K25="",K25&gt;TODAY())),"Nog betalen",IF(OR(R25="",R25&gt;TODAY()),"Wacht op klant","Afgerond"))))</f>
        <v/>
      </c>
    </row>
    <row r="26">
      <c r="A26" s="45" t="n"/>
      <c r="B26" s="46">
        <f>IF(A26="","",YEAR(A26)&amp;" Q"&amp;ROUNDUP(MONTH(A26)/3,0))</f>
        <v/>
      </c>
      <c r="C26" s="47" t="n"/>
      <c r="D26" s="47" t="n"/>
      <c r="E26" s="47" t="n"/>
      <c r="F26" s="47" t="n"/>
      <c r="G26" s="48" t="n"/>
      <c r="H26" s="49" t="n"/>
      <c r="I26" s="50">
        <f>IF(G26="","",ROUND(G26*H26,2))</f>
        <v/>
      </c>
      <c r="J26" s="50">
        <f>IF(G26="","",G26+N(I26))</f>
        <v/>
      </c>
      <c r="K26" s="45" t="n"/>
      <c r="L26" s="47" t="n"/>
      <c r="M26" s="48" t="n"/>
      <c r="N26" s="49" t="n"/>
      <c r="O26" s="50">
        <f>IF(M26="","",ROUND(M26*N26,2))</f>
        <v/>
      </c>
      <c r="P26" s="50">
        <f>IF(M26="","",M26+N(O26))</f>
        <v/>
      </c>
      <c r="Q26" s="45" t="n"/>
      <c r="R26" s="45" t="n"/>
      <c r="S26" s="51">
        <f>IF(L26="","",IF(COUNTIF(L$6:L26,L26)&gt;1,"",SUMIF(L$6:L$2000,L26,M$6:M$2000)-SUMIF(L$6:L$2000,L26,G$6:G$2000)))</f>
        <v/>
      </c>
      <c r="T26" s="46">
        <f>IF(AND(C26="",G26=""),"",IF(L26="","Nog factureren",IF(AND(G26&lt;&gt;"",OR(K26="",K26&gt;TODAY())),"Nog betalen",IF(OR(R26="",R26&gt;TODAY()),"Wacht op klant","Afgerond"))))</f>
        <v/>
      </c>
    </row>
    <row r="27">
      <c r="A27" s="45" t="n"/>
      <c r="B27" s="46">
        <f>IF(A27="","",YEAR(A27)&amp;" Q"&amp;ROUNDUP(MONTH(A27)/3,0))</f>
        <v/>
      </c>
      <c r="C27" s="47" t="n"/>
      <c r="D27" s="47" t="n"/>
      <c r="E27" s="47" t="n"/>
      <c r="F27" s="47" t="n"/>
      <c r="G27" s="48" t="n"/>
      <c r="H27" s="49" t="n"/>
      <c r="I27" s="50">
        <f>IF(G27="","",ROUND(G27*H27,2))</f>
        <v/>
      </c>
      <c r="J27" s="50">
        <f>IF(G27="","",G27+N(I27))</f>
        <v/>
      </c>
      <c r="K27" s="45" t="n"/>
      <c r="L27" s="47" t="n"/>
      <c r="M27" s="48" t="n"/>
      <c r="N27" s="49" t="n"/>
      <c r="O27" s="50">
        <f>IF(M27="","",ROUND(M27*N27,2))</f>
        <v/>
      </c>
      <c r="P27" s="50">
        <f>IF(M27="","",M27+N(O27))</f>
        <v/>
      </c>
      <c r="Q27" s="45" t="n"/>
      <c r="R27" s="45" t="n"/>
      <c r="S27" s="51">
        <f>IF(L27="","",IF(COUNTIF(L$6:L27,L27)&gt;1,"",SUMIF(L$6:L$2000,L27,M$6:M$2000)-SUMIF(L$6:L$2000,L27,G$6:G$2000)))</f>
        <v/>
      </c>
      <c r="T27" s="46">
        <f>IF(AND(C27="",G27=""),"",IF(L27="","Nog factureren",IF(AND(G27&lt;&gt;"",OR(K27="",K27&gt;TODAY())),"Nog betalen",IF(OR(R27="",R27&gt;TODAY()),"Wacht op klant","Afgerond"))))</f>
        <v/>
      </c>
    </row>
    <row r="28">
      <c r="A28" s="45" t="n"/>
      <c r="B28" s="46">
        <f>IF(A28="","",YEAR(A28)&amp;" Q"&amp;ROUNDUP(MONTH(A28)/3,0))</f>
        <v/>
      </c>
      <c r="C28" s="47" t="n"/>
      <c r="D28" s="47" t="n"/>
      <c r="E28" s="47" t="n"/>
      <c r="F28" s="47" t="n"/>
      <c r="G28" s="48" t="n"/>
      <c r="H28" s="49" t="n"/>
      <c r="I28" s="50">
        <f>IF(G28="","",ROUND(G28*H28,2))</f>
        <v/>
      </c>
      <c r="J28" s="50">
        <f>IF(G28="","",G28+N(I28))</f>
        <v/>
      </c>
      <c r="K28" s="45" t="n"/>
      <c r="L28" s="47" t="n"/>
      <c r="M28" s="48" t="n"/>
      <c r="N28" s="49" t="n"/>
      <c r="O28" s="50">
        <f>IF(M28="","",ROUND(M28*N28,2))</f>
        <v/>
      </c>
      <c r="P28" s="50">
        <f>IF(M28="","",M28+N(O28))</f>
        <v/>
      </c>
      <c r="Q28" s="45" t="n"/>
      <c r="R28" s="45" t="n"/>
      <c r="S28" s="51">
        <f>IF(L28="","",IF(COUNTIF(L$6:L28,L28)&gt;1,"",SUMIF(L$6:L$2000,L28,M$6:M$2000)-SUMIF(L$6:L$2000,L28,G$6:G$2000)))</f>
        <v/>
      </c>
      <c r="T28" s="46">
        <f>IF(AND(C28="",G28=""),"",IF(L28="","Nog factureren",IF(AND(G28&lt;&gt;"",OR(K28="",K28&gt;TODAY())),"Nog betalen",IF(OR(R28="",R28&gt;TODAY()),"Wacht op klant","Afgerond"))))</f>
        <v/>
      </c>
    </row>
    <row r="29">
      <c r="A29" s="45" t="n"/>
      <c r="B29" s="46">
        <f>IF(A29="","",YEAR(A29)&amp;" Q"&amp;ROUNDUP(MONTH(A29)/3,0))</f>
        <v/>
      </c>
      <c r="C29" s="47" t="n"/>
      <c r="D29" s="47" t="n"/>
      <c r="E29" s="47" t="n"/>
      <c r="F29" s="47" t="n"/>
      <c r="G29" s="48" t="n"/>
      <c r="H29" s="49" t="n"/>
      <c r="I29" s="50">
        <f>IF(G29="","",ROUND(G29*H29,2))</f>
        <v/>
      </c>
      <c r="J29" s="50">
        <f>IF(G29="","",G29+N(I29))</f>
        <v/>
      </c>
      <c r="K29" s="45" t="n"/>
      <c r="L29" s="47" t="n"/>
      <c r="M29" s="48" t="n"/>
      <c r="N29" s="49" t="n"/>
      <c r="O29" s="50">
        <f>IF(M29="","",ROUND(M29*N29,2))</f>
        <v/>
      </c>
      <c r="P29" s="50">
        <f>IF(M29="","",M29+N(O29))</f>
        <v/>
      </c>
      <c r="Q29" s="45" t="n"/>
      <c r="R29" s="45" t="n"/>
      <c r="S29" s="51">
        <f>IF(L29="","",IF(COUNTIF(L$6:L29,L29)&gt;1,"",SUMIF(L$6:L$2000,L29,M$6:M$2000)-SUMIF(L$6:L$2000,L29,G$6:G$2000)))</f>
        <v/>
      </c>
      <c r="T29" s="46">
        <f>IF(AND(C29="",G29=""),"",IF(L29="","Nog factureren",IF(AND(G29&lt;&gt;"",OR(K29="",K29&gt;TODAY())),"Nog betalen",IF(OR(R29="",R29&gt;TODAY()),"Wacht op klant","Afgerond"))))</f>
        <v/>
      </c>
    </row>
    <row r="30">
      <c r="A30" s="45" t="n"/>
      <c r="B30" s="46">
        <f>IF(A30="","",YEAR(A30)&amp;" Q"&amp;ROUNDUP(MONTH(A30)/3,0))</f>
        <v/>
      </c>
      <c r="C30" s="47" t="n"/>
      <c r="D30" s="47" t="n"/>
      <c r="E30" s="47" t="n"/>
      <c r="F30" s="47" t="n"/>
      <c r="G30" s="48" t="n"/>
      <c r="H30" s="49" t="n"/>
      <c r="I30" s="50">
        <f>IF(G30="","",ROUND(G30*H30,2))</f>
        <v/>
      </c>
      <c r="J30" s="50">
        <f>IF(G30="","",G30+N(I30))</f>
        <v/>
      </c>
      <c r="K30" s="45" t="n"/>
      <c r="L30" s="47" t="n"/>
      <c r="M30" s="48" t="n"/>
      <c r="N30" s="49" t="n"/>
      <c r="O30" s="50">
        <f>IF(M30="","",ROUND(M30*N30,2))</f>
        <v/>
      </c>
      <c r="P30" s="50">
        <f>IF(M30="","",M30+N(O30))</f>
        <v/>
      </c>
      <c r="Q30" s="45" t="n"/>
      <c r="R30" s="45" t="n"/>
      <c r="S30" s="51">
        <f>IF(L30="","",IF(COUNTIF(L$6:L30,L30)&gt;1,"",SUMIF(L$6:L$2000,L30,M$6:M$2000)-SUMIF(L$6:L$2000,L30,G$6:G$2000)))</f>
        <v/>
      </c>
      <c r="T30" s="46">
        <f>IF(AND(C30="",G30=""),"",IF(L30="","Nog factureren",IF(AND(G30&lt;&gt;"",OR(K30="",K30&gt;TODAY())),"Nog betalen",IF(OR(R30="",R30&gt;TODAY()),"Wacht op klant","Afgerond"))))</f>
        <v/>
      </c>
    </row>
    <row r="31">
      <c r="A31" s="45" t="n"/>
      <c r="B31" s="46">
        <f>IF(A31="","",YEAR(A31)&amp;" Q"&amp;ROUNDUP(MONTH(A31)/3,0))</f>
        <v/>
      </c>
      <c r="C31" s="47" t="n"/>
      <c r="D31" s="47" t="n"/>
      <c r="E31" s="47" t="n"/>
      <c r="F31" s="47" t="n"/>
      <c r="G31" s="48" t="n"/>
      <c r="H31" s="49" t="n"/>
      <c r="I31" s="50">
        <f>IF(G31="","",ROUND(G31*H31,2))</f>
        <v/>
      </c>
      <c r="J31" s="50">
        <f>IF(G31="","",G31+N(I31))</f>
        <v/>
      </c>
      <c r="K31" s="45" t="n"/>
      <c r="L31" s="47" t="n"/>
      <c r="M31" s="48" t="n"/>
      <c r="N31" s="49" t="n"/>
      <c r="O31" s="50">
        <f>IF(M31="","",ROUND(M31*N31,2))</f>
        <v/>
      </c>
      <c r="P31" s="50">
        <f>IF(M31="","",M31+N(O31))</f>
        <v/>
      </c>
      <c r="Q31" s="45" t="n"/>
      <c r="R31" s="45" t="n"/>
      <c r="S31" s="51">
        <f>IF(L31="","",IF(COUNTIF(L$6:L31,L31)&gt;1,"",SUMIF(L$6:L$2000,L31,M$6:M$2000)-SUMIF(L$6:L$2000,L31,G$6:G$2000)))</f>
        <v/>
      </c>
      <c r="T31" s="46">
        <f>IF(AND(C31="",G31=""),"",IF(L31="","Nog factureren",IF(AND(G31&lt;&gt;"",OR(K31="",K31&gt;TODAY())),"Nog betalen",IF(OR(R31="",R31&gt;TODAY()),"Wacht op klant","Afgerond"))))</f>
        <v/>
      </c>
    </row>
    <row r="32">
      <c r="A32" s="45" t="n"/>
      <c r="B32" s="46">
        <f>IF(A32="","",YEAR(A32)&amp;" Q"&amp;ROUNDUP(MONTH(A32)/3,0))</f>
        <v/>
      </c>
      <c r="C32" s="47" t="n"/>
      <c r="D32" s="47" t="n"/>
      <c r="E32" s="47" t="n"/>
      <c r="F32" s="47" t="n"/>
      <c r="G32" s="48" t="n"/>
      <c r="H32" s="49" t="n"/>
      <c r="I32" s="50">
        <f>IF(G32="","",ROUND(G32*H32,2))</f>
        <v/>
      </c>
      <c r="J32" s="50">
        <f>IF(G32="","",G32+N(I32))</f>
        <v/>
      </c>
      <c r="K32" s="45" t="n"/>
      <c r="L32" s="47" t="n"/>
      <c r="M32" s="48" t="n"/>
      <c r="N32" s="49" t="n"/>
      <c r="O32" s="50">
        <f>IF(M32="","",ROUND(M32*N32,2))</f>
        <v/>
      </c>
      <c r="P32" s="50">
        <f>IF(M32="","",M32+N(O32))</f>
        <v/>
      </c>
      <c r="Q32" s="45" t="n"/>
      <c r="R32" s="45" t="n"/>
      <c r="S32" s="51">
        <f>IF(L32="","",IF(COUNTIF(L$6:L32,L32)&gt;1,"",SUMIF(L$6:L$2000,L32,M$6:M$2000)-SUMIF(L$6:L$2000,L32,G$6:G$2000)))</f>
        <v/>
      </c>
      <c r="T32" s="46">
        <f>IF(AND(C32="",G32=""),"",IF(L32="","Nog factureren",IF(AND(G32&lt;&gt;"",OR(K32="",K32&gt;TODAY())),"Nog betalen",IF(OR(R32="",R32&gt;TODAY()),"Wacht op klant","Afgerond"))))</f>
        <v/>
      </c>
    </row>
    <row r="33">
      <c r="A33" s="45" t="n"/>
      <c r="B33" s="46">
        <f>IF(A33="","",YEAR(A33)&amp;" Q"&amp;ROUNDUP(MONTH(A33)/3,0))</f>
        <v/>
      </c>
      <c r="C33" s="47" t="n"/>
      <c r="D33" s="47" t="n"/>
      <c r="E33" s="47" t="n"/>
      <c r="F33" s="47" t="n"/>
      <c r="G33" s="48" t="n"/>
      <c r="H33" s="49" t="n"/>
      <c r="I33" s="50">
        <f>IF(G33="","",ROUND(G33*H33,2))</f>
        <v/>
      </c>
      <c r="J33" s="50">
        <f>IF(G33="","",G33+N(I33))</f>
        <v/>
      </c>
      <c r="K33" s="45" t="n"/>
      <c r="L33" s="47" t="n"/>
      <c r="M33" s="48" t="n"/>
      <c r="N33" s="49" t="n"/>
      <c r="O33" s="50">
        <f>IF(M33="","",ROUND(M33*N33,2))</f>
        <v/>
      </c>
      <c r="P33" s="50">
        <f>IF(M33="","",M33+N(O33))</f>
        <v/>
      </c>
      <c r="Q33" s="45" t="n"/>
      <c r="R33" s="45" t="n"/>
      <c r="S33" s="51">
        <f>IF(L33="","",IF(COUNTIF(L$6:L33,L33)&gt;1,"",SUMIF(L$6:L$2000,L33,M$6:M$2000)-SUMIF(L$6:L$2000,L33,G$6:G$2000)))</f>
        <v/>
      </c>
      <c r="T33" s="46">
        <f>IF(AND(C33="",G33=""),"",IF(L33="","Nog factureren",IF(AND(G33&lt;&gt;"",OR(K33="",K33&gt;TODAY())),"Nog betalen",IF(OR(R33="",R33&gt;TODAY()),"Wacht op klant","Afgerond"))))</f>
        <v/>
      </c>
    </row>
    <row r="34">
      <c r="A34" s="45" t="n"/>
      <c r="B34" s="46">
        <f>IF(A34="","",YEAR(A34)&amp;" Q"&amp;ROUNDUP(MONTH(A34)/3,0))</f>
        <v/>
      </c>
      <c r="C34" s="47" t="n"/>
      <c r="D34" s="47" t="n"/>
      <c r="E34" s="47" t="n"/>
      <c r="F34" s="47" t="n"/>
      <c r="G34" s="48" t="n"/>
      <c r="H34" s="49" t="n"/>
      <c r="I34" s="50">
        <f>IF(G34="","",ROUND(G34*H34,2))</f>
        <v/>
      </c>
      <c r="J34" s="50">
        <f>IF(G34="","",G34+N(I34))</f>
        <v/>
      </c>
      <c r="K34" s="45" t="n"/>
      <c r="L34" s="47" t="n"/>
      <c r="M34" s="48" t="n"/>
      <c r="N34" s="49" t="n"/>
      <c r="O34" s="50">
        <f>IF(M34="","",ROUND(M34*N34,2))</f>
        <v/>
      </c>
      <c r="P34" s="50">
        <f>IF(M34="","",M34+N(O34))</f>
        <v/>
      </c>
      <c r="Q34" s="45" t="n"/>
      <c r="R34" s="45" t="n"/>
      <c r="S34" s="51">
        <f>IF(L34="","",IF(COUNTIF(L$6:L34,L34)&gt;1,"",SUMIF(L$6:L$2000,L34,M$6:M$2000)-SUMIF(L$6:L$2000,L34,G$6:G$2000)))</f>
        <v/>
      </c>
      <c r="T34" s="46">
        <f>IF(AND(C34="",G34=""),"",IF(L34="","Nog factureren",IF(AND(G34&lt;&gt;"",OR(K34="",K34&gt;TODAY())),"Nog betalen",IF(OR(R34="",R34&gt;TODAY()),"Wacht op klant","Afgerond"))))</f>
        <v/>
      </c>
    </row>
    <row r="35">
      <c r="A35" s="45" t="n"/>
      <c r="B35" s="46">
        <f>IF(A35="","",YEAR(A35)&amp;" Q"&amp;ROUNDUP(MONTH(A35)/3,0))</f>
        <v/>
      </c>
      <c r="C35" s="47" t="n"/>
      <c r="D35" s="47" t="n"/>
      <c r="E35" s="47" t="n"/>
      <c r="F35" s="47" t="n"/>
      <c r="G35" s="48" t="n"/>
      <c r="H35" s="49" t="n"/>
      <c r="I35" s="50">
        <f>IF(G35="","",ROUND(G35*H35,2))</f>
        <v/>
      </c>
      <c r="J35" s="50">
        <f>IF(G35="","",G35+N(I35))</f>
        <v/>
      </c>
      <c r="K35" s="45" t="n"/>
      <c r="L35" s="47" t="n"/>
      <c r="M35" s="48" t="n"/>
      <c r="N35" s="49" t="n"/>
      <c r="O35" s="50">
        <f>IF(M35="","",ROUND(M35*N35,2))</f>
        <v/>
      </c>
      <c r="P35" s="50">
        <f>IF(M35="","",M35+N(O35))</f>
        <v/>
      </c>
      <c r="Q35" s="45" t="n"/>
      <c r="R35" s="45" t="n"/>
      <c r="S35" s="51">
        <f>IF(L35="","",IF(COUNTIF(L$6:L35,L35)&gt;1,"",SUMIF(L$6:L$2000,L35,M$6:M$2000)-SUMIF(L$6:L$2000,L35,G$6:G$2000)))</f>
        <v/>
      </c>
      <c r="T35" s="46">
        <f>IF(AND(C35="",G35=""),"",IF(L35="","Nog factureren",IF(AND(G35&lt;&gt;"",OR(K35="",K35&gt;TODAY())),"Nog betalen",IF(OR(R35="",R35&gt;TODAY()),"Wacht op klant","Afgerond"))))</f>
        <v/>
      </c>
    </row>
    <row r="36">
      <c r="A36" s="45" t="n"/>
      <c r="B36" s="46">
        <f>IF(A36="","",YEAR(A36)&amp;" Q"&amp;ROUNDUP(MONTH(A36)/3,0))</f>
        <v/>
      </c>
      <c r="C36" s="47" t="n"/>
      <c r="D36" s="47" t="n"/>
      <c r="E36" s="47" t="n"/>
      <c r="F36" s="47" t="n"/>
      <c r="G36" s="48" t="n"/>
      <c r="H36" s="49" t="n"/>
      <c r="I36" s="50">
        <f>IF(G36="","",ROUND(G36*H36,2))</f>
        <v/>
      </c>
      <c r="J36" s="50">
        <f>IF(G36="","",G36+N(I36))</f>
        <v/>
      </c>
      <c r="K36" s="45" t="n"/>
      <c r="L36" s="47" t="n"/>
      <c r="M36" s="48" t="n"/>
      <c r="N36" s="49" t="n"/>
      <c r="O36" s="50">
        <f>IF(M36="","",ROUND(M36*N36,2))</f>
        <v/>
      </c>
      <c r="P36" s="50">
        <f>IF(M36="","",M36+N(O36))</f>
        <v/>
      </c>
      <c r="Q36" s="45" t="n"/>
      <c r="R36" s="45" t="n"/>
      <c r="S36" s="51">
        <f>IF(L36="","",IF(COUNTIF(L$6:L36,L36)&gt;1,"",SUMIF(L$6:L$2000,L36,M$6:M$2000)-SUMIF(L$6:L$2000,L36,G$6:G$2000)))</f>
        <v/>
      </c>
      <c r="T36" s="46">
        <f>IF(AND(C36="",G36=""),"",IF(L36="","Nog factureren",IF(AND(G36&lt;&gt;"",OR(K36="",K36&gt;TODAY())),"Nog betalen",IF(OR(R36="",R36&gt;TODAY()),"Wacht op klant","Afgerond"))))</f>
        <v/>
      </c>
    </row>
    <row r="37">
      <c r="A37" s="45" t="n"/>
      <c r="B37" s="46">
        <f>IF(A37="","",YEAR(A37)&amp;" Q"&amp;ROUNDUP(MONTH(A37)/3,0))</f>
        <v/>
      </c>
      <c r="C37" s="47" t="n"/>
      <c r="D37" s="47" t="n"/>
      <c r="E37" s="47" t="n"/>
      <c r="F37" s="47" t="n"/>
      <c r="G37" s="48" t="n"/>
      <c r="H37" s="49" t="n"/>
      <c r="I37" s="50">
        <f>IF(G37="","",ROUND(G37*H37,2))</f>
        <v/>
      </c>
      <c r="J37" s="50">
        <f>IF(G37="","",G37+N(I37))</f>
        <v/>
      </c>
      <c r="K37" s="45" t="n"/>
      <c r="L37" s="47" t="n"/>
      <c r="M37" s="48" t="n"/>
      <c r="N37" s="49" t="n"/>
      <c r="O37" s="50">
        <f>IF(M37="","",ROUND(M37*N37,2))</f>
        <v/>
      </c>
      <c r="P37" s="50">
        <f>IF(M37="","",M37+N(O37))</f>
        <v/>
      </c>
      <c r="Q37" s="45" t="n"/>
      <c r="R37" s="45" t="n"/>
      <c r="S37" s="51">
        <f>IF(L37="","",IF(COUNTIF(L$6:L37,L37)&gt;1,"",SUMIF(L$6:L$2000,L37,M$6:M$2000)-SUMIF(L$6:L$2000,L37,G$6:G$2000)))</f>
        <v/>
      </c>
      <c r="T37" s="46">
        <f>IF(AND(C37="",G37=""),"",IF(L37="","Nog factureren",IF(AND(G37&lt;&gt;"",OR(K37="",K37&gt;TODAY())),"Nog betalen",IF(OR(R37="",R37&gt;TODAY()),"Wacht op klant","Afgerond"))))</f>
        <v/>
      </c>
    </row>
    <row r="38">
      <c r="A38" s="45" t="n"/>
      <c r="B38" s="46">
        <f>IF(A38="","",YEAR(A38)&amp;" Q"&amp;ROUNDUP(MONTH(A38)/3,0))</f>
        <v/>
      </c>
      <c r="C38" s="47" t="n"/>
      <c r="D38" s="47" t="n"/>
      <c r="E38" s="47" t="n"/>
      <c r="F38" s="47" t="n"/>
      <c r="G38" s="48" t="n"/>
      <c r="H38" s="49" t="n"/>
      <c r="I38" s="50">
        <f>IF(G38="","",ROUND(G38*H38,2))</f>
        <v/>
      </c>
      <c r="J38" s="50">
        <f>IF(G38="","",G38+N(I38))</f>
        <v/>
      </c>
      <c r="K38" s="45" t="n"/>
      <c r="L38" s="47" t="n"/>
      <c r="M38" s="48" t="n"/>
      <c r="N38" s="49" t="n"/>
      <c r="O38" s="50">
        <f>IF(M38="","",ROUND(M38*N38,2))</f>
        <v/>
      </c>
      <c r="P38" s="50">
        <f>IF(M38="","",M38+N(O38))</f>
        <v/>
      </c>
      <c r="Q38" s="45" t="n"/>
      <c r="R38" s="45" t="n"/>
      <c r="S38" s="51">
        <f>IF(L38="","",IF(COUNTIF(L$6:L38,L38)&gt;1,"",SUMIF(L$6:L$2000,L38,M$6:M$2000)-SUMIF(L$6:L$2000,L38,G$6:G$2000)))</f>
        <v/>
      </c>
      <c r="T38" s="46">
        <f>IF(AND(C38="",G38=""),"",IF(L38="","Nog factureren",IF(AND(G38&lt;&gt;"",OR(K38="",K38&gt;TODAY())),"Nog betalen",IF(OR(R38="",R38&gt;TODAY()),"Wacht op klant","Afgerond"))))</f>
        <v/>
      </c>
    </row>
    <row r="39">
      <c r="A39" s="45" t="n"/>
      <c r="B39" s="46">
        <f>IF(A39="","",YEAR(A39)&amp;" Q"&amp;ROUNDUP(MONTH(A39)/3,0))</f>
        <v/>
      </c>
      <c r="C39" s="47" t="n"/>
      <c r="D39" s="47" t="n"/>
      <c r="E39" s="47" t="n"/>
      <c r="F39" s="47" t="n"/>
      <c r="G39" s="48" t="n"/>
      <c r="H39" s="49" t="n"/>
      <c r="I39" s="50">
        <f>IF(G39="","",ROUND(G39*H39,2))</f>
        <v/>
      </c>
      <c r="J39" s="50">
        <f>IF(G39="","",G39+N(I39))</f>
        <v/>
      </c>
      <c r="K39" s="45" t="n"/>
      <c r="L39" s="47" t="n"/>
      <c r="M39" s="48" t="n"/>
      <c r="N39" s="49" t="n"/>
      <c r="O39" s="50">
        <f>IF(M39="","",ROUND(M39*N39,2))</f>
        <v/>
      </c>
      <c r="P39" s="50">
        <f>IF(M39="","",M39+N(O39))</f>
        <v/>
      </c>
      <c r="Q39" s="45" t="n"/>
      <c r="R39" s="45" t="n"/>
      <c r="S39" s="51">
        <f>IF(L39="","",IF(COUNTIF(L$6:L39,L39)&gt;1,"",SUMIF(L$6:L$2000,L39,M$6:M$2000)-SUMIF(L$6:L$2000,L39,G$6:G$2000)))</f>
        <v/>
      </c>
      <c r="T39" s="46">
        <f>IF(AND(C39="",G39=""),"",IF(L39="","Nog factureren",IF(AND(G39&lt;&gt;"",OR(K39="",K39&gt;TODAY())),"Nog betalen",IF(OR(R39="",R39&gt;TODAY()),"Wacht op klant","Afgerond"))))</f>
        <v/>
      </c>
    </row>
    <row r="40">
      <c r="A40" s="45" t="n"/>
      <c r="B40" s="46">
        <f>IF(A40="","",YEAR(A40)&amp;" Q"&amp;ROUNDUP(MONTH(A40)/3,0))</f>
        <v/>
      </c>
      <c r="C40" s="47" t="n"/>
      <c r="D40" s="47" t="n"/>
      <c r="E40" s="47" t="n"/>
      <c r="F40" s="47" t="n"/>
      <c r="G40" s="48" t="n"/>
      <c r="H40" s="49" t="n"/>
      <c r="I40" s="50">
        <f>IF(G40="","",ROUND(G40*H40,2))</f>
        <v/>
      </c>
      <c r="J40" s="50">
        <f>IF(G40="","",G40+N(I40))</f>
        <v/>
      </c>
      <c r="K40" s="45" t="n"/>
      <c r="L40" s="47" t="n"/>
      <c r="M40" s="48" t="n"/>
      <c r="N40" s="49" t="n"/>
      <c r="O40" s="50">
        <f>IF(M40="","",ROUND(M40*N40,2))</f>
        <v/>
      </c>
      <c r="P40" s="50">
        <f>IF(M40="","",M40+N(O40))</f>
        <v/>
      </c>
      <c r="Q40" s="45" t="n"/>
      <c r="R40" s="45" t="n"/>
      <c r="S40" s="51">
        <f>IF(L40="","",IF(COUNTIF(L$6:L40,L40)&gt;1,"",SUMIF(L$6:L$2000,L40,M$6:M$2000)-SUMIF(L$6:L$2000,L40,G$6:G$2000)))</f>
        <v/>
      </c>
      <c r="T40" s="46">
        <f>IF(AND(C40="",G40=""),"",IF(L40="","Nog factureren",IF(AND(G40&lt;&gt;"",OR(K40="",K40&gt;TODAY())),"Nog betalen",IF(OR(R40="",R40&gt;TODAY()),"Wacht op klant","Afgerond"))))</f>
        <v/>
      </c>
    </row>
    <row r="41">
      <c r="A41" s="45" t="n"/>
      <c r="B41" s="46">
        <f>IF(A41="","",YEAR(A41)&amp;" Q"&amp;ROUNDUP(MONTH(A41)/3,0))</f>
        <v/>
      </c>
      <c r="C41" s="47" t="n"/>
      <c r="D41" s="47" t="n"/>
      <c r="E41" s="47" t="n"/>
      <c r="F41" s="47" t="n"/>
      <c r="G41" s="48" t="n"/>
      <c r="H41" s="49" t="n"/>
      <c r="I41" s="50">
        <f>IF(G41="","",ROUND(G41*H41,2))</f>
        <v/>
      </c>
      <c r="J41" s="50">
        <f>IF(G41="","",G41+N(I41))</f>
        <v/>
      </c>
      <c r="K41" s="45" t="n"/>
      <c r="L41" s="47" t="n"/>
      <c r="M41" s="48" t="n"/>
      <c r="N41" s="49" t="n"/>
      <c r="O41" s="50">
        <f>IF(M41="","",ROUND(M41*N41,2))</f>
        <v/>
      </c>
      <c r="P41" s="50">
        <f>IF(M41="","",M41+N(O41))</f>
        <v/>
      </c>
      <c r="Q41" s="45" t="n"/>
      <c r="R41" s="45" t="n"/>
      <c r="S41" s="51">
        <f>IF(L41="","",IF(COUNTIF(L$6:L41,L41)&gt;1,"",SUMIF(L$6:L$2000,L41,M$6:M$2000)-SUMIF(L$6:L$2000,L41,G$6:G$2000)))</f>
        <v/>
      </c>
      <c r="T41" s="46">
        <f>IF(AND(C41="",G41=""),"",IF(L41="","Nog factureren",IF(AND(G41&lt;&gt;"",OR(K41="",K41&gt;TODAY())),"Nog betalen",IF(OR(R41="",R41&gt;TODAY()),"Wacht op klant","Afgerond"))))</f>
        <v/>
      </c>
    </row>
    <row r="42">
      <c r="A42" s="45" t="n"/>
      <c r="B42" s="46">
        <f>IF(A42="","",YEAR(A42)&amp;" Q"&amp;ROUNDUP(MONTH(A42)/3,0))</f>
        <v/>
      </c>
      <c r="C42" s="47" t="n"/>
      <c r="D42" s="47" t="n"/>
      <c r="E42" s="47" t="n"/>
      <c r="F42" s="47" t="n"/>
      <c r="G42" s="48" t="n"/>
      <c r="H42" s="49" t="n"/>
      <c r="I42" s="50">
        <f>IF(G42="","",ROUND(G42*H42,2))</f>
        <v/>
      </c>
      <c r="J42" s="50">
        <f>IF(G42="","",G42+N(I42))</f>
        <v/>
      </c>
      <c r="K42" s="45" t="n"/>
      <c r="L42" s="47" t="n"/>
      <c r="M42" s="48" t="n"/>
      <c r="N42" s="49" t="n"/>
      <c r="O42" s="50">
        <f>IF(M42="","",ROUND(M42*N42,2))</f>
        <v/>
      </c>
      <c r="P42" s="50">
        <f>IF(M42="","",M42+N(O42))</f>
        <v/>
      </c>
      <c r="Q42" s="45" t="n"/>
      <c r="R42" s="45" t="n"/>
      <c r="S42" s="51">
        <f>IF(L42="","",IF(COUNTIF(L$6:L42,L42)&gt;1,"",SUMIF(L$6:L$2000,L42,M$6:M$2000)-SUMIF(L$6:L$2000,L42,G$6:G$2000)))</f>
        <v/>
      </c>
      <c r="T42" s="46">
        <f>IF(AND(C42="",G42=""),"",IF(L42="","Nog factureren",IF(AND(G42&lt;&gt;"",OR(K42="",K42&gt;TODAY())),"Nog betalen",IF(OR(R42="",R42&gt;TODAY()),"Wacht op klant","Afgerond"))))</f>
        <v/>
      </c>
    </row>
    <row r="43">
      <c r="A43" s="45" t="n"/>
      <c r="B43" s="46">
        <f>IF(A43="","",YEAR(A43)&amp;" Q"&amp;ROUNDUP(MONTH(A43)/3,0))</f>
        <v/>
      </c>
      <c r="C43" s="47" t="n"/>
      <c r="D43" s="47" t="n"/>
      <c r="E43" s="47" t="n"/>
      <c r="F43" s="47" t="n"/>
      <c r="G43" s="48" t="n"/>
      <c r="H43" s="49" t="n"/>
      <c r="I43" s="50">
        <f>IF(G43="","",ROUND(G43*H43,2))</f>
        <v/>
      </c>
      <c r="J43" s="50">
        <f>IF(G43="","",G43+N(I43))</f>
        <v/>
      </c>
      <c r="K43" s="45" t="n"/>
      <c r="L43" s="47" t="n"/>
      <c r="M43" s="48" t="n"/>
      <c r="N43" s="49" t="n"/>
      <c r="O43" s="50">
        <f>IF(M43="","",ROUND(M43*N43,2))</f>
        <v/>
      </c>
      <c r="P43" s="50">
        <f>IF(M43="","",M43+N(O43))</f>
        <v/>
      </c>
      <c r="Q43" s="45" t="n"/>
      <c r="R43" s="45" t="n"/>
      <c r="S43" s="51">
        <f>IF(L43="","",IF(COUNTIF(L$6:L43,L43)&gt;1,"",SUMIF(L$6:L$2000,L43,M$6:M$2000)-SUMIF(L$6:L$2000,L43,G$6:G$2000)))</f>
        <v/>
      </c>
      <c r="T43" s="46">
        <f>IF(AND(C43="",G43=""),"",IF(L43="","Nog factureren",IF(AND(G43&lt;&gt;"",OR(K43="",K43&gt;TODAY())),"Nog betalen",IF(OR(R43="",R43&gt;TODAY()),"Wacht op klant","Afgerond"))))</f>
        <v/>
      </c>
    </row>
    <row r="44">
      <c r="A44" s="45" t="n"/>
      <c r="B44" s="46">
        <f>IF(A44="","",YEAR(A44)&amp;" Q"&amp;ROUNDUP(MONTH(A44)/3,0))</f>
        <v/>
      </c>
      <c r="C44" s="47" t="n"/>
      <c r="D44" s="47" t="n"/>
      <c r="E44" s="47" t="n"/>
      <c r="F44" s="47" t="n"/>
      <c r="G44" s="48" t="n"/>
      <c r="H44" s="49" t="n"/>
      <c r="I44" s="50">
        <f>IF(G44="","",ROUND(G44*H44,2))</f>
        <v/>
      </c>
      <c r="J44" s="50">
        <f>IF(G44="","",G44+N(I44))</f>
        <v/>
      </c>
      <c r="K44" s="45" t="n"/>
      <c r="L44" s="47" t="n"/>
      <c r="M44" s="48" t="n"/>
      <c r="N44" s="49" t="n"/>
      <c r="O44" s="50">
        <f>IF(M44="","",ROUND(M44*N44,2))</f>
        <v/>
      </c>
      <c r="P44" s="50">
        <f>IF(M44="","",M44+N(O44))</f>
        <v/>
      </c>
      <c r="Q44" s="45" t="n"/>
      <c r="R44" s="45" t="n"/>
      <c r="S44" s="51">
        <f>IF(L44="","",IF(COUNTIF(L$6:L44,L44)&gt;1,"",SUMIF(L$6:L$2000,L44,M$6:M$2000)-SUMIF(L$6:L$2000,L44,G$6:G$2000)))</f>
        <v/>
      </c>
      <c r="T44" s="46">
        <f>IF(AND(C44="",G44=""),"",IF(L44="","Nog factureren",IF(AND(G44&lt;&gt;"",OR(K44="",K44&gt;TODAY())),"Nog betalen",IF(OR(R44="",R44&gt;TODAY()),"Wacht op klant","Afgerond"))))</f>
        <v/>
      </c>
    </row>
    <row r="45">
      <c r="A45" s="45" t="n"/>
      <c r="B45" s="46">
        <f>IF(A45="","",YEAR(A45)&amp;" Q"&amp;ROUNDUP(MONTH(A45)/3,0))</f>
        <v/>
      </c>
      <c r="C45" s="47" t="n"/>
      <c r="D45" s="47" t="n"/>
      <c r="E45" s="47" t="n"/>
      <c r="F45" s="47" t="n"/>
      <c r="G45" s="48" t="n"/>
      <c r="H45" s="49" t="n"/>
      <c r="I45" s="50">
        <f>IF(G45="","",ROUND(G45*H45,2))</f>
        <v/>
      </c>
      <c r="J45" s="50">
        <f>IF(G45="","",G45+N(I45))</f>
        <v/>
      </c>
      <c r="K45" s="45" t="n"/>
      <c r="L45" s="47" t="n"/>
      <c r="M45" s="48" t="n"/>
      <c r="N45" s="49" t="n"/>
      <c r="O45" s="50">
        <f>IF(M45="","",ROUND(M45*N45,2))</f>
        <v/>
      </c>
      <c r="P45" s="50">
        <f>IF(M45="","",M45+N(O45))</f>
        <v/>
      </c>
      <c r="Q45" s="45" t="n"/>
      <c r="R45" s="45" t="n"/>
      <c r="S45" s="51">
        <f>IF(L45="","",IF(COUNTIF(L$6:L45,L45)&gt;1,"",SUMIF(L$6:L$2000,L45,M$6:M$2000)-SUMIF(L$6:L$2000,L45,G$6:G$2000)))</f>
        <v/>
      </c>
      <c r="T45" s="46">
        <f>IF(AND(C45="",G45=""),"",IF(L45="","Nog factureren",IF(AND(G45&lt;&gt;"",OR(K45="",K45&gt;TODAY())),"Nog betalen",IF(OR(R45="",R45&gt;TODAY()),"Wacht op klant","Afgerond"))))</f>
        <v/>
      </c>
    </row>
    <row r="46">
      <c r="A46" s="45" t="n"/>
      <c r="B46" s="46">
        <f>IF(A46="","",YEAR(A46)&amp;" Q"&amp;ROUNDUP(MONTH(A46)/3,0))</f>
        <v/>
      </c>
      <c r="C46" s="47" t="n"/>
      <c r="D46" s="47" t="n"/>
      <c r="E46" s="47" t="n"/>
      <c r="F46" s="47" t="n"/>
      <c r="G46" s="48" t="n"/>
      <c r="H46" s="49" t="n"/>
      <c r="I46" s="50">
        <f>IF(G46="","",ROUND(G46*H46,2))</f>
        <v/>
      </c>
      <c r="J46" s="50">
        <f>IF(G46="","",G46+N(I46))</f>
        <v/>
      </c>
      <c r="K46" s="45" t="n"/>
      <c r="L46" s="47" t="n"/>
      <c r="M46" s="48" t="n"/>
      <c r="N46" s="49" t="n"/>
      <c r="O46" s="50">
        <f>IF(M46="","",ROUND(M46*N46,2))</f>
        <v/>
      </c>
      <c r="P46" s="50">
        <f>IF(M46="","",M46+N(O46))</f>
        <v/>
      </c>
      <c r="Q46" s="45" t="n"/>
      <c r="R46" s="45" t="n"/>
      <c r="S46" s="51">
        <f>IF(L46="","",IF(COUNTIF(L$6:L46,L46)&gt;1,"",SUMIF(L$6:L$2000,L46,M$6:M$2000)-SUMIF(L$6:L$2000,L46,G$6:G$2000)))</f>
        <v/>
      </c>
      <c r="T46" s="46">
        <f>IF(AND(C46="",G46=""),"",IF(L46="","Nog factureren",IF(AND(G46&lt;&gt;"",OR(K46="",K46&gt;TODAY())),"Nog betalen",IF(OR(R46="",R46&gt;TODAY()),"Wacht op klant","Afgerond"))))</f>
        <v/>
      </c>
    </row>
    <row r="47">
      <c r="A47" s="45" t="n"/>
      <c r="B47" s="46">
        <f>IF(A47="","",YEAR(A47)&amp;" Q"&amp;ROUNDUP(MONTH(A47)/3,0))</f>
        <v/>
      </c>
      <c r="C47" s="47" t="n"/>
      <c r="D47" s="47" t="n"/>
      <c r="E47" s="47" t="n"/>
      <c r="F47" s="47" t="n"/>
      <c r="G47" s="48" t="n"/>
      <c r="H47" s="49" t="n"/>
      <c r="I47" s="50">
        <f>IF(G47="","",ROUND(G47*H47,2))</f>
        <v/>
      </c>
      <c r="J47" s="50">
        <f>IF(G47="","",G47+N(I47))</f>
        <v/>
      </c>
      <c r="K47" s="45" t="n"/>
      <c r="L47" s="47" t="n"/>
      <c r="M47" s="48" t="n"/>
      <c r="N47" s="49" t="n"/>
      <c r="O47" s="50">
        <f>IF(M47="","",ROUND(M47*N47,2))</f>
        <v/>
      </c>
      <c r="P47" s="50">
        <f>IF(M47="","",M47+N(O47))</f>
        <v/>
      </c>
      <c r="Q47" s="45" t="n"/>
      <c r="R47" s="45" t="n"/>
      <c r="S47" s="51">
        <f>IF(L47="","",IF(COUNTIF(L$6:L47,L47)&gt;1,"",SUMIF(L$6:L$2000,L47,M$6:M$2000)-SUMIF(L$6:L$2000,L47,G$6:G$2000)))</f>
        <v/>
      </c>
      <c r="T47" s="46">
        <f>IF(AND(C47="",G47=""),"",IF(L47="","Nog factureren",IF(AND(G47&lt;&gt;"",OR(K47="",K47&gt;TODAY())),"Nog betalen",IF(OR(R47="",R47&gt;TODAY()),"Wacht op klant","Afgerond"))))</f>
        <v/>
      </c>
    </row>
    <row r="48">
      <c r="A48" s="45" t="n"/>
      <c r="B48" s="46">
        <f>IF(A48="","",YEAR(A48)&amp;" Q"&amp;ROUNDUP(MONTH(A48)/3,0))</f>
        <v/>
      </c>
      <c r="C48" s="47" t="n"/>
      <c r="D48" s="47" t="n"/>
      <c r="E48" s="47" t="n"/>
      <c r="F48" s="47" t="n"/>
      <c r="G48" s="48" t="n"/>
      <c r="H48" s="49" t="n"/>
      <c r="I48" s="50">
        <f>IF(G48="","",ROUND(G48*H48,2))</f>
        <v/>
      </c>
      <c r="J48" s="50">
        <f>IF(G48="","",G48+N(I48))</f>
        <v/>
      </c>
      <c r="K48" s="45" t="n"/>
      <c r="L48" s="47" t="n"/>
      <c r="M48" s="48" t="n"/>
      <c r="N48" s="49" t="n"/>
      <c r="O48" s="50">
        <f>IF(M48="","",ROUND(M48*N48,2))</f>
        <v/>
      </c>
      <c r="P48" s="50">
        <f>IF(M48="","",M48+N(O48))</f>
        <v/>
      </c>
      <c r="Q48" s="45" t="n"/>
      <c r="R48" s="45" t="n"/>
      <c r="S48" s="51">
        <f>IF(L48="","",IF(COUNTIF(L$6:L48,L48)&gt;1,"",SUMIF(L$6:L$2000,L48,M$6:M$2000)-SUMIF(L$6:L$2000,L48,G$6:G$2000)))</f>
        <v/>
      </c>
      <c r="T48" s="46">
        <f>IF(AND(C48="",G48=""),"",IF(L48="","Nog factureren",IF(AND(G48&lt;&gt;"",OR(K48="",K48&gt;TODAY())),"Nog betalen",IF(OR(R48="",R48&gt;TODAY()),"Wacht op klant","Afgerond"))))</f>
        <v/>
      </c>
    </row>
    <row r="49">
      <c r="A49" s="45" t="n"/>
      <c r="B49" s="46">
        <f>IF(A49="","",YEAR(A49)&amp;" Q"&amp;ROUNDUP(MONTH(A49)/3,0))</f>
        <v/>
      </c>
      <c r="C49" s="47" t="n"/>
      <c r="D49" s="47" t="n"/>
      <c r="E49" s="47" t="n"/>
      <c r="F49" s="47" t="n"/>
      <c r="G49" s="48" t="n"/>
      <c r="H49" s="49" t="n"/>
      <c r="I49" s="50">
        <f>IF(G49="","",ROUND(G49*H49,2))</f>
        <v/>
      </c>
      <c r="J49" s="50">
        <f>IF(G49="","",G49+N(I49))</f>
        <v/>
      </c>
      <c r="K49" s="45" t="n"/>
      <c r="L49" s="47" t="n"/>
      <c r="M49" s="48" t="n"/>
      <c r="N49" s="49" t="n"/>
      <c r="O49" s="50">
        <f>IF(M49="","",ROUND(M49*N49,2))</f>
        <v/>
      </c>
      <c r="P49" s="50">
        <f>IF(M49="","",M49+N(O49))</f>
        <v/>
      </c>
      <c r="Q49" s="45" t="n"/>
      <c r="R49" s="45" t="n"/>
      <c r="S49" s="51">
        <f>IF(L49="","",IF(COUNTIF(L$6:L49,L49)&gt;1,"",SUMIF(L$6:L$2000,L49,M$6:M$2000)-SUMIF(L$6:L$2000,L49,G$6:G$2000)))</f>
        <v/>
      </c>
      <c r="T49" s="46">
        <f>IF(AND(C49="",G49=""),"",IF(L49="","Nog factureren",IF(AND(G49&lt;&gt;"",OR(K49="",K49&gt;TODAY())),"Nog betalen",IF(OR(R49="",R49&gt;TODAY()),"Wacht op klant","Afgerond"))))</f>
        <v/>
      </c>
    </row>
    <row r="50">
      <c r="A50" s="45" t="n"/>
      <c r="B50" s="46">
        <f>IF(A50="","",YEAR(A50)&amp;" Q"&amp;ROUNDUP(MONTH(A50)/3,0))</f>
        <v/>
      </c>
      <c r="C50" s="47" t="n"/>
      <c r="D50" s="47" t="n"/>
      <c r="E50" s="47" t="n"/>
      <c r="F50" s="47" t="n"/>
      <c r="G50" s="48" t="n"/>
      <c r="H50" s="49" t="n"/>
      <c r="I50" s="50">
        <f>IF(G50="","",ROUND(G50*H50,2))</f>
        <v/>
      </c>
      <c r="J50" s="50">
        <f>IF(G50="","",G50+N(I50))</f>
        <v/>
      </c>
      <c r="K50" s="45" t="n"/>
      <c r="L50" s="47" t="n"/>
      <c r="M50" s="48" t="n"/>
      <c r="N50" s="49" t="n"/>
      <c r="O50" s="50">
        <f>IF(M50="","",ROUND(M50*N50,2))</f>
        <v/>
      </c>
      <c r="P50" s="50">
        <f>IF(M50="","",M50+N(O50))</f>
        <v/>
      </c>
      <c r="Q50" s="45" t="n"/>
      <c r="R50" s="45" t="n"/>
      <c r="S50" s="51">
        <f>IF(L50="","",IF(COUNTIF(L$6:L50,L50)&gt;1,"",SUMIF(L$6:L$2000,L50,M$6:M$2000)-SUMIF(L$6:L$2000,L50,G$6:G$2000)))</f>
        <v/>
      </c>
      <c r="T50" s="46">
        <f>IF(AND(C50="",G50=""),"",IF(L50="","Nog factureren",IF(AND(G50&lt;&gt;"",OR(K50="",K50&gt;TODAY())),"Nog betalen",IF(OR(R50="",R50&gt;TODAY()),"Wacht op klant","Afgerond"))))</f>
        <v/>
      </c>
    </row>
    <row r="51">
      <c r="A51" s="45" t="n"/>
      <c r="B51" s="46">
        <f>IF(A51="","",YEAR(A51)&amp;" Q"&amp;ROUNDUP(MONTH(A51)/3,0))</f>
        <v/>
      </c>
      <c r="C51" s="47" t="n"/>
      <c r="D51" s="47" t="n"/>
      <c r="E51" s="47" t="n"/>
      <c r="F51" s="47" t="n"/>
      <c r="G51" s="48" t="n"/>
      <c r="H51" s="49" t="n"/>
      <c r="I51" s="50">
        <f>IF(G51="","",ROUND(G51*H51,2))</f>
        <v/>
      </c>
      <c r="J51" s="50">
        <f>IF(G51="","",G51+N(I51))</f>
        <v/>
      </c>
      <c r="K51" s="45" t="n"/>
      <c r="L51" s="47" t="n"/>
      <c r="M51" s="48" t="n"/>
      <c r="N51" s="49" t="n"/>
      <c r="O51" s="50">
        <f>IF(M51="","",ROUND(M51*N51,2))</f>
        <v/>
      </c>
      <c r="P51" s="50">
        <f>IF(M51="","",M51+N(O51))</f>
        <v/>
      </c>
      <c r="Q51" s="45" t="n"/>
      <c r="R51" s="45" t="n"/>
      <c r="S51" s="51">
        <f>IF(L51="","",IF(COUNTIF(L$6:L51,L51)&gt;1,"",SUMIF(L$6:L$2000,L51,M$6:M$2000)-SUMIF(L$6:L$2000,L51,G$6:G$2000)))</f>
        <v/>
      </c>
      <c r="T51" s="46">
        <f>IF(AND(C51="",G51=""),"",IF(L51="","Nog factureren",IF(AND(G51&lt;&gt;"",OR(K51="",K51&gt;TODAY())),"Nog betalen",IF(OR(R51="",R51&gt;TODAY()),"Wacht op klant","Afgerond"))))</f>
        <v/>
      </c>
    </row>
    <row r="52">
      <c r="A52" s="45" t="n"/>
      <c r="B52" s="46">
        <f>IF(A52="","",YEAR(A52)&amp;" Q"&amp;ROUNDUP(MONTH(A52)/3,0))</f>
        <v/>
      </c>
      <c r="C52" s="47" t="n"/>
      <c r="D52" s="47" t="n"/>
      <c r="E52" s="47" t="n"/>
      <c r="F52" s="47" t="n"/>
      <c r="G52" s="48" t="n"/>
      <c r="H52" s="49" t="n"/>
      <c r="I52" s="50">
        <f>IF(G52="","",ROUND(G52*H52,2))</f>
        <v/>
      </c>
      <c r="J52" s="50">
        <f>IF(G52="","",G52+N(I52))</f>
        <v/>
      </c>
      <c r="K52" s="45" t="n"/>
      <c r="L52" s="47" t="n"/>
      <c r="M52" s="48" t="n"/>
      <c r="N52" s="49" t="n"/>
      <c r="O52" s="50">
        <f>IF(M52="","",ROUND(M52*N52,2))</f>
        <v/>
      </c>
      <c r="P52" s="50">
        <f>IF(M52="","",M52+N(O52))</f>
        <v/>
      </c>
      <c r="Q52" s="45" t="n"/>
      <c r="R52" s="45" t="n"/>
      <c r="S52" s="51">
        <f>IF(L52="","",IF(COUNTIF(L$6:L52,L52)&gt;1,"",SUMIF(L$6:L$2000,L52,M$6:M$2000)-SUMIF(L$6:L$2000,L52,G$6:G$2000)))</f>
        <v/>
      </c>
      <c r="T52" s="46">
        <f>IF(AND(C52="",G52=""),"",IF(L52="","Nog factureren",IF(AND(G52&lt;&gt;"",OR(K52="",K52&gt;TODAY())),"Nog betalen",IF(OR(R52="",R52&gt;TODAY()),"Wacht op klant","Afgerond"))))</f>
        <v/>
      </c>
    </row>
    <row r="53">
      <c r="A53" s="45" t="n"/>
      <c r="B53" s="46">
        <f>IF(A53="","",YEAR(A53)&amp;" Q"&amp;ROUNDUP(MONTH(A53)/3,0))</f>
        <v/>
      </c>
      <c r="C53" s="47" t="n"/>
      <c r="D53" s="47" t="n"/>
      <c r="E53" s="47" t="n"/>
      <c r="F53" s="47" t="n"/>
      <c r="G53" s="48" t="n"/>
      <c r="H53" s="49" t="n"/>
      <c r="I53" s="50">
        <f>IF(G53="","",ROUND(G53*H53,2))</f>
        <v/>
      </c>
      <c r="J53" s="50">
        <f>IF(G53="","",G53+N(I53))</f>
        <v/>
      </c>
      <c r="K53" s="45" t="n"/>
      <c r="L53" s="47" t="n"/>
      <c r="M53" s="48" t="n"/>
      <c r="N53" s="49" t="n"/>
      <c r="O53" s="50">
        <f>IF(M53="","",ROUND(M53*N53,2))</f>
        <v/>
      </c>
      <c r="P53" s="50">
        <f>IF(M53="","",M53+N(O53))</f>
        <v/>
      </c>
      <c r="Q53" s="45" t="n"/>
      <c r="R53" s="45" t="n"/>
      <c r="S53" s="51">
        <f>IF(L53="","",IF(COUNTIF(L$6:L53,L53)&gt;1,"",SUMIF(L$6:L$2000,L53,M$6:M$2000)-SUMIF(L$6:L$2000,L53,G$6:G$2000)))</f>
        <v/>
      </c>
      <c r="T53" s="46">
        <f>IF(AND(C53="",G53=""),"",IF(L53="","Nog factureren",IF(AND(G53&lt;&gt;"",OR(K53="",K53&gt;TODAY())),"Nog betalen",IF(OR(R53="",R53&gt;TODAY()),"Wacht op klant","Afgerond"))))</f>
        <v/>
      </c>
    </row>
    <row r="54">
      <c r="A54" s="45" t="n"/>
      <c r="B54" s="46">
        <f>IF(A54="","",YEAR(A54)&amp;" Q"&amp;ROUNDUP(MONTH(A54)/3,0))</f>
        <v/>
      </c>
      <c r="C54" s="47" t="n"/>
      <c r="D54" s="47" t="n"/>
      <c r="E54" s="47" t="n"/>
      <c r="F54" s="47" t="n"/>
      <c r="G54" s="48" t="n"/>
      <c r="H54" s="49" t="n"/>
      <c r="I54" s="50">
        <f>IF(G54="","",ROUND(G54*H54,2))</f>
        <v/>
      </c>
      <c r="J54" s="50">
        <f>IF(G54="","",G54+N(I54))</f>
        <v/>
      </c>
      <c r="K54" s="45" t="n"/>
      <c r="L54" s="47" t="n"/>
      <c r="M54" s="48" t="n"/>
      <c r="N54" s="49" t="n"/>
      <c r="O54" s="50">
        <f>IF(M54="","",ROUND(M54*N54,2))</f>
        <v/>
      </c>
      <c r="P54" s="50">
        <f>IF(M54="","",M54+N(O54))</f>
        <v/>
      </c>
      <c r="Q54" s="45" t="n"/>
      <c r="R54" s="45" t="n"/>
      <c r="S54" s="51">
        <f>IF(L54="","",IF(COUNTIF(L$6:L54,L54)&gt;1,"",SUMIF(L$6:L$2000,L54,M$6:M$2000)-SUMIF(L$6:L$2000,L54,G$6:G$2000)))</f>
        <v/>
      </c>
      <c r="T54" s="46">
        <f>IF(AND(C54="",G54=""),"",IF(L54="","Nog factureren",IF(AND(G54&lt;&gt;"",OR(K54="",K54&gt;TODAY())),"Nog betalen",IF(OR(R54="",R54&gt;TODAY()),"Wacht op klant","Afgerond"))))</f>
        <v/>
      </c>
    </row>
    <row r="55">
      <c r="A55" s="45" t="n"/>
      <c r="B55" s="46">
        <f>IF(A55="","",YEAR(A55)&amp;" Q"&amp;ROUNDUP(MONTH(A55)/3,0))</f>
        <v/>
      </c>
      <c r="C55" s="47" t="n"/>
      <c r="D55" s="47" t="n"/>
      <c r="E55" s="47" t="n"/>
      <c r="F55" s="47" t="n"/>
      <c r="G55" s="48" t="n"/>
      <c r="H55" s="49" t="n"/>
      <c r="I55" s="50">
        <f>IF(G55="","",ROUND(G55*H55,2))</f>
        <v/>
      </c>
      <c r="J55" s="50">
        <f>IF(G55="","",G55+N(I55))</f>
        <v/>
      </c>
      <c r="K55" s="45" t="n"/>
      <c r="L55" s="47" t="n"/>
      <c r="M55" s="48" t="n"/>
      <c r="N55" s="49" t="n"/>
      <c r="O55" s="50">
        <f>IF(M55="","",ROUND(M55*N55,2))</f>
        <v/>
      </c>
      <c r="P55" s="50">
        <f>IF(M55="","",M55+N(O55))</f>
        <v/>
      </c>
      <c r="Q55" s="45" t="n"/>
      <c r="R55" s="45" t="n"/>
      <c r="S55" s="51">
        <f>IF(L55="","",IF(COUNTIF(L$6:L55,L55)&gt;1,"",SUMIF(L$6:L$2000,L55,M$6:M$2000)-SUMIF(L$6:L$2000,L55,G$6:G$2000)))</f>
        <v/>
      </c>
      <c r="T55" s="46">
        <f>IF(AND(C55="",G55=""),"",IF(L55="","Nog factureren",IF(AND(G55&lt;&gt;"",OR(K55="",K55&gt;TODAY())),"Nog betalen",IF(OR(R55="",R55&gt;TODAY()),"Wacht op klant","Afgerond"))))</f>
        <v/>
      </c>
    </row>
    <row r="56">
      <c r="A56" s="45" t="n"/>
      <c r="B56" s="46">
        <f>IF(A56="","",YEAR(A56)&amp;" Q"&amp;ROUNDUP(MONTH(A56)/3,0))</f>
        <v/>
      </c>
      <c r="C56" s="47" t="n"/>
      <c r="D56" s="47" t="n"/>
      <c r="E56" s="47" t="n"/>
      <c r="F56" s="47" t="n"/>
      <c r="G56" s="48" t="n"/>
      <c r="H56" s="49" t="n"/>
      <c r="I56" s="50">
        <f>IF(G56="","",ROUND(G56*H56,2))</f>
        <v/>
      </c>
      <c r="J56" s="50">
        <f>IF(G56="","",G56+N(I56))</f>
        <v/>
      </c>
      <c r="K56" s="45" t="n"/>
      <c r="L56" s="47" t="n"/>
      <c r="M56" s="48" t="n"/>
      <c r="N56" s="49" t="n"/>
      <c r="O56" s="50">
        <f>IF(M56="","",ROUND(M56*N56,2))</f>
        <v/>
      </c>
      <c r="P56" s="50">
        <f>IF(M56="","",M56+N(O56))</f>
        <v/>
      </c>
      <c r="Q56" s="45" t="n"/>
      <c r="R56" s="45" t="n"/>
      <c r="S56" s="51">
        <f>IF(L56="","",IF(COUNTIF(L$6:L56,L56)&gt;1,"",SUMIF(L$6:L$2000,L56,M$6:M$2000)-SUMIF(L$6:L$2000,L56,G$6:G$2000)))</f>
        <v/>
      </c>
      <c r="T56" s="46">
        <f>IF(AND(C56="",G56=""),"",IF(L56="","Nog factureren",IF(AND(G56&lt;&gt;"",OR(K56="",K56&gt;TODAY())),"Nog betalen",IF(OR(R56="",R56&gt;TODAY()),"Wacht op klant","Afgerond"))))</f>
        <v/>
      </c>
    </row>
    <row r="57">
      <c r="A57" s="45" t="n"/>
      <c r="B57" s="46">
        <f>IF(A57="","",YEAR(A57)&amp;" Q"&amp;ROUNDUP(MONTH(A57)/3,0))</f>
        <v/>
      </c>
      <c r="C57" s="47" t="n"/>
      <c r="D57" s="47" t="n"/>
      <c r="E57" s="47" t="n"/>
      <c r="F57" s="47" t="n"/>
      <c r="G57" s="48" t="n"/>
      <c r="H57" s="49" t="n"/>
      <c r="I57" s="50">
        <f>IF(G57="","",ROUND(G57*H57,2))</f>
        <v/>
      </c>
      <c r="J57" s="50">
        <f>IF(G57="","",G57+N(I57))</f>
        <v/>
      </c>
      <c r="K57" s="45" t="n"/>
      <c r="L57" s="47" t="n"/>
      <c r="M57" s="48" t="n"/>
      <c r="N57" s="49" t="n"/>
      <c r="O57" s="50">
        <f>IF(M57="","",ROUND(M57*N57,2))</f>
        <v/>
      </c>
      <c r="P57" s="50">
        <f>IF(M57="","",M57+N(O57))</f>
        <v/>
      </c>
      <c r="Q57" s="45" t="n"/>
      <c r="R57" s="45" t="n"/>
      <c r="S57" s="51">
        <f>IF(L57="","",IF(COUNTIF(L$6:L57,L57)&gt;1,"",SUMIF(L$6:L$2000,L57,M$6:M$2000)-SUMIF(L$6:L$2000,L57,G$6:G$2000)))</f>
        <v/>
      </c>
      <c r="T57" s="46">
        <f>IF(AND(C57="",G57=""),"",IF(L57="","Nog factureren",IF(AND(G57&lt;&gt;"",OR(K57="",K57&gt;TODAY())),"Nog betalen",IF(OR(R57="",R57&gt;TODAY()),"Wacht op klant","Afgerond"))))</f>
        <v/>
      </c>
    </row>
    <row r="58">
      <c r="A58" s="45" t="n"/>
      <c r="B58" s="46">
        <f>IF(A58="","",YEAR(A58)&amp;" Q"&amp;ROUNDUP(MONTH(A58)/3,0))</f>
        <v/>
      </c>
      <c r="C58" s="47" t="n"/>
      <c r="D58" s="47" t="n"/>
      <c r="E58" s="47" t="n"/>
      <c r="F58" s="47" t="n"/>
      <c r="G58" s="48" t="n"/>
      <c r="H58" s="49" t="n"/>
      <c r="I58" s="50">
        <f>IF(G58="","",ROUND(G58*H58,2))</f>
        <v/>
      </c>
      <c r="J58" s="50">
        <f>IF(G58="","",G58+N(I58))</f>
        <v/>
      </c>
      <c r="K58" s="45" t="n"/>
      <c r="L58" s="47" t="n"/>
      <c r="M58" s="48" t="n"/>
      <c r="N58" s="49" t="n"/>
      <c r="O58" s="50">
        <f>IF(M58="","",ROUND(M58*N58,2))</f>
        <v/>
      </c>
      <c r="P58" s="50">
        <f>IF(M58="","",M58+N(O58))</f>
        <v/>
      </c>
      <c r="Q58" s="45" t="n"/>
      <c r="R58" s="45" t="n"/>
      <c r="S58" s="51">
        <f>IF(L58="","",IF(COUNTIF(L$6:L58,L58)&gt;1,"",SUMIF(L$6:L$2000,L58,M$6:M$2000)-SUMIF(L$6:L$2000,L58,G$6:G$2000)))</f>
        <v/>
      </c>
      <c r="T58" s="46">
        <f>IF(AND(C58="",G58=""),"",IF(L58="","Nog factureren",IF(AND(G58&lt;&gt;"",OR(K58="",K58&gt;TODAY())),"Nog betalen",IF(OR(R58="",R58&gt;TODAY()),"Wacht op klant","Afgerond"))))</f>
        <v/>
      </c>
    </row>
    <row r="59">
      <c r="A59" s="45" t="n"/>
      <c r="B59" s="46">
        <f>IF(A59="","",YEAR(A59)&amp;" Q"&amp;ROUNDUP(MONTH(A59)/3,0))</f>
        <v/>
      </c>
      <c r="C59" s="47" t="n"/>
      <c r="D59" s="47" t="n"/>
      <c r="E59" s="47" t="n"/>
      <c r="F59" s="47" t="n"/>
      <c r="G59" s="48" t="n"/>
      <c r="H59" s="49" t="n"/>
      <c r="I59" s="50">
        <f>IF(G59="","",ROUND(G59*H59,2))</f>
        <v/>
      </c>
      <c r="J59" s="50">
        <f>IF(G59="","",G59+N(I59))</f>
        <v/>
      </c>
      <c r="K59" s="45" t="n"/>
      <c r="L59" s="47" t="n"/>
      <c r="M59" s="48" t="n"/>
      <c r="N59" s="49" t="n"/>
      <c r="O59" s="50">
        <f>IF(M59="","",ROUND(M59*N59,2))</f>
        <v/>
      </c>
      <c r="P59" s="50">
        <f>IF(M59="","",M59+N(O59))</f>
        <v/>
      </c>
      <c r="Q59" s="45" t="n"/>
      <c r="R59" s="45" t="n"/>
      <c r="S59" s="51">
        <f>IF(L59="","",IF(COUNTIF(L$6:L59,L59)&gt;1,"",SUMIF(L$6:L$2000,L59,M$6:M$2000)-SUMIF(L$6:L$2000,L59,G$6:G$2000)))</f>
        <v/>
      </c>
      <c r="T59" s="46">
        <f>IF(AND(C59="",G59=""),"",IF(L59="","Nog factureren",IF(AND(G59&lt;&gt;"",OR(K59="",K59&gt;TODAY())),"Nog betalen",IF(OR(R59="",R59&gt;TODAY()),"Wacht op klant","Afgerond"))))</f>
        <v/>
      </c>
    </row>
    <row r="60">
      <c r="A60" s="45" t="n"/>
      <c r="B60" s="46">
        <f>IF(A60="","",YEAR(A60)&amp;" Q"&amp;ROUNDUP(MONTH(A60)/3,0))</f>
        <v/>
      </c>
      <c r="C60" s="47" t="n"/>
      <c r="D60" s="47" t="n"/>
      <c r="E60" s="47" t="n"/>
      <c r="F60" s="47" t="n"/>
      <c r="G60" s="48" t="n"/>
      <c r="H60" s="49" t="n"/>
      <c r="I60" s="50">
        <f>IF(G60="","",ROUND(G60*H60,2))</f>
        <v/>
      </c>
      <c r="J60" s="50">
        <f>IF(G60="","",G60+N(I60))</f>
        <v/>
      </c>
      <c r="K60" s="45" t="n"/>
      <c r="L60" s="47" t="n"/>
      <c r="M60" s="48" t="n"/>
      <c r="N60" s="49" t="n"/>
      <c r="O60" s="50">
        <f>IF(M60="","",ROUND(M60*N60,2))</f>
        <v/>
      </c>
      <c r="P60" s="50">
        <f>IF(M60="","",M60+N(O60))</f>
        <v/>
      </c>
      <c r="Q60" s="45" t="n"/>
      <c r="R60" s="45" t="n"/>
      <c r="S60" s="51">
        <f>IF(L60="","",IF(COUNTIF(L$6:L60,L60)&gt;1,"",SUMIF(L$6:L$2000,L60,M$6:M$2000)-SUMIF(L$6:L$2000,L60,G$6:G$2000)))</f>
        <v/>
      </c>
      <c r="T60" s="46">
        <f>IF(AND(C60="",G60=""),"",IF(L60="","Nog factureren",IF(AND(G60&lt;&gt;"",OR(K60="",K60&gt;TODAY())),"Nog betalen",IF(OR(R60="",R60&gt;TODAY()),"Wacht op klant","Afgerond"))))</f>
        <v/>
      </c>
    </row>
    <row r="61">
      <c r="A61" s="45" t="n"/>
      <c r="B61" s="46">
        <f>IF(A61="","",YEAR(A61)&amp;" Q"&amp;ROUNDUP(MONTH(A61)/3,0))</f>
        <v/>
      </c>
      <c r="C61" s="47" t="n"/>
      <c r="D61" s="47" t="n"/>
      <c r="E61" s="47" t="n"/>
      <c r="F61" s="47" t="n"/>
      <c r="G61" s="48" t="n"/>
      <c r="H61" s="49" t="n"/>
      <c r="I61" s="50">
        <f>IF(G61="","",ROUND(G61*H61,2))</f>
        <v/>
      </c>
      <c r="J61" s="50">
        <f>IF(G61="","",G61+N(I61))</f>
        <v/>
      </c>
      <c r="K61" s="45" t="n"/>
      <c r="L61" s="47" t="n"/>
      <c r="M61" s="48" t="n"/>
      <c r="N61" s="49" t="n"/>
      <c r="O61" s="50">
        <f>IF(M61="","",ROUND(M61*N61,2))</f>
        <v/>
      </c>
      <c r="P61" s="50">
        <f>IF(M61="","",M61+N(O61))</f>
        <v/>
      </c>
      <c r="Q61" s="45" t="n"/>
      <c r="R61" s="45" t="n"/>
      <c r="S61" s="51">
        <f>IF(L61="","",IF(COUNTIF(L$6:L61,L61)&gt;1,"",SUMIF(L$6:L$2000,L61,M$6:M$2000)-SUMIF(L$6:L$2000,L61,G$6:G$2000)))</f>
        <v/>
      </c>
      <c r="T61" s="46">
        <f>IF(AND(C61="",G61=""),"",IF(L61="","Nog factureren",IF(AND(G61&lt;&gt;"",OR(K61="",K61&gt;TODAY())),"Nog betalen",IF(OR(R61="",R61&gt;TODAY()),"Wacht op klant","Afgerond"))))</f>
        <v/>
      </c>
    </row>
    <row r="62">
      <c r="A62" s="45" t="n"/>
      <c r="B62" s="46">
        <f>IF(A62="","",YEAR(A62)&amp;" Q"&amp;ROUNDUP(MONTH(A62)/3,0))</f>
        <v/>
      </c>
      <c r="C62" s="47" t="n"/>
      <c r="D62" s="47" t="n"/>
      <c r="E62" s="47" t="n"/>
      <c r="F62" s="47" t="n"/>
      <c r="G62" s="48" t="n"/>
      <c r="H62" s="49" t="n"/>
      <c r="I62" s="50">
        <f>IF(G62="","",ROUND(G62*H62,2))</f>
        <v/>
      </c>
      <c r="J62" s="50">
        <f>IF(G62="","",G62+N(I62))</f>
        <v/>
      </c>
      <c r="K62" s="45" t="n"/>
      <c r="L62" s="47" t="n"/>
      <c r="M62" s="48" t="n"/>
      <c r="N62" s="49" t="n"/>
      <c r="O62" s="50">
        <f>IF(M62="","",ROUND(M62*N62,2))</f>
        <v/>
      </c>
      <c r="P62" s="50">
        <f>IF(M62="","",M62+N(O62))</f>
        <v/>
      </c>
      <c r="Q62" s="45" t="n"/>
      <c r="R62" s="45" t="n"/>
      <c r="S62" s="51">
        <f>IF(L62="","",IF(COUNTIF(L$6:L62,L62)&gt;1,"",SUMIF(L$6:L$2000,L62,M$6:M$2000)-SUMIF(L$6:L$2000,L62,G$6:G$2000)))</f>
        <v/>
      </c>
      <c r="T62" s="46">
        <f>IF(AND(C62="",G62=""),"",IF(L62="","Nog factureren",IF(AND(G62&lt;&gt;"",OR(K62="",K62&gt;TODAY())),"Nog betalen",IF(OR(R62="",R62&gt;TODAY()),"Wacht op klant","Afgerond"))))</f>
        <v/>
      </c>
    </row>
    <row r="63">
      <c r="A63" s="45" t="n"/>
      <c r="B63" s="46">
        <f>IF(A63="","",YEAR(A63)&amp;" Q"&amp;ROUNDUP(MONTH(A63)/3,0))</f>
        <v/>
      </c>
      <c r="C63" s="47" t="n"/>
      <c r="D63" s="47" t="n"/>
      <c r="E63" s="47" t="n"/>
      <c r="F63" s="47" t="n"/>
      <c r="G63" s="48" t="n"/>
      <c r="H63" s="49" t="n"/>
      <c r="I63" s="50">
        <f>IF(G63="","",ROUND(G63*H63,2))</f>
        <v/>
      </c>
      <c r="J63" s="50">
        <f>IF(G63="","",G63+N(I63))</f>
        <v/>
      </c>
      <c r="K63" s="45" t="n"/>
      <c r="L63" s="47" t="n"/>
      <c r="M63" s="48" t="n"/>
      <c r="N63" s="49" t="n"/>
      <c r="O63" s="50">
        <f>IF(M63="","",ROUND(M63*N63,2))</f>
        <v/>
      </c>
      <c r="P63" s="50">
        <f>IF(M63="","",M63+N(O63))</f>
        <v/>
      </c>
      <c r="Q63" s="45" t="n"/>
      <c r="R63" s="45" t="n"/>
      <c r="S63" s="51">
        <f>IF(L63="","",IF(COUNTIF(L$6:L63,L63)&gt;1,"",SUMIF(L$6:L$2000,L63,M$6:M$2000)-SUMIF(L$6:L$2000,L63,G$6:G$2000)))</f>
        <v/>
      </c>
      <c r="T63" s="46">
        <f>IF(AND(C63="",G63=""),"",IF(L63="","Nog factureren",IF(AND(G63&lt;&gt;"",OR(K63="",K63&gt;TODAY())),"Nog betalen",IF(OR(R63="",R63&gt;TODAY()),"Wacht op klant","Afgerond"))))</f>
        <v/>
      </c>
    </row>
    <row r="64">
      <c r="A64" s="45" t="n"/>
      <c r="B64" s="46">
        <f>IF(A64="","",YEAR(A64)&amp;" Q"&amp;ROUNDUP(MONTH(A64)/3,0))</f>
        <v/>
      </c>
      <c r="C64" s="47" t="n"/>
      <c r="D64" s="47" t="n"/>
      <c r="E64" s="47" t="n"/>
      <c r="F64" s="47" t="n"/>
      <c r="G64" s="48" t="n"/>
      <c r="H64" s="49" t="n"/>
      <c r="I64" s="50">
        <f>IF(G64="","",ROUND(G64*H64,2))</f>
        <v/>
      </c>
      <c r="J64" s="50">
        <f>IF(G64="","",G64+N(I64))</f>
        <v/>
      </c>
      <c r="K64" s="45" t="n"/>
      <c r="L64" s="47" t="n"/>
      <c r="M64" s="48" t="n"/>
      <c r="N64" s="49" t="n"/>
      <c r="O64" s="50">
        <f>IF(M64="","",ROUND(M64*N64,2))</f>
        <v/>
      </c>
      <c r="P64" s="50">
        <f>IF(M64="","",M64+N(O64))</f>
        <v/>
      </c>
      <c r="Q64" s="45" t="n"/>
      <c r="R64" s="45" t="n"/>
      <c r="S64" s="51">
        <f>IF(L64="","",IF(COUNTIF(L$6:L64,L64)&gt;1,"",SUMIF(L$6:L$2000,L64,M$6:M$2000)-SUMIF(L$6:L$2000,L64,G$6:G$2000)))</f>
        <v/>
      </c>
      <c r="T64" s="46">
        <f>IF(AND(C64="",G64=""),"",IF(L64="","Nog factureren",IF(AND(G64&lt;&gt;"",OR(K64="",K64&gt;TODAY())),"Nog betalen",IF(OR(R64="",R64&gt;TODAY()),"Wacht op klant","Afgerond"))))</f>
        <v/>
      </c>
    </row>
    <row r="65">
      <c r="A65" s="45" t="n"/>
      <c r="B65" s="46">
        <f>IF(A65="","",YEAR(A65)&amp;" Q"&amp;ROUNDUP(MONTH(A65)/3,0))</f>
        <v/>
      </c>
      <c r="C65" s="47" t="n"/>
      <c r="D65" s="47" t="n"/>
      <c r="E65" s="47" t="n"/>
      <c r="F65" s="47" t="n"/>
      <c r="G65" s="48" t="n"/>
      <c r="H65" s="49" t="n"/>
      <c r="I65" s="50">
        <f>IF(G65="","",ROUND(G65*H65,2))</f>
        <v/>
      </c>
      <c r="J65" s="50">
        <f>IF(G65="","",G65+N(I65))</f>
        <v/>
      </c>
      <c r="K65" s="45" t="n"/>
      <c r="L65" s="47" t="n"/>
      <c r="M65" s="48" t="n"/>
      <c r="N65" s="49" t="n"/>
      <c r="O65" s="50">
        <f>IF(M65="","",ROUND(M65*N65,2))</f>
        <v/>
      </c>
      <c r="P65" s="50">
        <f>IF(M65="","",M65+N(O65))</f>
        <v/>
      </c>
      <c r="Q65" s="45" t="n"/>
      <c r="R65" s="45" t="n"/>
      <c r="S65" s="51">
        <f>IF(L65="","",IF(COUNTIF(L$6:L65,L65)&gt;1,"",SUMIF(L$6:L$2000,L65,M$6:M$2000)-SUMIF(L$6:L$2000,L65,G$6:G$2000)))</f>
        <v/>
      </c>
      <c r="T65" s="46">
        <f>IF(AND(C65="",G65=""),"",IF(L65="","Nog factureren",IF(AND(G65&lt;&gt;"",OR(K65="",K65&gt;TODAY())),"Nog betalen",IF(OR(R65="",R65&gt;TODAY()),"Wacht op klant","Afgerond"))))</f>
        <v/>
      </c>
    </row>
    <row r="66">
      <c r="A66" s="45" t="n"/>
      <c r="B66" s="46">
        <f>IF(A66="","",YEAR(A66)&amp;" Q"&amp;ROUNDUP(MONTH(A66)/3,0))</f>
        <v/>
      </c>
      <c r="C66" s="47" t="n"/>
      <c r="D66" s="47" t="n"/>
      <c r="E66" s="47" t="n"/>
      <c r="F66" s="47" t="n"/>
      <c r="G66" s="48" t="n"/>
      <c r="H66" s="49" t="n"/>
      <c r="I66" s="50">
        <f>IF(G66="","",ROUND(G66*H66,2))</f>
        <v/>
      </c>
      <c r="J66" s="50">
        <f>IF(G66="","",G66+N(I66))</f>
        <v/>
      </c>
      <c r="K66" s="45" t="n"/>
      <c r="L66" s="47" t="n"/>
      <c r="M66" s="48" t="n"/>
      <c r="N66" s="49" t="n"/>
      <c r="O66" s="50">
        <f>IF(M66="","",ROUND(M66*N66,2))</f>
        <v/>
      </c>
      <c r="P66" s="50">
        <f>IF(M66="","",M66+N(O66))</f>
        <v/>
      </c>
      <c r="Q66" s="45" t="n"/>
      <c r="R66" s="45" t="n"/>
      <c r="S66" s="51">
        <f>IF(L66="","",IF(COUNTIF(L$6:L66,L66)&gt;1,"",SUMIF(L$6:L$2000,L66,M$6:M$2000)-SUMIF(L$6:L$2000,L66,G$6:G$2000)))</f>
        <v/>
      </c>
      <c r="T66" s="46">
        <f>IF(AND(C66="",G66=""),"",IF(L66="","Nog factureren",IF(AND(G66&lt;&gt;"",OR(K66="",K66&gt;TODAY())),"Nog betalen",IF(OR(R66="",R66&gt;TODAY()),"Wacht op klant","Afgerond"))))</f>
        <v/>
      </c>
    </row>
    <row r="67">
      <c r="A67" s="45" t="n"/>
      <c r="B67" s="46">
        <f>IF(A67="","",YEAR(A67)&amp;" Q"&amp;ROUNDUP(MONTH(A67)/3,0))</f>
        <v/>
      </c>
      <c r="C67" s="47" t="n"/>
      <c r="D67" s="47" t="n"/>
      <c r="E67" s="47" t="n"/>
      <c r="F67" s="47" t="n"/>
      <c r="G67" s="48" t="n"/>
      <c r="H67" s="49" t="n"/>
      <c r="I67" s="50">
        <f>IF(G67="","",ROUND(G67*H67,2))</f>
        <v/>
      </c>
      <c r="J67" s="50">
        <f>IF(G67="","",G67+N(I67))</f>
        <v/>
      </c>
      <c r="K67" s="45" t="n"/>
      <c r="L67" s="47" t="n"/>
      <c r="M67" s="48" t="n"/>
      <c r="N67" s="49" t="n"/>
      <c r="O67" s="50">
        <f>IF(M67="","",ROUND(M67*N67,2))</f>
        <v/>
      </c>
      <c r="P67" s="50">
        <f>IF(M67="","",M67+N(O67))</f>
        <v/>
      </c>
      <c r="Q67" s="45" t="n"/>
      <c r="R67" s="45" t="n"/>
      <c r="S67" s="51">
        <f>IF(L67="","",IF(COUNTIF(L$6:L67,L67)&gt;1,"",SUMIF(L$6:L$2000,L67,M$6:M$2000)-SUMIF(L$6:L$2000,L67,G$6:G$2000)))</f>
        <v/>
      </c>
      <c r="T67" s="46">
        <f>IF(AND(C67="",G67=""),"",IF(L67="","Nog factureren",IF(AND(G67&lt;&gt;"",OR(K67="",K67&gt;TODAY())),"Nog betalen",IF(OR(R67="",R67&gt;TODAY()),"Wacht op klant","Afgerond"))))</f>
        <v/>
      </c>
    </row>
    <row r="68">
      <c r="A68" s="45" t="n"/>
      <c r="B68" s="46">
        <f>IF(A68="","",YEAR(A68)&amp;" Q"&amp;ROUNDUP(MONTH(A68)/3,0))</f>
        <v/>
      </c>
      <c r="C68" s="47" t="n"/>
      <c r="D68" s="47" t="n"/>
      <c r="E68" s="47" t="n"/>
      <c r="F68" s="47" t="n"/>
      <c r="G68" s="48" t="n"/>
      <c r="H68" s="49" t="n"/>
      <c r="I68" s="50">
        <f>IF(G68="","",ROUND(G68*H68,2))</f>
        <v/>
      </c>
      <c r="J68" s="50">
        <f>IF(G68="","",G68+N(I68))</f>
        <v/>
      </c>
      <c r="K68" s="45" t="n"/>
      <c r="L68" s="47" t="n"/>
      <c r="M68" s="48" t="n"/>
      <c r="N68" s="49" t="n"/>
      <c r="O68" s="50">
        <f>IF(M68="","",ROUND(M68*N68,2))</f>
        <v/>
      </c>
      <c r="P68" s="50">
        <f>IF(M68="","",M68+N(O68))</f>
        <v/>
      </c>
      <c r="Q68" s="45" t="n"/>
      <c r="R68" s="45" t="n"/>
      <c r="S68" s="51">
        <f>IF(L68="","",IF(COUNTIF(L$6:L68,L68)&gt;1,"",SUMIF(L$6:L$2000,L68,M$6:M$2000)-SUMIF(L$6:L$2000,L68,G$6:G$2000)))</f>
        <v/>
      </c>
      <c r="T68" s="46">
        <f>IF(AND(C68="",G68=""),"",IF(L68="","Nog factureren",IF(AND(G68&lt;&gt;"",OR(K68="",K68&gt;TODAY())),"Nog betalen",IF(OR(R68="",R68&gt;TODAY()),"Wacht op klant","Afgerond"))))</f>
        <v/>
      </c>
    </row>
    <row r="69">
      <c r="A69" s="45" t="n"/>
      <c r="B69" s="46">
        <f>IF(A69="","",YEAR(A69)&amp;" Q"&amp;ROUNDUP(MONTH(A69)/3,0))</f>
        <v/>
      </c>
      <c r="C69" s="47" t="n"/>
      <c r="D69" s="47" t="n"/>
      <c r="E69" s="47" t="n"/>
      <c r="F69" s="47" t="n"/>
      <c r="G69" s="48" t="n"/>
      <c r="H69" s="49" t="n"/>
      <c r="I69" s="50">
        <f>IF(G69="","",ROUND(G69*H69,2))</f>
        <v/>
      </c>
      <c r="J69" s="50">
        <f>IF(G69="","",G69+N(I69))</f>
        <v/>
      </c>
      <c r="K69" s="45" t="n"/>
      <c r="L69" s="47" t="n"/>
      <c r="M69" s="48" t="n"/>
      <c r="N69" s="49" t="n"/>
      <c r="O69" s="50">
        <f>IF(M69="","",ROUND(M69*N69,2))</f>
        <v/>
      </c>
      <c r="P69" s="50">
        <f>IF(M69="","",M69+N(O69))</f>
        <v/>
      </c>
      <c r="Q69" s="45" t="n"/>
      <c r="R69" s="45" t="n"/>
      <c r="S69" s="51">
        <f>IF(L69="","",IF(COUNTIF(L$6:L69,L69)&gt;1,"",SUMIF(L$6:L$2000,L69,M$6:M$2000)-SUMIF(L$6:L$2000,L69,G$6:G$2000)))</f>
        <v/>
      </c>
      <c r="T69" s="46">
        <f>IF(AND(C69="",G69=""),"",IF(L69="","Nog factureren",IF(AND(G69&lt;&gt;"",OR(K69="",K69&gt;TODAY())),"Nog betalen",IF(OR(R69="",R69&gt;TODAY()),"Wacht op klant","Afgerond"))))</f>
        <v/>
      </c>
    </row>
    <row r="70">
      <c r="A70" s="45" t="n"/>
      <c r="B70" s="46">
        <f>IF(A70="","",YEAR(A70)&amp;" Q"&amp;ROUNDUP(MONTH(A70)/3,0))</f>
        <v/>
      </c>
      <c r="C70" s="47" t="n"/>
      <c r="D70" s="47" t="n"/>
      <c r="E70" s="47" t="n"/>
      <c r="F70" s="47" t="n"/>
      <c r="G70" s="48" t="n"/>
      <c r="H70" s="49" t="n"/>
      <c r="I70" s="50">
        <f>IF(G70="","",ROUND(G70*H70,2))</f>
        <v/>
      </c>
      <c r="J70" s="50">
        <f>IF(G70="","",G70+N(I70))</f>
        <v/>
      </c>
      <c r="K70" s="45" t="n"/>
      <c r="L70" s="47" t="n"/>
      <c r="M70" s="48" t="n"/>
      <c r="N70" s="49" t="n"/>
      <c r="O70" s="50">
        <f>IF(M70="","",ROUND(M70*N70,2))</f>
        <v/>
      </c>
      <c r="P70" s="50">
        <f>IF(M70="","",M70+N(O70))</f>
        <v/>
      </c>
      <c r="Q70" s="45" t="n"/>
      <c r="R70" s="45" t="n"/>
      <c r="S70" s="51">
        <f>IF(L70="","",IF(COUNTIF(L$6:L70,L70)&gt;1,"",SUMIF(L$6:L$2000,L70,M$6:M$2000)-SUMIF(L$6:L$2000,L70,G$6:G$2000)))</f>
        <v/>
      </c>
      <c r="T70" s="46">
        <f>IF(AND(C70="",G70=""),"",IF(L70="","Nog factureren",IF(AND(G70&lt;&gt;"",OR(K70="",K70&gt;TODAY())),"Nog betalen",IF(OR(R70="",R70&gt;TODAY()),"Wacht op klant","Afgerond"))))</f>
        <v/>
      </c>
    </row>
    <row r="71">
      <c r="A71" s="45" t="n"/>
      <c r="B71" s="46">
        <f>IF(A71="","",YEAR(A71)&amp;" Q"&amp;ROUNDUP(MONTH(A71)/3,0))</f>
        <v/>
      </c>
      <c r="C71" s="47" t="n"/>
      <c r="D71" s="47" t="n"/>
      <c r="E71" s="47" t="n"/>
      <c r="F71" s="47" t="n"/>
      <c r="G71" s="48" t="n"/>
      <c r="H71" s="49" t="n"/>
      <c r="I71" s="50">
        <f>IF(G71="","",ROUND(G71*H71,2))</f>
        <v/>
      </c>
      <c r="J71" s="50">
        <f>IF(G71="","",G71+N(I71))</f>
        <v/>
      </c>
      <c r="K71" s="45" t="n"/>
      <c r="L71" s="47" t="n"/>
      <c r="M71" s="48" t="n"/>
      <c r="N71" s="49" t="n"/>
      <c r="O71" s="50">
        <f>IF(M71="","",ROUND(M71*N71,2))</f>
        <v/>
      </c>
      <c r="P71" s="50">
        <f>IF(M71="","",M71+N(O71))</f>
        <v/>
      </c>
      <c r="Q71" s="45" t="n"/>
      <c r="R71" s="45" t="n"/>
      <c r="S71" s="51">
        <f>IF(L71="","",IF(COUNTIF(L$6:L71,L71)&gt;1,"",SUMIF(L$6:L$2000,L71,M$6:M$2000)-SUMIF(L$6:L$2000,L71,G$6:G$2000)))</f>
        <v/>
      </c>
      <c r="T71" s="46">
        <f>IF(AND(C71="",G71=""),"",IF(L71="","Nog factureren",IF(AND(G71&lt;&gt;"",OR(K71="",K71&gt;TODAY())),"Nog betalen",IF(OR(R71="",R71&gt;TODAY()),"Wacht op klant","Afgerond"))))</f>
        <v/>
      </c>
    </row>
    <row r="72">
      <c r="A72" s="45" t="n"/>
      <c r="B72" s="46">
        <f>IF(A72="","",YEAR(A72)&amp;" Q"&amp;ROUNDUP(MONTH(A72)/3,0))</f>
        <v/>
      </c>
      <c r="C72" s="47" t="n"/>
      <c r="D72" s="47" t="n"/>
      <c r="E72" s="47" t="n"/>
      <c r="F72" s="47" t="n"/>
      <c r="G72" s="48" t="n"/>
      <c r="H72" s="49" t="n"/>
      <c r="I72" s="50">
        <f>IF(G72="","",ROUND(G72*H72,2))</f>
        <v/>
      </c>
      <c r="J72" s="50">
        <f>IF(G72="","",G72+N(I72))</f>
        <v/>
      </c>
      <c r="K72" s="45" t="n"/>
      <c r="L72" s="47" t="n"/>
      <c r="M72" s="48" t="n"/>
      <c r="N72" s="49" t="n"/>
      <c r="O72" s="50">
        <f>IF(M72="","",ROUND(M72*N72,2))</f>
        <v/>
      </c>
      <c r="P72" s="50">
        <f>IF(M72="","",M72+N(O72))</f>
        <v/>
      </c>
      <c r="Q72" s="45" t="n"/>
      <c r="R72" s="45" t="n"/>
      <c r="S72" s="51">
        <f>IF(L72="","",IF(COUNTIF(L$6:L72,L72)&gt;1,"",SUMIF(L$6:L$2000,L72,M$6:M$2000)-SUMIF(L$6:L$2000,L72,G$6:G$2000)))</f>
        <v/>
      </c>
      <c r="T72" s="46">
        <f>IF(AND(C72="",G72=""),"",IF(L72="","Nog factureren",IF(AND(G72&lt;&gt;"",OR(K72="",K72&gt;TODAY())),"Nog betalen",IF(OR(R72="",R72&gt;TODAY()),"Wacht op klant","Afgerond"))))</f>
        <v/>
      </c>
    </row>
    <row r="73">
      <c r="A73" s="45" t="n"/>
      <c r="B73" s="46">
        <f>IF(A73="","",YEAR(A73)&amp;" Q"&amp;ROUNDUP(MONTH(A73)/3,0))</f>
        <v/>
      </c>
      <c r="C73" s="47" t="n"/>
      <c r="D73" s="47" t="n"/>
      <c r="E73" s="47" t="n"/>
      <c r="F73" s="47" t="n"/>
      <c r="G73" s="48" t="n"/>
      <c r="H73" s="49" t="n"/>
      <c r="I73" s="50">
        <f>IF(G73="","",ROUND(G73*H73,2))</f>
        <v/>
      </c>
      <c r="J73" s="50">
        <f>IF(G73="","",G73+N(I73))</f>
        <v/>
      </c>
      <c r="K73" s="45" t="n"/>
      <c r="L73" s="47" t="n"/>
      <c r="M73" s="48" t="n"/>
      <c r="N73" s="49" t="n"/>
      <c r="O73" s="50">
        <f>IF(M73="","",ROUND(M73*N73,2))</f>
        <v/>
      </c>
      <c r="P73" s="50">
        <f>IF(M73="","",M73+N(O73))</f>
        <v/>
      </c>
      <c r="Q73" s="45" t="n"/>
      <c r="R73" s="45" t="n"/>
      <c r="S73" s="51">
        <f>IF(L73="","",IF(COUNTIF(L$6:L73,L73)&gt;1,"",SUMIF(L$6:L$2000,L73,M$6:M$2000)-SUMIF(L$6:L$2000,L73,G$6:G$2000)))</f>
        <v/>
      </c>
      <c r="T73" s="46">
        <f>IF(AND(C73="",G73=""),"",IF(L73="","Nog factureren",IF(AND(G73&lt;&gt;"",OR(K73="",K73&gt;TODAY())),"Nog betalen",IF(OR(R73="",R73&gt;TODAY()),"Wacht op klant","Afgerond"))))</f>
        <v/>
      </c>
    </row>
    <row r="74">
      <c r="A74" s="45" t="n"/>
      <c r="B74" s="46">
        <f>IF(A74="","",YEAR(A74)&amp;" Q"&amp;ROUNDUP(MONTH(A74)/3,0))</f>
        <v/>
      </c>
      <c r="C74" s="47" t="n"/>
      <c r="D74" s="47" t="n"/>
      <c r="E74" s="47" t="n"/>
      <c r="F74" s="47" t="n"/>
      <c r="G74" s="48" t="n"/>
      <c r="H74" s="49" t="n"/>
      <c r="I74" s="50">
        <f>IF(G74="","",ROUND(G74*H74,2))</f>
        <v/>
      </c>
      <c r="J74" s="50">
        <f>IF(G74="","",G74+N(I74))</f>
        <v/>
      </c>
      <c r="K74" s="45" t="n"/>
      <c r="L74" s="47" t="n"/>
      <c r="M74" s="48" t="n"/>
      <c r="N74" s="49" t="n"/>
      <c r="O74" s="50">
        <f>IF(M74="","",ROUND(M74*N74,2))</f>
        <v/>
      </c>
      <c r="P74" s="50">
        <f>IF(M74="","",M74+N(O74))</f>
        <v/>
      </c>
      <c r="Q74" s="45" t="n"/>
      <c r="R74" s="45" t="n"/>
      <c r="S74" s="51">
        <f>IF(L74="","",IF(COUNTIF(L$6:L74,L74)&gt;1,"",SUMIF(L$6:L$2000,L74,M$6:M$2000)-SUMIF(L$6:L$2000,L74,G$6:G$2000)))</f>
        <v/>
      </c>
      <c r="T74" s="46">
        <f>IF(AND(C74="",G74=""),"",IF(L74="","Nog factureren",IF(AND(G74&lt;&gt;"",OR(K74="",K74&gt;TODAY())),"Nog betalen",IF(OR(R74="",R74&gt;TODAY()),"Wacht op klant","Afgerond"))))</f>
        <v/>
      </c>
    </row>
    <row r="75">
      <c r="A75" s="45" t="n"/>
      <c r="B75" s="46">
        <f>IF(A75="","",YEAR(A75)&amp;" Q"&amp;ROUNDUP(MONTH(A75)/3,0))</f>
        <v/>
      </c>
      <c r="C75" s="47" t="n"/>
      <c r="D75" s="47" t="n"/>
      <c r="E75" s="47" t="n"/>
      <c r="F75" s="47" t="n"/>
      <c r="G75" s="48" t="n"/>
      <c r="H75" s="49" t="n"/>
      <c r="I75" s="50">
        <f>IF(G75="","",ROUND(G75*H75,2))</f>
        <v/>
      </c>
      <c r="J75" s="50">
        <f>IF(G75="","",G75+N(I75))</f>
        <v/>
      </c>
      <c r="K75" s="45" t="n"/>
      <c r="L75" s="47" t="n"/>
      <c r="M75" s="48" t="n"/>
      <c r="N75" s="49" t="n"/>
      <c r="O75" s="50">
        <f>IF(M75="","",ROUND(M75*N75,2))</f>
        <v/>
      </c>
      <c r="P75" s="50">
        <f>IF(M75="","",M75+N(O75))</f>
        <v/>
      </c>
      <c r="Q75" s="45" t="n"/>
      <c r="R75" s="45" t="n"/>
      <c r="S75" s="51">
        <f>IF(L75="","",IF(COUNTIF(L$6:L75,L75)&gt;1,"",SUMIF(L$6:L$2000,L75,M$6:M$2000)-SUMIF(L$6:L$2000,L75,G$6:G$2000)))</f>
        <v/>
      </c>
      <c r="T75" s="46">
        <f>IF(AND(C75="",G75=""),"",IF(L75="","Nog factureren",IF(AND(G75&lt;&gt;"",OR(K75="",K75&gt;TODAY())),"Nog betalen",IF(OR(R75="",R75&gt;TODAY()),"Wacht op klant","Afgerond"))))</f>
        <v/>
      </c>
    </row>
    <row r="76">
      <c r="A76" s="45" t="n"/>
      <c r="B76" s="46">
        <f>IF(A76="","",YEAR(A76)&amp;" Q"&amp;ROUNDUP(MONTH(A76)/3,0))</f>
        <v/>
      </c>
      <c r="C76" s="47" t="n"/>
      <c r="D76" s="47" t="n"/>
      <c r="E76" s="47" t="n"/>
      <c r="F76" s="47" t="n"/>
      <c r="G76" s="48" t="n"/>
      <c r="H76" s="49" t="n"/>
      <c r="I76" s="50">
        <f>IF(G76="","",ROUND(G76*H76,2))</f>
        <v/>
      </c>
      <c r="J76" s="50">
        <f>IF(G76="","",G76+N(I76))</f>
        <v/>
      </c>
      <c r="K76" s="45" t="n"/>
      <c r="L76" s="47" t="n"/>
      <c r="M76" s="48" t="n"/>
      <c r="N76" s="49" t="n"/>
      <c r="O76" s="50">
        <f>IF(M76="","",ROUND(M76*N76,2))</f>
        <v/>
      </c>
      <c r="P76" s="50">
        <f>IF(M76="","",M76+N(O76))</f>
        <v/>
      </c>
      <c r="Q76" s="45" t="n"/>
      <c r="R76" s="45" t="n"/>
      <c r="S76" s="51">
        <f>IF(L76="","",IF(COUNTIF(L$6:L76,L76)&gt;1,"",SUMIF(L$6:L$2000,L76,M$6:M$2000)-SUMIF(L$6:L$2000,L76,G$6:G$2000)))</f>
        <v/>
      </c>
      <c r="T76" s="46">
        <f>IF(AND(C76="",G76=""),"",IF(L76="","Nog factureren",IF(AND(G76&lt;&gt;"",OR(K76="",K76&gt;TODAY())),"Nog betalen",IF(OR(R76="",R76&gt;TODAY()),"Wacht op klant","Afgerond"))))</f>
        <v/>
      </c>
    </row>
    <row r="77">
      <c r="A77" s="45" t="n"/>
      <c r="B77" s="46">
        <f>IF(A77="","",YEAR(A77)&amp;" Q"&amp;ROUNDUP(MONTH(A77)/3,0))</f>
        <v/>
      </c>
      <c r="C77" s="47" t="n"/>
      <c r="D77" s="47" t="n"/>
      <c r="E77" s="47" t="n"/>
      <c r="F77" s="47" t="n"/>
      <c r="G77" s="48" t="n"/>
      <c r="H77" s="49" t="n"/>
      <c r="I77" s="50">
        <f>IF(G77="","",ROUND(G77*H77,2))</f>
        <v/>
      </c>
      <c r="J77" s="50">
        <f>IF(G77="","",G77+N(I77))</f>
        <v/>
      </c>
      <c r="K77" s="45" t="n"/>
      <c r="L77" s="47" t="n"/>
      <c r="M77" s="48" t="n"/>
      <c r="N77" s="49" t="n"/>
      <c r="O77" s="50">
        <f>IF(M77="","",ROUND(M77*N77,2))</f>
        <v/>
      </c>
      <c r="P77" s="50">
        <f>IF(M77="","",M77+N(O77))</f>
        <v/>
      </c>
      <c r="Q77" s="45" t="n"/>
      <c r="R77" s="45" t="n"/>
      <c r="S77" s="51">
        <f>IF(L77="","",IF(COUNTIF(L$6:L77,L77)&gt;1,"",SUMIF(L$6:L$2000,L77,M$6:M$2000)-SUMIF(L$6:L$2000,L77,G$6:G$2000)))</f>
        <v/>
      </c>
      <c r="T77" s="46">
        <f>IF(AND(C77="",G77=""),"",IF(L77="","Nog factureren",IF(AND(G77&lt;&gt;"",OR(K77="",K77&gt;TODAY())),"Nog betalen",IF(OR(R77="",R77&gt;TODAY()),"Wacht op klant","Afgerond"))))</f>
        <v/>
      </c>
    </row>
    <row r="78">
      <c r="A78" s="45" t="n"/>
      <c r="B78" s="46">
        <f>IF(A78="","",YEAR(A78)&amp;" Q"&amp;ROUNDUP(MONTH(A78)/3,0))</f>
        <v/>
      </c>
      <c r="C78" s="47" t="n"/>
      <c r="D78" s="47" t="n"/>
      <c r="E78" s="47" t="n"/>
      <c r="F78" s="47" t="n"/>
      <c r="G78" s="48" t="n"/>
      <c r="H78" s="49" t="n"/>
      <c r="I78" s="50">
        <f>IF(G78="","",ROUND(G78*H78,2))</f>
        <v/>
      </c>
      <c r="J78" s="50">
        <f>IF(G78="","",G78+N(I78))</f>
        <v/>
      </c>
      <c r="K78" s="45" t="n"/>
      <c r="L78" s="47" t="n"/>
      <c r="M78" s="48" t="n"/>
      <c r="N78" s="49" t="n"/>
      <c r="O78" s="50">
        <f>IF(M78="","",ROUND(M78*N78,2))</f>
        <v/>
      </c>
      <c r="P78" s="50">
        <f>IF(M78="","",M78+N(O78))</f>
        <v/>
      </c>
      <c r="Q78" s="45" t="n"/>
      <c r="R78" s="45" t="n"/>
      <c r="S78" s="51">
        <f>IF(L78="","",IF(COUNTIF(L$6:L78,L78)&gt;1,"",SUMIF(L$6:L$2000,L78,M$6:M$2000)-SUMIF(L$6:L$2000,L78,G$6:G$2000)))</f>
        <v/>
      </c>
      <c r="T78" s="46">
        <f>IF(AND(C78="",G78=""),"",IF(L78="","Nog factureren",IF(AND(G78&lt;&gt;"",OR(K78="",K78&gt;TODAY())),"Nog betalen",IF(OR(R78="",R78&gt;TODAY()),"Wacht op klant","Afgerond"))))</f>
        <v/>
      </c>
    </row>
    <row r="79">
      <c r="A79" s="45" t="n"/>
      <c r="B79" s="46">
        <f>IF(A79="","",YEAR(A79)&amp;" Q"&amp;ROUNDUP(MONTH(A79)/3,0))</f>
        <v/>
      </c>
      <c r="C79" s="47" t="n"/>
      <c r="D79" s="47" t="n"/>
      <c r="E79" s="47" t="n"/>
      <c r="F79" s="47" t="n"/>
      <c r="G79" s="48" t="n"/>
      <c r="H79" s="49" t="n"/>
      <c r="I79" s="50">
        <f>IF(G79="","",ROUND(G79*H79,2))</f>
        <v/>
      </c>
      <c r="J79" s="50">
        <f>IF(G79="","",G79+N(I79))</f>
        <v/>
      </c>
      <c r="K79" s="45" t="n"/>
      <c r="L79" s="47" t="n"/>
      <c r="M79" s="48" t="n"/>
      <c r="N79" s="49" t="n"/>
      <c r="O79" s="50">
        <f>IF(M79="","",ROUND(M79*N79,2))</f>
        <v/>
      </c>
      <c r="P79" s="50">
        <f>IF(M79="","",M79+N(O79))</f>
        <v/>
      </c>
      <c r="Q79" s="45" t="n"/>
      <c r="R79" s="45" t="n"/>
      <c r="S79" s="51">
        <f>IF(L79="","",IF(COUNTIF(L$6:L79,L79)&gt;1,"",SUMIF(L$6:L$2000,L79,M$6:M$2000)-SUMIF(L$6:L$2000,L79,G$6:G$2000)))</f>
        <v/>
      </c>
      <c r="T79" s="46">
        <f>IF(AND(C79="",G79=""),"",IF(L79="","Nog factureren",IF(AND(G79&lt;&gt;"",OR(K79="",K79&gt;TODAY())),"Nog betalen",IF(OR(R79="",R79&gt;TODAY()),"Wacht op klant","Afgerond"))))</f>
        <v/>
      </c>
    </row>
    <row r="80">
      <c r="A80" s="45" t="n"/>
      <c r="B80" s="46">
        <f>IF(A80="","",YEAR(A80)&amp;" Q"&amp;ROUNDUP(MONTH(A80)/3,0))</f>
        <v/>
      </c>
      <c r="C80" s="47" t="n"/>
      <c r="D80" s="47" t="n"/>
      <c r="E80" s="47" t="n"/>
      <c r="F80" s="47" t="n"/>
      <c r="G80" s="48" t="n"/>
      <c r="H80" s="49" t="n"/>
      <c r="I80" s="50">
        <f>IF(G80="","",ROUND(G80*H80,2))</f>
        <v/>
      </c>
      <c r="J80" s="50">
        <f>IF(G80="","",G80+N(I80))</f>
        <v/>
      </c>
      <c r="K80" s="45" t="n"/>
      <c r="L80" s="47" t="n"/>
      <c r="M80" s="48" t="n"/>
      <c r="N80" s="49" t="n"/>
      <c r="O80" s="50">
        <f>IF(M80="","",ROUND(M80*N80,2))</f>
        <v/>
      </c>
      <c r="P80" s="50">
        <f>IF(M80="","",M80+N(O80))</f>
        <v/>
      </c>
      <c r="Q80" s="45" t="n"/>
      <c r="R80" s="45" t="n"/>
      <c r="S80" s="51">
        <f>IF(L80="","",IF(COUNTIF(L$6:L80,L80)&gt;1,"",SUMIF(L$6:L$2000,L80,M$6:M$2000)-SUMIF(L$6:L$2000,L80,G$6:G$2000)))</f>
        <v/>
      </c>
      <c r="T80" s="46">
        <f>IF(AND(C80="",G80=""),"",IF(L80="","Nog factureren",IF(AND(G80&lt;&gt;"",OR(K80="",K80&gt;TODAY())),"Nog betalen",IF(OR(R80="",R80&gt;TODAY()),"Wacht op klant","Afgerond"))))</f>
        <v/>
      </c>
    </row>
    <row r="81">
      <c r="A81" s="45" t="n"/>
      <c r="B81" s="46">
        <f>IF(A81="","",YEAR(A81)&amp;" Q"&amp;ROUNDUP(MONTH(A81)/3,0))</f>
        <v/>
      </c>
      <c r="C81" s="47" t="n"/>
      <c r="D81" s="47" t="n"/>
      <c r="E81" s="47" t="n"/>
      <c r="F81" s="47" t="n"/>
      <c r="G81" s="48" t="n"/>
      <c r="H81" s="49" t="n"/>
      <c r="I81" s="50">
        <f>IF(G81="","",ROUND(G81*H81,2))</f>
        <v/>
      </c>
      <c r="J81" s="50">
        <f>IF(G81="","",G81+N(I81))</f>
        <v/>
      </c>
      <c r="K81" s="45" t="n"/>
      <c r="L81" s="47" t="n"/>
      <c r="M81" s="48" t="n"/>
      <c r="N81" s="49" t="n"/>
      <c r="O81" s="50">
        <f>IF(M81="","",ROUND(M81*N81,2))</f>
        <v/>
      </c>
      <c r="P81" s="50">
        <f>IF(M81="","",M81+N(O81))</f>
        <v/>
      </c>
      <c r="Q81" s="45" t="n"/>
      <c r="R81" s="45" t="n"/>
      <c r="S81" s="51">
        <f>IF(L81="","",IF(COUNTIF(L$6:L81,L81)&gt;1,"",SUMIF(L$6:L$2000,L81,M$6:M$2000)-SUMIF(L$6:L$2000,L81,G$6:G$2000)))</f>
        <v/>
      </c>
      <c r="T81" s="46">
        <f>IF(AND(C81="",G81=""),"",IF(L81="","Nog factureren",IF(AND(G81&lt;&gt;"",OR(K81="",K81&gt;TODAY())),"Nog betalen",IF(OR(R81="",R81&gt;TODAY()),"Wacht op klant","Afgerond"))))</f>
        <v/>
      </c>
    </row>
    <row r="82">
      <c r="A82" s="45" t="n"/>
      <c r="B82" s="46">
        <f>IF(A82="","",YEAR(A82)&amp;" Q"&amp;ROUNDUP(MONTH(A82)/3,0))</f>
        <v/>
      </c>
      <c r="C82" s="47" t="n"/>
      <c r="D82" s="47" t="n"/>
      <c r="E82" s="47" t="n"/>
      <c r="F82" s="47" t="n"/>
      <c r="G82" s="48" t="n"/>
      <c r="H82" s="49" t="n"/>
      <c r="I82" s="50">
        <f>IF(G82="","",ROUND(G82*H82,2))</f>
        <v/>
      </c>
      <c r="J82" s="50">
        <f>IF(G82="","",G82+N(I82))</f>
        <v/>
      </c>
      <c r="K82" s="45" t="n"/>
      <c r="L82" s="47" t="n"/>
      <c r="M82" s="48" t="n"/>
      <c r="N82" s="49" t="n"/>
      <c r="O82" s="50">
        <f>IF(M82="","",ROUND(M82*N82,2))</f>
        <v/>
      </c>
      <c r="P82" s="50">
        <f>IF(M82="","",M82+N(O82))</f>
        <v/>
      </c>
      <c r="Q82" s="45" t="n"/>
      <c r="R82" s="45" t="n"/>
      <c r="S82" s="51">
        <f>IF(L82="","",IF(COUNTIF(L$6:L82,L82)&gt;1,"",SUMIF(L$6:L$2000,L82,M$6:M$2000)-SUMIF(L$6:L$2000,L82,G$6:G$2000)))</f>
        <v/>
      </c>
      <c r="T82" s="46">
        <f>IF(AND(C82="",G82=""),"",IF(L82="","Nog factureren",IF(AND(G82&lt;&gt;"",OR(K82="",K82&gt;TODAY())),"Nog betalen",IF(OR(R82="",R82&gt;TODAY()),"Wacht op klant","Afgerond"))))</f>
        <v/>
      </c>
    </row>
    <row r="83">
      <c r="A83" s="45" t="n"/>
      <c r="B83" s="46">
        <f>IF(A83="","",YEAR(A83)&amp;" Q"&amp;ROUNDUP(MONTH(A83)/3,0))</f>
        <v/>
      </c>
      <c r="C83" s="47" t="n"/>
      <c r="D83" s="47" t="n"/>
      <c r="E83" s="47" t="n"/>
      <c r="F83" s="47" t="n"/>
      <c r="G83" s="48" t="n"/>
      <c r="H83" s="49" t="n"/>
      <c r="I83" s="50">
        <f>IF(G83="","",ROUND(G83*H83,2))</f>
        <v/>
      </c>
      <c r="J83" s="50">
        <f>IF(G83="","",G83+N(I83))</f>
        <v/>
      </c>
      <c r="K83" s="45" t="n"/>
      <c r="L83" s="47" t="n"/>
      <c r="M83" s="48" t="n"/>
      <c r="N83" s="49" t="n"/>
      <c r="O83" s="50">
        <f>IF(M83="","",ROUND(M83*N83,2))</f>
        <v/>
      </c>
      <c r="P83" s="50">
        <f>IF(M83="","",M83+N(O83))</f>
        <v/>
      </c>
      <c r="Q83" s="45" t="n"/>
      <c r="R83" s="45" t="n"/>
      <c r="S83" s="51">
        <f>IF(L83="","",IF(COUNTIF(L$6:L83,L83)&gt;1,"",SUMIF(L$6:L$2000,L83,M$6:M$2000)-SUMIF(L$6:L$2000,L83,G$6:G$2000)))</f>
        <v/>
      </c>
      <c r="T83" s="46">
        <f>IF(AND(C83="",G83=""),"",IF(L83="","Nog factureren",IF(AND(G83&lt;&gt;"",OR(K83="",K83&gt;TODAY())),"Nog betalen",IF(OR(R83="",R83&gt;TODAY()),"Wacht op klant","Afgerond"))))</f>
        <v/>
      </c>
    </row>
    <row r="84">
      <c r="A84" s="45" t="n"/>
      <c r="B84" s="46">
        <f>IF(A84="","",YEAR(A84)&amp;" Q"&amp;ROUNDUP(MONTH(A84)/3,0))</f>
        <v/>
      </c>
      <c r="C84" s="47" t="n"/>
      <c r="D84" s="47" t="n"/>
      <c r="E84" s="47" t="n"/>
      <c r="F84" s="47" t="n"/>
      <c r="G84" s="48" t="n"/>
      <c r="H84" s="49" t="n"/>
      <c r="I84" s="50">
        <f>IF(G84="","",ROUND(G84*H84,2))</f>
        <v/>
      </c>
      <c r="J84" s="50">
        <f>IF(G84="","",G84+N(I84))</f>
        <v/>
      </c>
      <c r="K84" s="45" t="n"/>
      <c r="L84" s="47" t="n"/>
      <c r="M84" s="48" t="n"/>
      <c r="N84" s="49" t="n"/>
      <c r="O84" s="50">
        <f>IF(M84="","",ROUND(M84*N84,2))</f>
        <v/>
      </c>
      <c r="P84" s="50">
        <f>IF(M84="","",M84+N(O84))</f>
        <v/>
      </c>
      <c r="Q84" s="45" t="n"/>
      <c r="R84" s="45" t="n"/>
      <c r="S84" s="51">
        <f>IF(L84="","",IF(COUNTIF(L$6:L84,L84)&gt;1,"",SUMIF(L$6:L$2000,L84,M$6:M$2000)-SUMIF(L$6:L$2000,L84,G$6:G$2000)))</f>
        <v/>
      </c>
      <c r="T84" s="46">
        <f>IF(AND(C84="",G84=""),"",IF(L84="","Nog factureren",IF(AND(G84&lt;&gt;"",OR(K84="",K84&gt;TODAY())),"Nog betalen",IF(OR(R84="",R84&gt;TODAY()),"Wacht op klant","Afgerond"))))</f>
        <v/>
      </c>
    </row>
    <row r="85">
      <c r="A85" s="45" t="n"/>
      <c r="B85" s="46">
        <f>IF(A85="","",YEAR(A85)&amp;" Q"&amp;ROUNDUP(MONTH(A85)/3,0))</f>
        <v/>
      </c>
      <c r="C85" s="47" t="n"/>
      <c r="D85" s="47" t="n"/>
      <c r="E85" s="47" t="n"/>
      <c r="F85" s="47" t="n"/>
      <c r="G85" s="48" t="n"/>
      <c r="H85" s="49" t="n"/>
      <c r="I85" s="50">
        <f>IF(G85="","",ROUND(G85*H85,2))</f>
        <v/>
      </c>
      <c r="J85" s="50">
        <f>IF(G85="","",G85+N(I85))</f>
        <v/>
      </c>
      <c r="K85" s="45" t="n"/>
      <c r="L85" s="47" t="n"/>
      <c r="M85" s="48" t="n"/>
      <c r="N85" s="49" t="n"/>
      <c r="O85" s="50">
        <f>IF(M85="","",ROUND(M85*N85,2))</f>
        <v/>
      </c>
      <c r="P85" s="50">
        <f>IF(M85="","",M85+N(O85))</f>
        <v/>
      </c>
      <c r="Q85" s="45" t="n"/>
      <c r="R85" s="45" t="n"/>
      <c r="S85" s="51">
        <f>IF(L85="","",IF(COUNTIF(L$6:L85,L85)&gt;1,"",SUMIF(L$6:L$2000,L85,M$6:M$2000)-SUMIF(L$6:L$2000,L85,G$6:G$2000)))</f>
        <v/>
      </c>
      <c r="T85" s="46">
        <f>IF(AND(C85="",G85=""),"",IF(L85="","Nog factureren",IF(AND(G85&lt;&gt;"",OR(K85="",K85&gt;TODAY())),"Nog betalen",IF(OR(R85="",R85&gt;TODAY()),"Wacht op klant","Afgerond"))))</f>
        <v/>
      </c>
    </row>
    <row r="86">
      <c r="A86" s="45" t="n"/>
      <c r="B86" s="46">
        <f>IF(A86="","",YEAR(A86)&amp;" Q"&amp;ROUNDUP(MONTH(A86)/3,0))</f>
        <v/>
      </c>
      <c r="C86" s="47" t="n"/>
      <c r="D86" s="47" t="n"/>
      <c r="E86" s="47" t="n"/>
      <c r="F86" s="47" t="n"/>
      <c r="G86" s="48" t="n"/>
      <c r="H86" s="49" t="n"/>
      <c r="I86" s="50">
        <f>IF(G86="","",ROUND(G86*H86,2))</f>
        <v/>
      </c>
      <c r="J86" s="50">
        <f>IF(G86="","",G86+N(I86))</f>
        <v/>
      </c>
      <c r="K86" s="45" t="n"/>
      <c r="L86" s="47" t="n"/>
      <c r="M86" s="48" t="n"/>
      <c r="N86" s="49" t="n"/>
      <c r="O86" s="50">
        <f>IF(M86="","",ROUND(M86*N86,2))</f>
        <v/>
      </c>
      <c r="P86" s="50">
        <f>IF(M86="","",M86+N(O86))</f>
        <v/>
      </c>
      <c r="Q86" s="45" t="n"/>
      <c r="R86" s="45" t="n"/>
      <c r="S86" s="51">
        <f>IF(L86="","",IF(COUNTIF(L$6:L86,L86)&gt;1,"",SUMIF(L$6:L$2000,L86,M$6:M$2000)-SUMIF(L$6:L$2000,L86,G$6:G$2000)))</f>
        <v/>
      </c>
      <c r="T86" s="46">
        <f>IF(AND(C86="",G86=""),"",IF(L86="","Nog factureren",IF(AND(G86&lt;&gt;"",OR(K86="",K86&gt;TODAY())),"Nog betalen",IF(OR(R86="",R86&gt;TODAY()),"Wacht op klant","Afgerond"))))</f>
        <v/>
      </c>
    </row>
    <row r="87">
      <c r="A87" s="45" t="n"/>
      <c r="B87" s="46">
        <f>IF(A87="","",YEAR(A87)&amp;" Q"&amp;ROUNDUP(MONTH(A87)/3,0))</f>
        <v/>
      </c>
      <c r="C87" s="47" t="n"/>
      <c r="D87" s="47" t="n"/>
      <c r="E87" s="47" t="n"/>
      <c r="F87" s="47" t="n"/>
      <c r="G87" s="48" t="n"/>
      <c r="H87" s="49" t="n"/>
      <c r="I87" s="50">
        <f>IF(G87="","",ROUND(G87*H87,2))</f>
        <v/>
      </c>
      <c r="J87" s="50">
        <f>IF(G87="","",G87+N(I87))</f>
        <v/>
      </c>
      <c r="K87" s="45" t="n"/>
      <c r="L87" s="47" t="n"/>
      <c r="M87" s="48" t="n"/>
      <c r="N87" s="49" t="n"/>
      <c r="O87" s="50">
        <f>IF(M87="","",ROUND(M87*N87,2))</f>
        <v/>
      </c>
      <c r="P87" s="50">
        <f>IF(M87="","",M87+N(O87))</f>
        <v/>
      </c>
      <c r="Q87" s="45" t="n"/>
      <c r="R87" s="45" t="n"/>
      <c r="S87" s="51">
        <f>IF(L87="","",IF(COUNTIF(L$6:L87,L87)&gt;1,"",SUMIF(L$6:L$2000,L87,M$6:M$2000)-SUMIF(L$6:L$2000,L87,G$6:G$2000)))</f>
        <v/>
      </c>
      <c r="T87" s="46">
        <f>IF(AND(C87="",G87=""),"",IF(L87="","Nog factureren",IF(AND(G87&lt;&gt;"",OR(K87="",K87&gt;TODAY())),"Nog betalen",IF(OR(R87="",R87&gt;TODAY()),"Wacht op klant","Afgerond"))))</f>
        <v/>
      </c>
    </row>
    <row r="88">
      <c r="A88" s="45" t="n"/>
      <c r="B88" s="46">
        <f>IF(A88="","",YEAR(A88)&amp;" Q"&amp;ROUNDUP(MONTH(A88)/3,0))</f>
        <v/>
      </c>
      <c r="C88" s="47" t="n"/>
      <c r="D88" s="47" t="n"/>
      <c r="E88" s="47" t="n"/>
      <c r="F88" s="47" t="n"/>
      <c r="G88" s="48" t="n"/>
      <c r="H88" s="49" t="n"/>
      <c r="I88" s="50">
        <f>IF(G88="","",ROUND(G88*H88,2))</f>
        <v/>
      </c>
      <c r="J88" s="50">
        <f>IF(G88="","",G88+N(I88))</f>
        <v/>
      </c>
      <c r="K88" s="45" t="n"/>
      <c r="L88" s="47" t="n"/>
      <c r="M88" s="48" t="n"/>
      <c r="N88" s="49" t="n"/>
      <c r="O88" s="50">
        <f>IF(M88="","",ROUND(M88*N88,2))</f>
        <v/>
      </c>
      <c r="P88" s="50">
        <f>IF(M88="","",M88+N(O88))</f>
        <v/>
      </c>
      <c r="Q88" s="45" t="n"/>
      <c r="R88" s="45" t="n"/>
      <c r="S88" s="51">
        <f>IF(L88="","",IF(COUNTIF(L$6:L88,L88)&gt;1,"",SUMIF(L$6:L$2000,L88,M$6:M$2000)-SUMIF(L$6:L$2000,L88,G$6:G$2000)))</f>
        <v/>
      </c>
      <c r="T88" s="46">
        <f>IF(AND(C88="",G88=""),"",IF(L88="","Nog factureren",IF(AND(G88&lt;&gt;"",OR(K88="",K88&gt;TODAY())),"Nog betalen",IF(OR(R88="",R88&gt;TODAY()),"Wacht op klant","Afgerond"))))</f>
        <v/>
      </c>
    </row>
    <row r="89">
      <c r="A89" s="45" t="n"/>
      <c r="B89" s="46">
        <f>IF(A89="","",YEAR(A89)&amp;" Q"&amp;ROUNDUP(MONTH(A89)/3,0))</f>
        <v/>
      </c>
      <c r="C89" s="47" t="n"/>
      <c r="D89" s="47" t="n"/>
      <c r="E89" s="47" t="n"/>
      <c r="F89" s="47" t="n"/>
      <c r="G89" s="48" t="n"/>
      <c r="H89" s="49" t="n"/>
      <c r="I89" s="50">
        <f>IF(G89="","",ROUND(G89*H89,2))</f>
        <v/>
      </c>
      <c r="J89" s="50">
        <f>IF(G89="","",G89+N(I89))</f>
        <v/>
      </c>
      <c r="K89" s="45" t="n"/>
      <c r="L89" s="47" t="n"/>
      <c r="M89" s="48" t="n"/>
      <c r="N89" s="49" t="n"/>
      <c r="O89" s="50">
        <f>IF(M89="","",ROUND(M89*N89,2))</f>
        <v/>
      </c>
      <c r="P89" s="50">
        <f>IF(M89="","",M89+N(O89))</f>
        <v/>
      </c>
      <c r="Q89" s="45" t="n"/>
      <c r="R89" s="45" t="n"/>
      <c r="S89" s="51">
        <f>IF(L89="","",IF(COUNTIF(L$6:L89,L89)&gt;1,"",SUMIF(L$6:L$2000,L89,M$6:M$2000)-SUMIF(L$6:L$2000,L89,G$6:G$2000)))</f>
        <v/>
      </c>
      <c r="T89" s="46">
        <f>IF(AND(C89="",G89=""),"",IF(L89="","Nog factureren",IF(AND(G89&lt;&gt;"",OR(K89="",K89&gt;TODAY())),"Nog betalen",IF(OR(R89="",R89&gt;TODAY()),"Wacht op klant","Afgerond"))))</f>
        <v/>
      </c>
    </row>
    <row r="90">
      <c r="A90" s="45" t="n"/>
      <c r="B90" s="46">
        <f>IF(A90="","",YEAR(A90)&amp;" Q"&amp;ROUNDUP(MONTH(A90)/3,0))</f>
        <v/>
      </c>
      <c r="C90" s="47" t="n"/>
      <c r="D90" s="47" t="n"/>
      <c r="E90" s="47" t="n"/>
      <c r="F90" s="47" t="n"/>
      <c r="G90" s="48" t="n"/>
      <c r="H90" s="49" t="n"/>
      <c r="I90" s="50">
        <f>IF(G90="","",ROUND(G90*H90,2))</f>
        <v/>
      </c>
      <c r="J90" s="50">
        <f>IF(G90="","",G90+N(I90))</f>
        <v/>
      </c>
      <c r="K90" s="45" t="n"/>
      <c r="L90" s="47" t="n"/>
      <c r="M90" s="48" t="n"/>
      <c r="N90" s="49" t="n"/>
      <c r="O90" s="50">
        <f>IF(M90="","",ROUND(M90*N90,2))</f>
        <v/>
      </c>
      <c r="P90" s="50">
        <f>IF(M90="","",M90+N(O90))</f>
        <v/>
      </c>
      <c r="Q90" s="45" t="n"/>
      <c r="R90" s="45" t="n"/>
      <c r="S90" s="51">
        <f>IF(L90="","",IF(COUNTIF(L$6:L90,L90)&gt;1,"",SUMIF(L$6:L$2000,L90,M$6:M$2000)-SUMIF(L$6:L$2000,L90,G$6:G$2000)))</f>
        <v/>
      </c>
      <c r="T90" s="46">
        <f>IF(AND(C90="",G90=""),"",IF(L90="","Nog factureren",IF(AND(G90&lt;&gt;"",OR(K90="",K90&gt;TODAY())),"Nog betalen",IF(OR(R90="",R90&gt;TODAY()),"Wacht op klant","Afgerond"))))</f>
        <v/>
      </c>
    </row>
    <row r="91">
      <c r="A91" s="45" t="n"/>
      <c r="B91" s="46">
        <f>IF(A91="","",YEAR(A91)&amp;" Q"&amp;ROUNDUP(MONTH(A91)/3,0))</f>
        <v/>
      </c>
      <c r="C91" s="47" t="n"/>
      <c r="D91" s="47" t="n"/>
      <c r="E91" s="47" t="n"/>
      <c r="F91" s="47" t="n"/>
      <c r="G91" s="48" t="n"/>
      <c r="H91" s="49" t="n"/>
      <c r="I91" s="50">
        <f>IF(G91="","",ROUND(G91*H91,2))</f>
        <v/>
      </c>
      <c r="J91" s="50">
        <f>IF(G91="","",G91+N(I91))</f>
        <v/>
      </c>
      <c r="K91" s="45" t="n"/>
      <c r="L91" s="47" t="n"/>
      <c r="M91" s="48" t="n"/>
      <c r="N91" s="49" t="n"/>
      <c r="O91" s="50">
        <f>IF(M91="","",ROUND(M91*N91,2))</f>
        <v/>
      </c>
      <c r="P91" s="50">
        <f>IF(M91="","",M91+N(O91))</f>
        <v/>
      </c>
      <c r="Q91" s="45" t="n"/>
      <c r="R91" s="45" t="n"/>
      <c r="S91" s="51">
        <f>IF(L91="","",IF(COUNTIF(L$6:L91,L91)&gt;1,"",SUMIF(L$6:L$2000,L91,M$6:M$2000)-SUMIF(L$6:L$2000,L91,G$6:G$2000)))</f>
        <v/>
      </c>
      <c r="T91" s="46">
        <f>IF(AND(C91="",G91=""),"",IF(L91="","Nog factureren",IF(AND(G91&lt;&gt;"",OR(K91="",K91&gt;TODAY())),"Nog betalen",IF(OR(R91="",R91&gt;TODAY()),"Wacht op klant","Afgerond"))))</f>
        <v/>
      </c>
    </row>
    <row r="92">
      <c r="A92" s="45" t="n"/>
      <c r="B92" s="46">
        <f>IF(A92="","",YEAR(A92)&amp;" Q"&amp;ROUNDUP(MONTH(A92)/3,0))</f>
        <v/>
      </c>
      <c r="C92" s="47" t="n"/>
      <c r="D92" s="47" t="n"/>
      <c r="E92" s="47" t="n"/>
      <c r="F92" s="47" t="n"/>
      <c r="G92" s="48" t="n"/>
      <c r="H92" s="49" t="n"/>
      <c r="I92" s="50">
        <f>IF(G92="","",ROUND(G92*H92,2))</f>
        <v/>
      </c>
      <c r="J92" s="50">
        <f>IF(G92="","",G92+N(I92))</f>
        <v/>
      </c>
      <c r="K92" s="45" t="n"/>
      <c r="L92" s="47" t="n"/>
      <c r="M92" s="48" t="n"/>
      <c r="N92" s="49" t="n"/>
      <c r="O92" s="50">
        <f>IF(M92="","",ROUND(M92*N92,2))</f>
        <v/>
      </c>
      <c r="P92" s="50">
        <f>IF(M92="","",M92+N(O92))</f>
        <v/>
      </c>
      <c r="Q92" s="45" t="n"/>
      <c r="R92" s="45" t="n"/>
      <c r="S92" s="51">
        <f>IF(L92="","",IF(COUNTIF(L$6:L92,L92)&gt;1,"",SUMIF(L$6:L$2000,L92,M$6:M$2000)-SUMIF(L$6:L$2000,L92,G$6:G$2000)))</f>
        <v/>
      </c>
      <c r="T92" s="46">
        <f>IF(AND(C92="",G92=""),"",IF(L92="","Nog factureren",IF(AND(G92&lt;&gt;"",OR(K92="",K92&gt;TODAY())),"Nog betalen",IF(OR(R92="",R92&gt;TODAY()),"Wacht op klant","Afgerond"))))</f>
        <v/>
      </c>
    </row>
    <row r="93">
      <c r="A93" s="45" t="n"/>
      <c r="B93" s="46">
        <f>IF(A93="","",YEAR(A93)&amp;" Q"&amp;ROUNDUP(MONTH(A93)/3,0))</f>
        <v/>
      </c>
      <c r="C93" s="47" t="n"/>
      <c r="D93" s="47" t="n"/>
      <c r="E93" s="47" t="n"/>
      <c r="F93" s="47" t="n"/>
      <c r="G93" s="48" t="n"/>
      <c r="H93" s="49" t="n"/>
      <c r="I93" s="50">
        <f>IF(G93="","",ROUND(G93*H93,2))</f>
        <v/>
      </c>
      <c r="J93" s="50">
        <f>IF(G93="","",G93+N(I93))</f>
        <v/>
      </c>
      <c r="K93" s="45" t="n"/>
      <c r="L93" s="47" t="n"/>
      <c r="M93" s="48" t="n"/>
      <c r="N93" s="49" t="n"/>
      <c r="O93" s="50">
        <f>IF(M93="","",ROUND(M93*N93,2))</f>
        <v/>
      </c>
      <c r="P93" s="50">
        <f>IF(M93="","",M93+N(O93))</f>
        <v/>
      </c>
      <c r="Q93" s="45" t="n"/>
      <c r="R93" s="45" t="n"/>
      <c r="S93" s="51">
        <f>IF(L93="","",IF(COUNTIF(L$6:L93,L93)&gt;1,"",SUMIF(L$6:L$2000,L93,M$6:M$2000)-SUMIF(L$6:L$2000,L93,G$6:G$2000)))</f>
        <v/>
      </c>
      <c r="T93" s="46">
        <f>IF(AND(C93="",G93=""),"",IF(L93="","Nog factureren",IF(AND(G93&lt;&gt;"",OR(K93="",K93&gt;TODAY())),"Nog betalen",IF(OR(R93="",R93&gt;TODAY()),"Wacht op klant","Afgerond"))))</f>
        <v/>
      </c>
    </row>
    <row r="94">
      <c r="A94" s="45" t="n"/>
      <c r="B94" s="46">
        <f>IF(A94="","",YEAR(A94)&amp;" Q"&amp;ROUNDUP(MONTH(A94)/3,0))</f>
        <v/>
      </c>
      <c r="C94" s="47" t="n"/>
      <c r="D94" s="47" t="n"/>
      <c r="E94" s="47" t="n"/>
      <c r="F94" s="47" t="n"/>
      <c r="G94" s="48" t="n"/>
      <c r="H94" s="49" t="n"/>
      <c r="I94" s="50">
        <f>IF(G94="","",ROUND(G94*H94,2))</f>
        <v/>
      </c>
      <c r="J94" s="50">
        <f>IF(G94="","",G94+N(I94))</f>
        <v/>
      </c>
      <c r="K94" s="45" t="n"/>
      <c r="L94" s="47" t="n"/>
      <c r="M94" s="48" t="n"/>
      <c r="N94" s="49" t="n"/>
      <c r="O94" s="50">
        <f>IF(M94="","",ROUND(M94*N94,2))</f>
        <v/>
      </c>
      <c r="P94" s="50">
        <f>IF(M94="","",M94+N(O94))</f>
        <v/>
      </c>
      <c r="Q94" s="45" t="n"/>
      <c r="R94" s="45" t="n"/>
      <c r="S94" s="51">
        <f>IF(L94="","",IF(COUNTIF(L$6:L94,L94)&gt;1,"",SUMIF(L$6:L$2000,L94,M$6:M$2000)-SUMIF(L$6:L$2000,L94,G$6:G$2000)))</f>
        <v/>
      </c>
      <c r="T94" s="46">
        <f>IF(AND(C94="",G94=""),"",IF(L94="","Nog factureren",IF(AND(G94&lt;&gt;"",OR(K94="",K94&gt;TODAY())),"Nog betalen",IF(OR(R94="",R94&gt;TODAY()),"Wacht op klant","Afgerond"))))</f>
        <v/>
      </c>
    </row>
    <row r="95">
      <c r="A95" s="45" t="n"/>
      <c r="B95" s="46">
        <f>IF(A95="","",YEAR(A95)&amp;" Q"&amp;ROUNDUP(MONTH(A95)/3,0))</f>
        <v/>
      </c>
      <c r="C95" s="47" t="n"/>
      <c r="D95" s="47" t="n"/>
      <c r="E95" s="47" t="n"/>
      <c r="F95" s="47" t="n"/>
      <c r="G95" s="48" t="n"/>
      <c r="H95" s="49" t="n"/>
      <c r="I95" s="50">
        <f>IF(G95="","",ROUND(G95*H95,2))</f>
        <v/>
      </c>
      <c r="J95" s="50">
        <f>IF(G95="","",G95+N(I95))</f>
        <v/>
      </c>
      <c r="K95" s="45" t="n"/>
      <c r="L95" s="47" t="n"/>
      <c r="M95" s="48" t="n"/>
      <c r="N95" s="49" t="n"/>
      <c r="O95" s="50">
        <f>IF(M95="","",ROUND(M95*N95,2))</f>
        <v/>
      </c>
      <c r="P95" s="50">
        <f>IF(M95="","",M95+N(O95))</f>
        <v/>
      </c>
      <c r="Q95" s="45" t="n"/>
      <c r="R95" s="45" t="n"/>
      <c r="S95" s="51">
        <f>IF(L95="","",IF(COUNTIF(L$6:L95,L95)&gt;1,"",SUMIF(L$6:L$2000,L95,M$6:M$2000)-SUMIF(L$6:L$2000,L95,G$6:G$2000)))</f>
        <v/>
      </c>
      <c r="T95" s="46">
        <f>IF(AND(C95="",G95=""),"",IF(L95="","Nog factureren",IF(AND(G95&lt;&gt;"",OR(K95="",K95&gt;TODAY())),"Nog betalen",IF(OR(R95="",R95&gt;TODAY()),"Wacht op klant","Afgerond"))))</f>
        <v/>
      </c>
    </row>
    <row r="96">
      <c r="A96" s="45" t="n"/>
      <c r="B96" s="46">
        <f>IF(A96="","",YEAR(A96)&amp;" Q"&amp;ROUNDUP(MONTH(A96)/3,0))</f>
        <v/>
      </c>
      <c r="C96" s="47" t="n"/>
      <c r="D96" s="47" t="n"/>
      <c r="E96" s="47" t="n"/>
      <c r="F96" s="47" t="n"/>
      <c r="G96" s="48" t="n"/>
      <c r="H96" s="49" t="n"/>
      <c r="I96" s="50">
        <f>IF(G96="","",ROUND(G96*H96,2))</f>
        <v/>
      </c>
      <c r="J96" s="50">
        <f>IF(G96="","",G96+N(I96))</f>
        <v/>
      </c>
      <c r="K96" s="45" t="n"/>
      <c r="L96" s="47" t="n"/>
      <c r="M96" s="48" t="n"/>
      <c r="N96" s="49" t="n"/>
      <c r="O96" s="50">
        <f>IF(M96="","",ROUND(M96*N96,2))</f>
        <v/>
      </c>
      <c r="P96" s="50">
        <f>IF(M96="","",M96+N(O96))</f>
        <v/>
      </c>
      <c r="Q96" s="45" t="n"/>
      <c r="R96" s="45" t="n"/>
      <c r="S96" s="51">
        <f>IF(L96="","",IF(COUNTIF(L$6:L96,L96)&gt;1,"",SUMIF(L$6:L$2000,L96,M$6:M$2000)-SUMIF(L$6:L$2000,L96,G$6:G$2000)))</f>
        <v/>
      </c>
      <c r="T96" s="46">
        <f>IF(AND(C96="",G96=""),"",IF(L96="","Nog factureren",IF(AND(G96&lt;&gt;"",OR(K96="",K96&gt;TODAY())),"Nog betalen",IF(OR(R96="",R96&gt;TODAY()),"Wacht op klant","Afgerond"))))</f>
        <v/>
      </c>
    </row>
    <row r="97">
      <c r="A97" s="45" t="n"/>
      <c r="B97" s="46">
        <f>IF(A97="","",YEAR(A97)&amp;" Q"&amp;ROUNDUP(MONTH(A97)/3,0))</f>
        <v/>
      </c>
      <c r="C97" s="47" t="n"/>
      <c r="D97" s="47" t="n"/>
      <c r="E97" s="47" t="n"/>
      <c r="F97" s="47" t="n"/>
      <c r="G97" s="48" t="n"/>
      <c r="H97" s="49" t="n"/>
      <c r="I97" s="50">
        <f>IF(G97="","",ROUND(G97*H97,2))</f>
        <v/>
      </c>
      <c r="J97" s="50">
        <f>IF(G97="","",G97+N(I97))</f>
        <v/>
      </c>
      <c r="K97" s="45" t="n"/>
      <c r="L97" s="47" t="n"/>
      <c r="M97" s="48" t="n"/>
      <c r="N97" s="49" t="n"/>
      <c r="O97" s="50">
        <f>IF(M97="","",ROUND(M97*N97,2))</f>
        <v/>
      </c>
      <c r="P97" s="50">
        <f>IF(M97="","",M97+N(O97))</f>
        <v/>
      </c>
      <c r="Q97" s="45" t="n"/>
      <c r="R97" s="45" t="n"/>
      <c r="S97" s="51">
        <f>IF(L97="","",IF(COUNTIF(L$6:L97,L97)&gt;1,"",SUMIF(L$6:L$2000,L97,M$6:M$2000)-SUMIF(L$6:L$2000,L97,G$6:G$2000)))</f>
        <v/>
      </c>
      <c r="T97" s="46">
        <f>IF(AND(C97="",G97=""),"",IF(L97="","Nog factureren",IF(AND(G97&lt;&gt;"",OR(K97="",K97&gt;TODAY())),"Nog betalen",IF(OR(R97="",R97&gt;TODAY()),"Wacht op klant","Afgerond"))))</f>
        <v/>
      </c>
    </row>
    <row r="98">
      <c r="A98" s="45" t="n"/>
      <c r="B98" s="46">
        <f>IF(A98="","",YEAR(A98)&amp;" Q"&amp;ROUNDUP(MONTH(A98)/3,0))</f>
        <v/>
      </c>
      <c r="C98" s="47" t="n"/>
      <c r="D98" s="47" t="n"/>
      <c r="E98" s="47" t="n"/>
      <c r="F98" s="47" t="n"/>
      <c r="G98" s="48" t="n"/>
      <c r="H98" s="49" t="n"/>
      <c r="I98" s="50">
        <f>IF(G98="","",ROUND(G98*H98,2))</f>
        <v/>
      </c>
      <c r="J98" s="50">
        <f>IF(G98="","",G98+N(I98))</f>
        <v/>
      </c>
      <c r="K98" s="45" t="n"/>
      <c r="L98" s="47" t="n"/>
      <c r="M98" s="48" t="n"/>
      <c r="N98" s="49" t="n"/>
      <c r="O98" s="50">
        <f>IF(M98="","",ROUND(M98*N98,2))</f>
        <v/>
      </c>
      <c r="P98" s="50">
        <f>IF(M98="","",M98+N(O98))</f>
        <v/>
      </c>
      <c r="Q98" s="45" t="n"/>
      <c r="R98" s="45" t="n"/>
      <c r="S98" s="51">
        <f>IF(L98="","",IF(COUNTIF(L$6:L98,L98)&gt;1,"",SUMIF(L$6:L$2000,L98,M$6:M$2000)-SUMIF(L$6:L$2000,L98,G$6:G$2000)))</f>
        <v/>
      </c>
      <c r="T98" s="46">
        <f>IF(AND(C98="",G98=""),"",IF(L98="","Nog factureren",IF(AND(G98&lt;&gt;"",OR(K98="",K98&gt;TODAY())),"Nog betalen",IF(OR(R98="",R98&gt;TODAY()),"Wacht op klant","Afgerond"))))</f>
        <v/>
      </c>
    </row>
    <row r="99">
      <c r="A99" s="45" t="n"/>
      <c r="B99" s="46">
        <f>IF(A99="","",YEAR(A99)&amp;" Q"&amp;ROUNDUP(MONTH(A99)/3,0))</f>
        <v/>
      </c>
      <c r="C99" s="47" t="n"/>
      <c r="D99" s="47" t="n"/>
      <c r="E99" s="47" t="n"/>
      <c r="F99" s="47" t="n"/>
      <c r="G99" s="48" t="n"/>
      <c r="H99" s="49" t="n"/>
      <c r="I99" s="50">
        <f>IF(G99="","",ROUND(G99*H99,2))</f>
        <v/>
      </c>
      <c r="J99" s="50">
        <f>IF(G99="","",G99+N(I99))</f>
        <v/>
      </c>
      <c r="K99" s="45" t="n"/>
      <c r="L99" s="47" t="n"/>
      <c r="M99" s="48" t="n"/>
      <c r="N99" s="49" t="n"/>
      <c r="O99" s="50">
        <f>IF(M99="","",ROUND(M99*N99,2))</f>
        <v/>
      </c>
      <c r="P99" s="50">
        <f>IF(M99="","",M99+N(O99))</f>
        <v/>
      </c>
      <c r="Q99" s="45" t="n"/>
      <c r="R99" s="45" t="n"/>
      <c r="S99" s="51">
        <f>IF(L99="","",IF(COUNTIF(L$6:L99,L99)&gt;1,"",SUMIF(L$6:L$2000,L99,M$6:M$2000)-SUMIF(L$6:L$2000,L99,G$6:G$2000)))</f>
        <v/>
      </c>
      <c r="T99" s="46">
        <f>IF(AND(C99="",G99=""),"",IF(L99="","Nog factureren",IF(AND(G99&lt;&gt;"",OR(K99="",K99&gt;TODAY())),"Nog betalen",IF(OR(R99="",R99&gt;TODAY()),"Wacht op klant","Afgerond"))))</f>
        <v/>
      </c>
    </row>
    <row r="100">
      <c r="A100" s="45" t="n"/>
      <c r="B100" s="46">
        <f>IF(A100="","",YEAR(A100)&amp;" Q"&amp;ROUNDUP(MONTH(A100)/3,0))</f>
        <v/>
      </c>
      <c r="C100" s="47" t="n"/>
      <c r="D100" s="47" t="n"/>
      <c r="E100" s="47" t="n"/>
      <c r="F100" s="47" t="n"/>
      <c r="G100" s="48" t="n"/>
      <c r="H100" s="49" t="n"/>
      <c r="I100" s="50">
        <f>IF(G100="","",ROUND(G100*H100,2))</f>
        <v/>
      </c>
      <c r="J100" s="50">
        <f>IF(G100="","",G100+N(I100))</f>
        <v/>
      </c>
      <c r="K100" s="45" t="n"/>
      <c r="L100" s="47" t="n"/>
      <c r="M100" s="48" t="n"/>
      <c r="N100" s="49" t="n"/>
      <c r="O100" s="50">
        <f>IF(M100="","",ROUND(M100*N100,2))</f>
        <v/>
      </c>
      <c r="P100" s="50">
        <f>IF(M100="","",M100+N(O100))</f>
        <v/>
      </c>
      <c r="Q100" s="45" t="n"/>
      <c r="R100" s="45" t="n"/>
      <c r="S100" s="51">
        <f>IF(L100="","",IF(COUNTIF(L$6:L100,L100)&gt;1,"",SUMIF(L$6:L$2000,L100,M$6:M$2000)-SUMIF(L$6:L$2000,L100,G$6:G$2000)))</f>
        <v/>
      </c>
      <c r="T100" s="46">
        <f>IF(AND(C100="",G100=""),"",IF(L100="","Nog factureren",IF(AND(G100&lt;&gt;"",OR(K100="",K100&gt;TODAY())),"Nog betalen",IF(OR(R100="",R100&gt;TODAY()),"Wacht op klant","Afgerond"))))</f>
        <v/>
      </c>
    </row>
    <row r="101">
      <c r="A101" s="45" t="n"/>
      <c r="B101" s="46">
        <f>IF(A101="","",YEAR(A101)&amp;" Q"&amp;ROUNDUP(MONTH(A101)/3,0))</f>
        <v/>
      </c>
      <c r="C101" s="47" t="n"/>
      <c r="D101" s="47" t="n"/>
      <c r="E101" s="47" t="n"/>
      <c r="F101" s="47" t="n"/>
      <c r="G101" s="48" t="n"/>
      <c r="H101" s="49" t="n"/>
      <c r="I101" s="50">
        <f>IF(G101="","",ROUND(G101*H101,2))</f>
        <v/>
      </c>
      <c r="J101" s="50">
        <f>IF(G101="","",G101+N(I101))</f>
        <v/>
      </c>
      <c r="K101" s="45" t="n"/>
      <c r="L101" s="47" t="n"/>
      <c r="M101" s="48" t="n"/>
      <c r="N101" s="49" t="n"/>
      <c r="O101" s="50">
        <f>IF(M101="","",ROUND(M101*N101,2))</f>
        <v/>
      </c>
      <c r="P101" s="50">
        <f>IF(M101="","",M101+N(O101))</f>
        <v/>
      </c>
      <c r="Q101" s="45" t="n"/>
      <c r="R101" s="45" t="n"/>
      <c r="S101" s="51">
        <f>IF(L101="","",IF(COUNTIF(L$6:L101,L101)&gt;1,"",SUMIF(L$6:L$2000,L101,M$6:M$2000)-SUMIF(L$6:L$2000,L101,G$6:G$2000)))</f>
        <v/>
      </c>
      <c r="T101" s="46">
        <f>IF(AND(C101="",G101=""),"",IF(L101="","Nog factureren",IF(AND(G101&lt;&gt;"",OR(K101="",K101&gt;TODAY())),"Nog betalen",IF(OR(R101="",R101&gt;TODAY()),"Wacht op klant","Afgerond"))))</f>
        <v/>
      </c>
    </row>
    <row r="102">
      <c r="A102" s="45" t="n"/>
      <c r="B102" s="46">
        <f>IF(A102="","",YEAR(A102)&amp;" Q"&amp;ROUNDUP(MONTH(A102)/3,0))</f>
        <v/>
      </c>
      <c r="C102" s="47" t="n"/>
      <c r="D102" s="47" t="n"/>
      <c r="E102" s="47" t="n"/>
      <c r="F102" s="47" t="n"/>
      <c r="G102" s="48" t="n"/>
      <c r="H102" s="49" t="n"/>
      <c r="I102" s="50">
        <f>IF(G102="","",ROUND(G102*H102,2))</f>
        <v/>
      </c>
      <c r="J102" s="50">
        <f>IF(G102="","",G102+N(I102))</f>
        <v/>
      </c>
      <c r="K102" s="45" t="n"/>
      <c r="L102" s="47" t="n"/>
      <c r="M102" s="48" t="n"/>
      <c r="N102" s="49" t="n"/>
      <c r="O102" s="50">
        <f>IF(M102="","",ROUND(M102*N102,2))</f>
        <v/>
      </c>
      <c r="P102" s="50">
        <f>IF(M102="","",M102+N(O102))</f>
        <v/>
      </c>
      <c r="Q102" s="45" t="n"/>
      <c r="R102" s="45" t="n"/>
      <c r="S102" s="51">
        <f>IF(L102="","",IF(COUNTIF(L$6:L102,L102)&gt;1,"",SUMIF(L$6:L$2000,L102,M$6:M$2000)-SUMIF(L$6:L$2000,L102,G$6:G$2000)))</f>
        <v/>
      </c>
      <c r="T102" s="46">
        <f>IF(AND(C102="",G102=""),"",IF(L102="","Nog factureren",IF(AND(G102&lt;&gt;"",OR(K102="",K102&gt;TODAY())),"Nog betalen",IF(OR(R102="",R102&gt;TODAY()),"Wacht op klant","Afgerond"))))</f>
        <v/>
      </c>
    </row>
    <row r="103">
      <c r="A103" s="45" t="n"/>
      <c r="B103" s="46">
        <f>IF(A103="","",YEAR(A103)&amp;" Q"&amp;ROUNDUP(MONTH(A103)/3,0))</f>
        <v/>
      </c>
      <c r="C103" s="47" t="n"/>
      <c r="D103" s="47" t="n"/>
      <c r="E103" s="47" t="n"/>
      <c r="F103" s="47" t="n"/>
      <c r="G103" s="48" t="n"/>
      <c r="H103" s="49" t="n"/>
      <c r="I103" s="50">
        <f>IF(G103="","",ROUND(G103*H103,2))</f>
        <v/>
      </c>
      <c r="J103" s="50">
        <f>IF(G103="","",G103+N(I103))</f>
        <v/>
      </c>
      <c r="K103" s="45" t="n"/>
      <c r="L103" s="47" t="n"/>
      <c r="M103" s="48" t="n"/>
      <c r="N103" s="49" t="n"/>
      <c r="O103" s="50">
        <f>IF(M103="","",ROUND(M103*N103,2))</f>
        <v/>
      </c>
      <c r="P103" s="50">
        <f>IF(M103="","",M103+N(O103))</f>
        <v/>
      </c>
      <c r="Q103" s="45" t="n"/>
      <c r="R103" s="45" t="n"/>
      <c r="S103" s="51">
        <f>IF(L103="","",IF(COUNTIF(L$6:L103,L103)&gt;1,"",SUMIF(L$6:L$2000,L103,M$6:M$2000)-SUMIF(L$6:L$2000,L103,G$6:G$2000)))</f>
        <v/>
      </c>
      <c r="T103" s="46">
        <f>IF(AND(C103="",G103=""),"",IF(L103="","Nog factureren",IF(AND(G103&lt;&gt;"",OR(K103="",K103&gt;TODAY())),"Nog betalen",IF(OR(R103="",R103&gt;TODAY()),"Wacht op klant","Afgerond"))))</f>
        <v/>
      </c>
    </row>
    <row r="104">
      <c r="A104" s="45" t="n"/>
      <c r="B104" s="46">
        <f>IF(A104="","",YEAR(A104)&amp;" Q"&amp;ROUNDUP(MONTH(A104)/3,0))</f>
        <v/>
      </c>
      <c r="C104" s="47" t="n"/>
      <c r="D104" s="47" t="n"/>
      <c r="E104" s="47" t="n"/>
      <c r="F104" s="47" t="n"/>
      <c r="G104" s="48" t="n"/>
      <c r="H104" s="49" t="n"/>
      <c r="I104" s="50">
        <f>IF(G104="","",ROUND(G104*H104,2))</f>
        <v/>
      </c>
      <c r="J104" s="50">
        <f>IF(G104="","",G104+N(I104))</f>
        <v/>
      </c>
      <c r="K104" s="45" t="n"/>
      <c r="L104" s="47" t="n"/>
      <c r="M104" s="48" t="n"/>
      <c r="N104" s="49" t="n"/>
      <c r="O104" s="50">
        <f>IF(M104="","",ROUND(M104*N104,2))</f>
        <v/>
      </c>
      <c r="P104" s="50">
        <f>IF(M104="","",M104+N(O104))</f>
        <v/>
      </c>
      <c r="Q104" s="45" t="n"/>
      <c r="R104" s="45" t="n"/>
      <c r="S104" s="51">
        <f>IF(L104="","",IF(COUNTIF(L$6:L104,L104)&gt;1,"",SUMIF(L$6:L$2000,L104,M$6:M$2000)-SUMIF(L$6:L$2000,L104,G$6:G$2000)))</f>
        <v/>
      </c>
      <c r="T104" s="46">
        <f>IF(AND(C104="",G104=""),"",IF(L104="","Nog factureren",IF(AND(G104&lt;&gt;"",OR(K104="",K104&gt;TODAY())),"Nog betalen",IF(OR(R104="",R104&gt;TODAY()),"Wacht op klant","Afgerond"))))</f>
        <v/>
      </c>
    </row>
    <row r="105">
      <c r="A105" s="45" t="n"/>
      <c r="B105" s="46">
        <f>IF(A105="","",YEAR(A105)&amp;" Q"&amp;ROUNDUP(MONTH(A105)/3,0))</f>
        <v/>
      </c>
      <c r="C105" s="47" t="n"/>
      <c r="D105" s="47" t="n"/>
      <c r="E105" s="47" t="n"/>
      <c r="F105" s="47" t="n"/>
      <c r="G105" s="48" t="n"/>
      <c r="H105" s="49" t="n"/>
      <c r="I105" s="50">
        <f>IF(G105="","",ROUND(G105*H105,2))</f>
        <v/>
      </c>
      <c r="J105" s="50">
        <f>IF(G105="","",G105+N(I105))</f>
        <v/>
      </c>
      <c r="K105" s="45" t="n"/>
      <c r="L105" s="47" t="n"/>
      <c r="M105" s="48" t="n"/>
      <c r="N105" s="49" t="n"/>
      <c r="O105" s="50">
        <f>IF(M105="","",ROUND(M105*N105,2))</f>
        <v/>
      </c>
      <c r="P105" s="50">
        <f>IF(M105="","",M105+N(O105))</f>
        <v/>
      </c>
      <c r="Q105" s="45" t="n"/>
      <c r="R105" s="45" t="n"/>
      <c r="S105" s="51">
        <f>IF(L105="","",IF(COUNTIF(L$6:L105,L105)&gt;1,"",SUMIF(L$6:L$2000,L105,M$6:M$2000)-SUMIF(L$6:L$2000,L105,G$6:G$2000)))</f>
        <v/>
      </c>
      <c r="T105" s="46">
        <f>IF(AND(C105="",G105=""),"",IF(L105="","Nog factureren",IF(AND(G105&lt;&gt;"",OR(K105="",K105&gt;TODAY())),"Nog betalen",IF(OR(R105="",R105&gt;TODAY()),"Wacht op klant","Afgerond"))))</f>
        <v/>
      </c>
    </row>
    <row r="106">
      <c r="A106" s="45" t="n"/>
      <c r="B106" s="46">
        <f>IF(A106="","",YEAR(A106)&amp;" Q"&amp;ROUNDUP(MONTH(A106)/3,0))</f>
        <v/>
      </c>
      <c r="C106" s="47" t="n"/>
      <c r="D106" s="47" t="n"/>
      <c r="E106" s="47" t="n"/>
      <c r="F106" s="47" t="n"/>
      <c r="G106" s="48" t="n"/>
      <c r="H106" s="49" t="n"/>
      <c r="I106" s="50">
        <f>IF(G106="","",ROUND(G106*H106,2))</f>
        <v/>
      </c>
      <c r="J106" s="50">
        <f>IF(G106="","",G106+N(I106))</f>
        <v/>
      </c>
      <c r="K106" s="45" t="n"/>
      <c r="L106" s="47" t="n"/>
      <c r="M106" s="48" t="n"/>
      <c r="N106" s="49" t="n"/>
      <c r="O106" s="50">
        <f>IF(M106="","",ROUND(M106*N106,2))</f>
        <v/>
      </c>
      <c r="P106" s="50">
        <f>IF(M106="","",M106+N(O106))</f>
        <v/>
      </c>
      <c r="Q106" s="45" t="n"/>
      <c r="R106" s="45" t="n"/>
      <c r="S106" s="51">
        <f>IF(L106="","",IF(COUNTIF(L$6:L106,L106)&gt;1,"",SUMIF(L$6:L$2000,L106,M$6:M$2000)-SUMIF(L$6:L$2000,L106,G$6:G$2000)))</f>
        <v/>
      </c>
      <c r="T106" s="46">
        <f>IF(AND(C106="",G106=""),"",IF(L106="","Nog factureren",IF(AND(G106&lt;&gt;"",OR(K106="",K106&gt;TODAY())),"Nog betalen",IF(OR(R106="",R106&gt;TODAY()),"Wacht op klant","Afgerond"))))</f>
        <v/>
      </c>
    </row>
    <row r="107">
      <c r="A107" s="45" t="n"/>
      <c r="B107" s="46">
        <f>IF(A107="","",YEAR(A107)&amp;" Q"&amp;ROUNDUP(MONTH(A107)/3,0))</f>
        <v/>
      </c>
      <c r="C107" s="47" t="n"/>
      <c r="D107" s="47" t="n"/>
      <c r="E107" s="47" t="n"/>
      <c r="F107" s="47" t="n"/>
      <c r="G107" s="48" t="n"/>
      <c r="H107" s="49" t="n"/>
      <c r="I107" s="50">
        <f>IF(G107="","",ROUND(G107*H107,2))</f>
        <v/>
      </c>
      <c r="J107" s="50">
        <f>IF(G107="","",G107+N(I107))</f>
        <v/>
      </c>
      <c r="K107" s="45" t="n"/>
      <c r="L107" s="47" t="n"/>
      <c r="M107" s="48" t="n"/>
      <c r="N107" s="49" t="n"/>
      <c r="O107" s="50">
        <f>IF(M107="","",ROUND(M107*N107,2))</f>
        <v/>
      </c>
      <c r="P107" s="50">
        <f>IF(M107="","",M107+N(O107))</f>
        <v/>
      </c>
      <c r="Q107" s="45" t="n"/>
      <c r="R107" s="45" t="n"/>
      <c r="S107" s="51">
        <f>IF(L107="","",IF(COUNTIF(L$6:L107,L107)&gt;1,"",SUMIF(L$6:L$2000,L107,M$6:M$2000)-SUMIF(L$6:L$2000,L107,G$6:G$2000)))</f>
        <v/>
      </c>
      <c r="T107" s="46">
        <f>IF(AND(C107="",G107=""),"",IF(L107="","Nog factureren",IF(AND(G107&lt;&gt;"",OR(K107="",K107&gt;TODAY())),"Nog betalen",IF(OR(R107="",R107&gt;TODAY()),"Wacht op klant","Afgerond"))))</f>
        <v/>
      </c>
    </row>
    <row r="108">
      <c r="A108" s="45" t="n"/>
      <c r="B108" s="46">
        <f>IF(A108="","",YEAR(A108)&amp;" Q"&amp;ROUNDUP(MONTH(A108)/3,0))</f>
        <v/>
      </c>
      <c r="C108" s="47" t="n"/>
      <c r="D108" s="47" t="n"/>
      <c r="E108" s="47" t="n"/>
      <c r="F108" s="47" t="n"/>
      <c r="G108" s="48" t="n"/>
      <c r="H108" s="49" t="n"/>
      <c r="I108" s="50">
        <f>IF(G108="","",ROUND(G108*H108,2))</f>
        <v/>
      </c>
      <c r="J108" s="50">
        <f>IF(G108="","",G108+N(I108))</f>
        <v/>
      </c>
      <c r="K108" s="45" t="n"/>
      <c r="L108" s="47" t="n"/>
      <c r="M108" s="48" t="n"/>
      <c r="N108" s="49" t="n"/>
      <c r="O108" s="50">
        <f>IF(M108="","",ROUND(M108*N108,2))</f>
        <v/>
      </c>
      <c r="P108" s="50">
        <f>IF(M108="","",M108+N(O108))</f>
        <v/>
      </c>
      <c r="Q108" s="45" t="n"/>
      <c r="R108" s="45" t="n"/>
      <c r="S108" s="51">
        <f>IF(L108="","",IF(COUNTIF(L$6:L108,L108)&gt;1,"",SUMIF(L$6:L$2000,L108,M$6:M$2000)-SUMIF(L$6:L$2000,L108,G$6:G$2000)))</f>
        <v/>
      </c>
      <c r="T108" s="46">
        <f>IF(AND(C108="",G108=""),"",IF(L108="","Nog factureren",IF(AND(G108&lt;&gt;"",OR(K108="",K108&gt;TODAY())),"Nog betalen",IF(OR(R108="",R108&gt;TODAY()),"Wacht op klant","Afgerond"))))</f>
        <v/>
      </c>
    </row>
    <row r="109">
      <c r="A109" s="45" t="n"/>
      <c r="B109" s="46">
        <f>IF(A109="","",YEAR(A109)&amp;" Q"&amp;ROUNDUP(MONTH(A109)/3,0))</f>
        <v/>
      </c>
      <c r="C109" s="47" t="n"/>
      <c r="D109" s="47" t="n"/>
      <c r="E109" s="47" t="n"/>
      <c r="F109" s="47" t="n"/>
      <c r="G109" s="48" t="n"/>
      <c r="H109" s="49" t="n"/>
      <c r="I109" s="50">
        <f>IF(G109="","",ROUND(G109*H109,2))</f>
        <v/>
      </c>
      <c r="J109" s="50">
        <f>IF(G109="","",G109+N(I109))</f>
        <v/>
      </c>
      <c r="K109" s="45" t="n"/>
      <c r="L109" s="47" t="n"/>
      <c r="M109" s="48" t="n"/>
      <c r="N109" s="49" t="n"/>
      <c r="O109" s="50">
        <f>IF(M109="","",ROUND(M109*N109,2))</f>
        <v/>
      </c>
      <c r="P109" s="50">
        <f>IF(M109="","",M109+N(O109))</f>
        <v/>
      </c>
      <c r="Q109" s="45" t="n"/>
      <c r="R109" s="45" t="n"/>
      <c r="S109" s="51">
        <f>IF(L109="","",IF(COUNTIF(L$6:L109,L109)&gt;1,"",SUMIF(L$6:L$2000,L109,M$6:M$2000)-SUMIF(L$6:L$2000,L109,G$6:G$2000)))</f>
        <v/>
      </c>
      <c r="T109" s="46">
        <f>IF(AND(C109="",G109=""),"",IF(L109="","Nog factureren",IF(AND(G109&lt;&gt;"",OR(K109="",K109&gt;TODAY())),"Nog betalen",IF(OR(R109="",R109&gt;TODAY()),"Wacht op klant","Afgerond"))))</f>
        <v/>
      </c>
    </row>
    <row r="110">
      <c r="A110" s="45" t="n"/>
      <c r="B110" s="46">
        <f>IF(A110="","",YEAR(A110)&amp;" Q"&amp;ROUNDUP(MONTH(A110)/3,0))</f>
        <v/>
      </c>
      <c r="C110" s="47" t="n"/>
      <c r="D110" s="47" t="n"/>
      <c r="E110" s="47" t="n"/>
      <c r="F110" s="47" t="n"/>
      <c r="G110" s="48" t="n"/>
      <c r="H110" s="49" t="n"/>
      <c r="I110" s="50">
        <f>IF(G110="","",ROUND(G110*H110,2))</f>
        <v/>
      </c>
      <c r="J110" s="50">
        <f>IF(G110="","",G110+N(I110))</f>
        <v/>
      </c>
      <c r="K110" s="45" t="n"/>
      <c r="L110" s="47" t="n"/>
      <c r="M110" s="48" t="n"/>
      <c r="N110" s="49" t="n"/>
      <c r="O110" s="50">
        <f>IF(M110="","",ROUND(M110*N110,2))</f>
        <v/>
      </c>
      <c r="P110" s="50">
        <f>IF(M110="","",M110+N(O110))</f>
        <v/>
      </c>
      <c r="Q110" s="45" t="n"/>
      <c r="R110" s="45" t="n"/>
      <c r="S110" s="51">
        <f>IF(L110="","",IF(COUNTIF(L$6:L110,L110)&gt;1,"",SUMIF(L$6:L$2000,L110,M$6:M$2000)-SUMIF(L$6:L$2000,L110,G$6:G$2000)))</f>
        <v/>
      </c>
      <c r="T110" s="46">
        <f>IF(AND(C110="",G110=""),"",IF(L110="","Nog factureren",IF(AND(G110&lt;&gt;"",OR(K110="",K110&gt;TODAY())),"Nog betalen",IF(OR(R110="",R110&gt;TODAY()),"Wacht op klant","Afgerond"))))</f>
        <v/>
      </c>
    </row>
    <row r="111">
      <c r="A111" s="45" t="n"/>
      <c r="B111" s="46">
        <f>IF(A111="","",YEAR(A111)&amp;" Q"&amp;ROUNDUP(MONTH(A111)/3,0))</f>
        <v/>
      </c>
      <c r="C111" s="47" t="n"/>
      <c r="D111" s="47" t="n"/>
      <c r="E111" s="47" t="n"/>
      <c r="F111" s="47" t="n"/>
      <c r="G111" s="48" t="n"/>
      <c r="H111" s="49" t="n"/>
      <c r="I111" s="50">
        <f>IF(G111="","",ROUND(G111*H111,2))</f>
        <v/>
      </c>
      <c r="J111" s="50">
        <f>IF(G111="","",G111+N(I111))</f>
        <v/>
      </c>
      <c r="K111" s="45" t="n"/>
      <c r="L111" s="47" t="n"/>
      <c r="M111" s="48" t="n"/>
      <c r="N111" s="49" t="n"/>
      <c r="O111" s="50">
        <f>IF(M111="","",ROUND(M111*N111,2))</f>
        <v/>
      </c>
      <c r="P111" s="50">
        <f>IF(M111="","",M111+N(O111))</f>
        <v/>
      </c>
      <c r="Q111" s="45" t="n"/>
      <c r="R111" s="45" t="n"/>
      <c r="S111" s="51">
        <f>IF(L111="","",IF(COUNTIF(L$6:L111,L111)&gt;1,"",SUMIF(L$6:L$2000,L111,M$6:M$2000)-SUMIF(L$6:L$2000,L111,G$6:G$2000)))</f>
        <v/>
      </c>
      <c r="T111" s="46">
        <f>IF(AND(C111="",G111=""),"",IF(L111="","Nog factureren",IF(AND(G111&lt;&gt;"",OR(K111="",K111&gt;TODAY())),"Nog betalen",IF(OR(R111="",R111&gt;TODAY()),"Wacht op klant","Afgerond"))))</f>
        <v/>
      </c>
    </row>
    <row r="112">
      <c r="A112" s="45" t="n"/>
      <c r="B112" s="46">
        <f>IF(A112="","",YEAR(A112)&amp;" Q"&amp;ROUNDUP(MONTH(A112)/3,0))</f>
        <v/>
      </c>
      <c r="C112" s="47" t="n"/>
      <c r="D112" s="47" t="n"/>
      <c r="E112" s="47" t="n"/>
      <c r="F112" s="47" t="n"/>
      <c r="G112" s="48" t="n"/>
      <c r="H112" s="49" t="n"/>
      <c r="I112" s="50">
        <f>IF(G112="","",ROUND(G112*H112,2))</f>
        <v/>
      </c>
      <c r="J112" s="50">
        <f>IF(G112="","",G112+N(I112))</f>
        <v/>
      </c>
      <c r="K112" s="45" t="n"/>
      <c r="L112" s="47" t="n"/>
      <c r="M112" s="48" t="n"/>
      <c r="N112" s="49" t="n"/>
      <c r="O112" s="50">
        <f>IF(M112="","",ROUND(M112*N112,2))</f>
        <v/>
      </c>
      <c r="P112" s="50">
        <f>IF(M112="","",M112+N(O112))</f>
        <v/>
      </c>
      <c r="Q112" s="45" t="n"/>
      <c r="R112" s="45" t="n"/>
      <c r="S112" s="51">
        <f>IF(L112="","",IF(COUNTIF(L$6:L112,L112)&gt;1,"",SUMIF(L$6:L$2000,L112,M$6:M$2000)-SUMIF(L$6:L$2000,L112,G$6:G$2000)))</f>
        <v/>
      </c>
      <c r="T112" s="46">
        <f>IF(AND(C112="",G112=""),"",IF(L112="","Nog factureren",IF(AND(G112&lt;&gt;"",OR(K112="",K112&gt;TODAY())),"Nog betalen",IF(OR(R112="",R112&gt;TODAY()),"Wacht op klant","Afgerond"))))</f>
        <v/>
      </c>
    </row>
    <row r="113">
      <c r="A113" s="45" t="n"/>
      <c r="B113" s="46">
        <f>IF(A113="","",YEAR(A113)&amp;" Q"&amp;ROUNDUP(MONTH(A113)/3,0))</f>
        <v/>
      </c>
      <c r="C113" s="47" t="n"/>
      <c r="D113" s="47" t="n"/>
      <c r="E113" s="47" t="n"/>
      <c r="F113" s="47" t="n"/>
      <c r="G113" s="48" t="n"/>
      <c r="H113" s="49" t="n"/>
      <c r="I113" s="50">
        <f>IF(G113="","",ROUND(G113*H113,2))</f>
        <v/>
      </c>
      <c r="J113" s="50">
        <f>IF(G113="","",G113+N(I113))</f>
        <v/>
      </c>
      <c r="K113" s="45" t="n"/>
      <c r="L113" s="47" t="n"/>
      <c r="M113" s="48" t="n"/>
      <c r="N113" s="49" t="n"/>
      <c r="O113" s="50">
        <f>IF(M113="","",ROUND(M113*N113,2))</f>
        <v/>
      </c>
      <c r="P113" s="50">
        <f>IF(M113="","",M113+N(O113))</f>
        <v/>
      </c>
      <c r="Q113" s="45" t="n"/>
      <c r="R113" s="45" t="n"/>
      <c r="S113" s="51">
        <f>IF(L113="","",IF(COUNTIF(L$6:L113,L113)&gt;1,"",SUMIF(L$6:L$2000,L113,M$6:M$2000)-SUMIF(L$6:L$2000,L113,G$6:G$2000)))</f>
        <v/>
      </c>
      <c r="T113" s="46">
        <f>IF(AND(C113="",G113=""),"",IF(L113="","Nog factureren",IF(AND(G113&lt;&gt;"",OR(K113="",K113&gt;TODAY())),"Nog betalen",IF(OR(R113="",R113&gt;TODAY()),"Wacht op klant","Afgerond"))))</f>
        <v/>
      </c>
    </row>
    <row r="114">
      <c r="A114" s="45" t="n"/>
      <c r="B114" s="46">
        <f>IF(A114="","",YEAR(A114)&amp;" Q"&amp;ROUNDUP(MONTH(A114)/3,0))</f>
        <v/>
      </c>
      <c r="C114" s="47" t="n"/>
      <c r="D114" s="47" t="n"/>
      <c r="E114" s="47" t="n"/>
      <c r="F114" s="47" t="n"/>
      <c r="G114" s="48" t="n"/>
      <c r="H114" s="49" t="n"/>
      <c r="I114" s="50">
        <f>IF(G114="","",ROUND(G114*H114,2))</f>
        <v/>
      </c>
      <c r="J114" s="50">
        <f>IF(G114="","",G114+N(I114))</f>
        <v/>
      </c>
      <c r="K114" s="45" t="n"/>
      <c r="L114" s="47" t="n"/>
      <c r="M114" s="48" t="n"/>
      <c r="N114" s="49" t="n"/>
      <c r="O114" s="50">
        <f>IF(M114="","",ROUND(M114*N114,2))</f>
        <v/>
      </c>
      <c r="P114" s="50">
        <f>IF(M114="","",M114+N(O114))</f>
        <v/>
      </c>
      <c r="Q114" s="45" t="n"/>
      <c r="R114" s="45" t="n"/>
      <c r="S114" s="51">
        <f>IF(L114="","",IF(COUNTIF(L$6:L114,L114)&gt;1,"",SUMIF(L$6:L$2000,L114,M$6:M$2000)-SUMIF(L$6:L$2000,L114,G$6:G$2000)))</f>
        <v/>
      </c>
      <c r="T114" s="46">
        <f>IF(AND(C114="",G114=""),"",IF(L114="","Nog factureren",IF(AND(G114&lt;&gt;"",OR(K114="",K114&gt;TODAY())),"Nog betalen",IF(OR(R114="",R114&gt;TODAY()),"Wacht op klant","Afgerond"))))</f>
        <v/>
      </c>
    </row>
    <row r="115">
      <c r="A115" s="45" t="n"/>
      <c r="B115" s="46">
        <f>IF(A115="","",YEAR(A115)&amp;" Q"&amp;ROUNDUP(MONTH(A115)/3,0))</f>
        <v/>
      </c>
      <c r="C115" s="47" t="n"/>
      <c r="D115" s="47" t="n"/>
      <c r="E115" s="47" t="n"/>
      <c r="F115" s="47" t="n"/>
      <c r="G115" s="48" t="n"/>
      <c r="H115" s="49" t="n"/>
      <c r="I115" s="50">
        <f>IF(G115="","",ROUND(G115*H115,2))</f>
        <v/>
      </c>
      <c r="J115" s="50">
        <f>IF(G115="","",G115+N(I115))</f>
        <v/>
      </c>
      <c r="K115" s="45" t="n"/>
      <c r="L115" s="47" t="n"/>
      <c r="M115" s="48" t="n"/>
      <c r="N115" s="49" t="n"/>
      <c r="O115" s="50">
        <f>IF(M115="","",ROUND(M115*N115,2))</f>
        <v/>
      </c>
      <c r="P115" s="50">
        <f>IF(M115="","",M115+N(O115))</f>
        <v/>
      </c>
      <c r="Q115" s="45" t="n"/>
      <c r="R115" s="45" t="n"/>
      <c r="S115" s="51">
        <f>IF(L115="","",IF(COUNTIF(L$6:L115,L115)&gt;1,"",SUMIF(L$6:L$2000,L115,M$6:M$2000)-SUMIF(L$6:L$2000,L115,G$6:G$2000)))</f>
        <v/>
      </c>
      <c r="T115" s="46">
        <f>IF(AND(C115="",G115=""),"",IF(L115="","Nog factureren",IF(AND(G115&lt;&gt;"",OR(K115="",K115&gt;TODAY())),"Nog betalen",IF(OR(R115="",R115&gt;TODAY()),"Wacht op klant","Afgerond"))))</f>
        <v/>
      </c>
    </row>
    <row r="116">
      <c r="A116" s="45" t="n"/>
      <c r="B116" s="46">
        <f>IF(A116="","",YEAR(A116)&amp;" Q"&amp;ROUNDUP(MONTH(A116)/3,0))</f>
        <v/>
      </c>
      <c r="C116" s="47" t="n"/>
      <c r="D116" s="47" t="n"/>
      <c r="E116" s="47" t="n"/>
      <c r="F116" s="47" t="n"/>
      <c r="G116" s="48" t="n"/>
      <c r="H116" s="49" t="n"/>
      <c r="I116" s="50">
        <f>IF(G116="","",ROUND(G116*H116,2))</f>
        <v/>
      </c>
      <c r="J116" s="50">
        <f>IF(G116="","",G116+N(I116))</f>
        <v/>
      </c>
      <c r="K116" s="45" t="n"/>
      <c r="L116" s="47" t="n"/>
      <c r="M116" s="48" t="n"/>
      <c r="N116" s="49" t="n"/>
      <c r="O116" s="50">
        <f>IF(M116="","",ROUND(M116*N116,2))</f>
        <v/>
      </c>
      <c r="P116" s="50">
        <f>IF(M116="","",M116+N(O116))</f>
        <v/>
      </c>
      <c r="Q116" s="45" t="n"/>
      <c r="R116" s="45" t="n"/>
      <c r="S116" s="51">
        <f>IF(L116="","",IF(COUNTIF(L$6:L116,L116)&gt;1,"",SUMIF(L$6:L$2000,L116,M$6:M$2000)-SUMIF(L$6:L$2000,L116,G$6:G$2000)))</f>
        <v/>
      </c>
      <c r="T116" s="46">
        <f>IF(AND(C116="",G116=""),"",IF(L116="","Nog factureren",IF(AND(G116&lt;&gt;"",OR(K116="",K116&gt;TODAY())),"Nog betalen",IF(OR(R116="",R116&gt;TODAY()),"Wacht op klant","Afgerond"))))</f>
        <v/>
      </c>
    </row>
    <row r="117">
      <c r="A117" s="45" t="n"/>
      <c r="B117" s="46">
        <f>IF(A117="","",YEAR(A117)&amp;" Q"&amp;ROUNDUP(MONTH(A117)/3,0))</f>
        <v/>
      </c>
      <c r="C117" s="47" t="n"/>
      <c r="D117" s="47" t="n"/>
      <c r="E117" s="47" t="n"/>
      <c r="F117" s="47" t="n"/>
      <c r="G117" s="48" t="n"/>
      <c r="H117" s="49" t="n"/>
      <c r="I117" s="50">
        <f>IF(G117="","",ROUND(G117*H117,2))</f>
        <v/>
      </c>
      <c r="J117" s="50">
        <f>IF(G117="","",G117+N(I117))</f>
        <v/>
      </c>
      <c r="K117" s="45" t="n"/>
      <c r="L117" s="47" t="n"/>
      <c r="M117" s="48" t="n"/>
      <c r="N117" s="49" t="n"/>
      <c r="O117" s="50">
        <f>IF(M117="","",ROUND(M117*N117,2))</f>
        <v/>
      </c>
      <c r="P117" s="50">
        <f>IF(M117="","",M117+N(O117))</f>
        <v/>
      </c>
      <c r="Q117" s="45" t="n"/>
      <c r="R117" s="45" t="n"/>
      <c r="S117" s="51">
        <f>IF(L117="","",IF(COUNTIF(L$6:L117,L117)&gt;1,"",SUMIF(L$6:L$2000,L117,M$6:M$2000)-SUMIF(L$6:L$2000,L117,G$6:G$2000)))</f>
        <v/>
      </c>
      <c r="T117" s="46">
        <f>IF(AND(C117="",G117=""),"",IF(L117="","Nog factureren",IF(AND(G117&lt;&gt;"",OR(K117="",K117&gt;TODAY())),"Nog betalen",IF(OR(R117="",R117&gt;TODAY()),"Wacht op klant","Afgerond"))))</f>
        <v/>
      </c>
    </row>
    <row r="118">
      <c r="A118" s="45" t="n"/>
      <c r="B118" s="46">
        <f>IF(A118="","",YEAR(A118)&amp;" Q"&amp;ROUNDUP(MONTH(A118)/3,0))</f>
        <v/>
      </c>
      <c r="C118" s="47" t="n"/>
      <c r="D118" s="47" t="n"/>
      <c r="E118" s="47" t="n"/>
      <c r="F118" s="47" t="n"/>
      <c r="G118" s="48" t="n"/>
      <c r="H118" s="49" t="n"/>
      <c r="I118" s="50">
        <f>IF(G118="","",ROUND(G118*H118,2))</f>
        <v/>
      </c>
      <c r="J118" s="50">
        <f>IF(G118="","",G118+N(I118))</f>
        <v/>
      </c>
      <c r="K118" s="45" t="n"/>
      <c r="L118" s="47" t="n"/>
      <c r="M118" s="48" t="n"/>
      <c r="N118" s="49" t="n"/>
      <c r="O118" s="50">
        <f>IF(M118="","",ROUND(M118*N118,2))</f>
        <v/>
      </c>
      <c r="P118" s="50">
        <f>IF(M118="","",M118+N(O118))</f>
        <v/>
      </c>
      <c r="Q118" s="45" t="n"/>
      <c r="R118" s="45" t="n"/>
      <c r="S118" s="51">
        <f>IF(L118="","",IF(COUNTIF(L$6:L118,L118)&gt;1,"",SUMIF(L$6:L$2000,L118,M$6:M$2000)-SUMIF(L$6:L$2000,L118,G$6:G$2000)))</f>
        <v/>
      </c>
      <c r="T118" s="46">
        <f>IF(AND(C118="",G118=""),"",IF(L118="","Nog factureren",IF(AND(G118&lt;&gt;"",OR(K118="",K118&gt;TODAY())),"Nog betalen",IF(OR(R118="",R118&gt;TODAY()),"Wacht op klant","Afgerond"))))</f>
        <v/>
      </c>
    </row>
    <row r="119">
      <c r="A119" s="45" t="n"/>
      <c r="B119" s="46">
        <f>IF(A119="","",YEAR(A119)&amp;" Q"&amp;ROUNDUP(MONTH(A119)/3,0))</f>
        <v/>
      </c>
      <c r="C119" s="47" t="n"/>
      <c r="D119" s="47" t="n"/>
      <c r="E119" s="47" t="n"/>
      <c r="F119" s="47" t="n"/>
      <c r="G119" s="48" t="n"/>
      <c r="H119" s="49" t="n"/>
      <c r="I119" s="50">
        <f>IF(G119="","",ROUND(G119*H119,2))</f>
        <v/>
      </c>
      <c r="J119" s="50">
        <f>IF(G119="","",G119+N(I119))</f>
        <v/>
      </c>
      <c r="K119" s="45" t="n"/>
      <c r="L119" s="47" t="n"/>
      <c r="M119" s="48" t="n"/>
      <c r="N119" s="49" t="n"/>
      <c r="O119" s="50">
        <f>IF(M119="","",ROUND(M119*N119,2))</f>
        <v/>
      </c>
      <c r="P119" s="50">
        <f>IF(M119="","",M119+N(O119))</f>
        <v/>
      </c>
      <c r="Q119" s="45" t="n"/>
      <c r="R119" s="45" t="n"/>
      <c r="S119" s="51">
        <f>IF(L119="","",IF(COUNTIF(L$6:L119,L119)&gt;1,"",SUMIF(L$6:L$2000,L119,M$6:M$2000)-SUMIF(L$6:L$2000,L119,G$6:G$2000)))</f>
        <v/>
      </c>
      <c r="T119" s="46">
        <f>IF(AND(C119="",G119=""),"",IF(L119="","Nog factureren",IF(AND(G119&lt;&gt;"",OR(K119="",K119&gt;TODAY())),"Nog betalen",IF(OR(R119="",R119&gt;TODAY()),"Wacht op klant","Afgerond"))))</f>
        <v/>
      </c>
    </row>
    <row r="120">
      <c r="A120" s="45" t="n"/>
      <c r="B120" s="46">
        <f>IF(A120="","",YEAR(A120)&amp;" Q"&amp;ROUNDUP(MONTH(A120)/3,0))</f>
        <v/>
      </c>
      <c r="C120" s="47" t="n"/>
      <c r="D120" s="47" t="n"/>
      <c r="E120" s="47" t="n"/>
      <c r="F120" s="47" t="n"/>
      <c r="G120" s="48" t="n"/>
      <c r="H120" s="49" t="n"/>
      <c r="I120" s="50">
        <f>IF(G120="","",ROUND(G120*H120,2))</f>
        <v/>
      </c>
      <c r="J120" s="50">
        <f>IF(G120="","",G120+N(I120))</f>
        <v/>
      </c>
      <c r="K120" s="45" t="n"/>
      <c r="L120" s="47" t="n"/>
      <c r="M120" s="48" t="n"/>
      <c r="N120" s="49" t="n"/>
      <c r="O120" s="50">
        <f>IF(M120="","",ROUND(M120*N120,2))</f>
        <v/>
      </c>
      <c r="P120" s="50">
        <f>IF(M120="","",M120+N(O120))</f>
        <v/>
      </c>
      <c r="Q120" s="45" t="n"/>
      <c r="R120" s="45" t="n"/>
      <c r="S120" s="51">
        <f>IF(L120="","",IF(COUNTIF(L$6:L120,L120)&gt;1,"",SUMIF(L$6:L$2000,L120,M$6:M$2000)-SUMIF(L$6:L$2000,L120,G$6:G$2000)))</f>
        <v/>
      </c>
      <c r="T120" s="46">
        <f>IF(AND(C120="",G120=""),"",IF(L120="","Nog factureren",IF(AND(G120&lt;&gt;"",OR(K120="",K120&gt;TODAY())),"Nog betalen",IF(OR(R120="",R120&gt;TODAY()),"Wacht op klant","Afgerond"))))</f>
        <v/>
      </c>
    </row>
    <row r="121">
      <c r="A121" s="45" t="n"/>
      <c r="B121" s="46">
        <f>IF(A121="","",YEAR(A121)&amp;" Q"&amp;ROUNDUP(MONTH(A121)/3,0))</f>
        <v/>
      </c>
      <c r="C121" s="47" t="n"/>
      <c r="D121" s="47" t="n"/>
      <c r="E121" s="47" t="n"/>
      <c r="F121" s="47" t="n"/>
      <c r="G121" s="48" t="n"/>
      <c r="H121" s="49" t="n"/>
      <c r="I121" s="50">
        <f>IF(G121="","",ROUND(G121*H121,2))</f>
        <v/>
      </c>
      <c r="J121" s="50">
        <f>IF(G121="","",G121+N(I121))</f>
        <v/>
      </c>
      <c r="K121" s="45" t="n"/>
      <c r="L121" s="47" t="n"/>
      <c r="M121" s="48" t="n"/>
      <c r="N121" s="49" t="n"/>
      <c r="O121" s="50">
        <f>IF(M121="","",ROUND(M121*N121,2))</f>
        <v/>
      </c>
      <c r="P121" s="50">
        <f>IF(M121="","",M121+N(O121))</f>
        <v/>
      </c>
      <c r="Q121" s="45" t="n"/>
      <c r="R121" s="45" t="n"/>
      <c r="S121" s="51">
        <f>IF(L121="","",IF(COUNTIF(L$6:L121,L121)&gt;1,"",SUMIF(L$6:L$2000,L121,M$6:M$2000)-SUMIF(L$6:L$2000,L121,G$6:G$2000)))</f>
        <v/>
      </c>
      <c r="T121" s="46">
        <f>IF(AND(C121="",G121=""),"",IF(L121="","Nog factureren",IF(AND(G121&lt;&gt;"",OR(K121="",K121&gt;TODAY())),"Nog betalen",IF(OR(R121="",R121&gt;TODAY()),"Wacht op klant","Afgerond"))))</f>
        <v/>
      </c>
    </row>
    <row r="122">
      <c r="A122" s="45" t="n"/>
      <c r="B122" s="46">
        <f>IF(A122="","",YEAR(A122)&amp;" Q"&amp;ROUNDUP(MONTH(A122)/3,0))</f>
        <v/>
      </c>
      <c r="C122" s="47" t="n"/>
      <c r="D122" s="47" t="n"/>
      <c r="E122" s="47" t="n"/>
      <c r="F122" s="47" t="n"/>
      <c r="G122" s="48" t="n"/>
      <c r="H122" s="49" t="n"/>
      <c r="I122" s="50">
        <f>IF(G122="","",ROUND(G122*H122,2))</f>
        <v/>
      </c>
      <c r="J122" s="50">
        <f>IF(G122="","",G122+N(I122))</f>
        <v/>
      </c>
      <c r="K122" s="45" t="n"/>
      <c r="L122" s="47" t="n"/>
      <c r="M122" s="48" t="n"/>
      <c r="N122" s="49" t="n"/>
      <c r="O122" s="50">
        <f>IF(M122="","",ROUND(M122*N122,2))</f>
        <v/>
      </c>
      <c r="P122" s="50">
        <f>IF(M122="","",M122+N(O122))</f>
        <v/>
      </c>
      <c r="Q122" s="45" t="n"/>
      <c r="R122" s="45" t="n"/>
      <c r="S122" s="51">
        <f>IF(L122="","",IF(COUNTIF(L$6:L122,L122)&gt;1,"",SUMIF(L$6:L$2000,L122,M$6:M$2000)-SUMIF(L$6:L$2000,L122,G$6:G$2000)))</f>
        <v/>
      </c>
      <c r="T122" s="46">
        <f>IF(AND(C122="",G122=""),"",IF(L122="","Nog factureren",IF(AND(G122&lt;&gt;"",OR(K122="",K122&gt;TODAY())),"Nog betalen",IF(OR(R122="",R122&gt;TODAY()),"Wacht op klant","Afgerond"))))</f>
        <v/>
      </c>
    </row>
    <row r="123">
      <c r="A123" s="45" t="n"/>
      <c r="B123" s="46">
        <f>IF(A123="","",YEAR(A123)&amp;" Q"&amp;ROUNDUP(MONTH(A123)/3,0))</f>
        <v/>
      </c>
      <c r="C123" s="47" t="n"/>
      <c r="D123" s="47" t="n"/>
      <c r="E123" s="47" t="n"/>
      <c r="F123" s="47" t="n"/>
      <c r="G123" s="48" t="n"/>
      <c r="H123" s="49" t="n"/>
      <c r="I123" s="50">
        <f>IF(G123="","",ROUND(G123*H123,2))</f>
        <v/>
      </c>
      <c r="J123" s="50">
        <f>IF(G123="","",G123+N(I123))</f>
        <v/>
      </c>
      <c r="K123" s="45" t="n"/>
      <c r="L123" s="47" t="n"/>
      <c r="M123" s="48" t="n"/>
      <c r="N123" s="49" t="n"/>
      <c r="O123" s="50">
        <f>IF(M123="","",ROUND(M123*N123,2))</f>
        <v/>
      </c>
      <c r="P123" s="50">
        <f>IF(M123="","",M123+N(O123))</f>
        <v/>
      </c>
      <c r="Q123" s="45" t="n"/>
      <c r="R123" s="45" t="n"/>
      <c r="S123" s="51">
        <f>IF(L123="","",IF(COUNTIF(L$6:L123,L123)&gt;1,"",SUMIF(L$6:L$2000,L123,M$6:M$2000)-SUMIF(L$6:L$2000,L123,G$6:G$2000)))</f>
        <v/>
      </c>
      <c r="T123" s="46">
        <f>IF(AND(C123="",G123=""),"",IF(L123="","Nog factureren",IF(AND(G123&lt;&gt;"",OR(K123="",K123&gt;TODAY())),"Nog betalen",IF(OR(R123="",R123&gt;TODAY()),"Wacht op klant","Afgerond"))))</f>
        <v/>
      </c>
    </row>
    <row r="124">
      <c r="A124" s="45" t="n"/>
      <c r="B124" s="46">
        <f>IF(A124="","",YEAR(A124)&amp;" Q"&amp;ROUNDUP(MONTH(A124)/3,0))</f>
        <v/>
      </c>
      <c r="C124" s="47" t="n"/>
      <c r="D124" s="47" t="n"/>
      <c r="E124" s="47" t="n"/>
      <c r="F124" s="47" t="n"/>
      <c r="G124" s="48" t="n"/>
      <c r="H124" s="49" t="n"/>
      <c r="I124" s="50">
        <f>IF(G124="","",ROUND(G124*H124,2))</f>
        <v/>
      </c>
      <c r="J124" s="50">
        <f>IF(G124="","",G124+N(I124))</f>
        <v/>
      </c>
      <c r="K124" s="45" t="n"/>
      <c r="L124" s="47" t="n"/>
      <c r="M124" s="48" t="n"/>
      <c r="N124" s="49" t="n"/>
      <c r="O124" s="50">
        <f>IF(M124="","",ROUND(M124*N124,2))</f>
        <v/>
      </c>
      <c r="P124" s="50">
        <f>IF(M124="","",M124+N(O124))</f>
        <v/>
      </c>
      <c r="Q124" s="45" t="n"/>
      <c r="R124" s="45" t="n"/>
      <c r="S124" s="51">
        <f>IF(L124="","",IF(COUNTIF(L$6:L124,L124)&gt;1,"",SUMIF(L$6:L$2000,L124,M$6:M$2000)-SUMIF(L$6:L$2000,L124,G$6:G$2000)))</f>
        <v/>
      </c>
      <c r="T124" s="46">
        <f>IF(AND(C124="",G124=""),"",IF(L124="","Nog factureren",IF(AND(G124&lt;&gt;"",OR(K124="",K124&gt;TODAY())),"Nog betalen",IF(OR(R124="",R124&gt;TODAY()),"Wacht op klant","Afgerond"))))</f>
        <v/>
      </c>
    </row>
    <row r="125">
      <c r="A125" s="45" t="n"/>
      <c r="B125" s="46">
        <f>IF(A125="","",YEAR(A125)&amp;" Q"&amp;ROUNDUP(MONTH(A125)/3,0))</f>
        <v/>
      </c>
      <c r="C125" s="47" t="n"/>
      <c r="D125" s="47" t="n"/>
      <c r="E125" s="47" t="n"/>
      <c r="F125" s="47" t="n"/>
      <c r="G125" s="48" t="n"/>
      <c r="H125" s="49" t="n"/>
      <c r="I125" s="50">
        <f>IF(G125="","",ROUND(G125*H125,2))</f>
        <v/>
      </c>
      <c r="J125" s="50">
        <f>IF(G125="","",G125+N(I125))</f>
        <v/>
      </c>
      <c r="K125" s="45" t="n"/>
      <c r="L125" s="47" t="n"/>
      <c r="M125" s="48" t="n"/>
      <c r="N125" s="49" t="n"/>
      <c r="O125" s="50">
        <f>IF(M125="","",ROUND(M125*N125,2))</f>
        <v/>
      </c>
      <c r="P125" s="50">
        <f>IF(M125="","",M125+N(O125))</f>
        <v/>
      </c>
      <c r="Q125" s="45" t="n"/>
      <c r="R125" s="45" t="n"/>
      <c r="S125" s="51">
        <f>IF(L125="","",IF(COUNTIF(L$6:L125,L125)&gt;1,"",SUMIF(L$6:L$2000,L125,M$6:M$2000)-SUMIF(L$6:L$2000,L125,G$6:G$2000)))</f>
        <v/>
      </c>
      <c r="T125" s="46">
        <f>IF(AND(C125="",G125=""),"",IF(L125="","Nog factureren",IF(AND(G125&lt;&gt;"",OR(K125="",K125&gt;TODAY())),"Nog betalen",IF(OR(R125="",R125&gt;TODAY()),"Wacht op klant","Afgerond"))))</f>
        <v/>
      </c>
    </row>
    <row r="126">
      <c r="A126" s="45" t="n"/>
      <c r="B126" s="46">
        <f>IF(A126="","",YEAR(A126)&amp;" Q"&amp;ROUNDUP(MONTH(A126)/3,0))</f>
        <v/>
      </c>
      <c r="C126" s="47" t="n"/>
      <c r="D126" s="47" t="n"/>
      <c r="E126" s="47" t="n"/>
      <c r="F126" s="47" t="n"/>
      <c r="G126" s="48" t="n"/>
      <c r="H126" s="49" t="n"/>
      <c r="I126" s="50">
        <f>IF(G126="","",ROUND(G126*H126,2))</f>
        <v/>
      </c>
      <c r="J126" s="50">
        <f>IF(G126="","",G126+N(I126))</f>
        <v/>
      </c>
      <c r="K126" s="45" t="n"/>
      <c r="L126" s="47" t="n"/>
      <c r="M126" s="48" t="n"/>
      <c r="N126" s="49" t="n"/>
      <c r="O126" s="50">
        <f>IF(M126="","",ROUND(M126*N126,2))</f>
        <v/>
      </c>
      <c r="P126" s="50">
        <f>IF(M126="","",M126+N(O126))</f>
        <v/>
      </c>
      <c r="Q126" s="45" t="n"/>
      <c r="R126" s="45" t="n"/>
      <c r="S126" s="51">
        <f>IF(L126="","",IF(COUNTIF(L$6:L126,L126)&gt;1,"",SUMIF(L$6:L$2000,L126,M$6:M$2000)-SUMIF(L$6:L$2000,L126,G$6:G$2000)))</f>
        <v/>
      </c>
      <c r="T126" s="46">
        <f>IF(AND(C126="",G126=""),"",IF(L126="","Nog factureren",IF(AND(G126&lt;&gt;"",OR(K126="",K126&gt;TODAY())),"Nog betalen",IF(OR(R126="",R126&gt;TODAY()),"Wacht op klant","Afgerond"))))</f>
        <v/>
      </c>
    </row>
    <row r="127">
      <c r="A127" s="45" t="n"/>
      <c r="B127" s="46">
        <f>IF(A127="","",YEAR(A127)&amp;" Q"&amp;ROUNDUP(MONTH(A127)/3,0))</f>
        <v/>
      </c>
      <c r="C127" s="47" t="n"/>
      <c r="D127" s="47" t="n"/>
      <c r="E127" s="47" t="n"/>
      <c r="F127" s="47" t="n"/>
      <c r="G127" s="48" t="n"/>
      <c r="H127" s="49" t="n"/>
      <c r="I127" s="50">
        <f>IF(G127="","",ROUND(G127*H127,2))</f>
        <v/>
      </c>
      <c r="J127" s="50">
        <f>IF(G127="","",G127+N(I127))</f>
        <v/>
      </c>
      <c r="K127" s="45" t="n"/>
      <c r="L127" s="47" t="n"/>
      <c r="M127" s="48" t="n"/>
      <c r="N127" s="49" t="n"/>
      <c r="O127" s="50">
        <f>IF(M127="","",ROUND(M127*N127,2))</f>
        <v/>
      </c>
      <c r="P127" s="50">
        <f>IF(M127="","",M127+N(O127))</f>
        <v/>
      </c>
      <c r="Q127" s="45" t="n"/>
      <c r="R127" s="45" t="n"/>
      <c r="S127" s="51">
        <f>IF(L127="","",IF(COUNTIF(L$6:L127,L127)&gt;1,"",SUMIF(L$6:L$2000,L127,M$6:M$2000)-SUMIF(L$6:L$2000,L127,G$6:G$2000)))</f>
        <v/>
      </c>
      <c r="T127" s="46">
        <f>IF(AND(C127="",G127=""),"",IF(L127="","Nog factureren",IF(AND(G127&lt;&gt;"",OR(K127="",K127&gt;TODAY())),"Nog betalen",IF(OR(R127="",R127&gt;TODAY()),"Wacht op klant","Afgerond"))))</f>
        <v/>
      </c>
    </row>
    <row r="128">
      <c r="A128" s="45" t="n"/>
      <c r="B128" s="46">
        <f>IF(A128="","",YEAR(A128)&amp;" Q"&amp;ROUNDUP(MONTH(A128)/3,0))</f>
        <v/>
      </c>
      <c r="C128" s="47" t="n"/>
      <c r="D128" s="47" t="n"/>
      <c r="E128" s="47" t="n"/>
      <c r="F128" s="47" t="n"/>
      <c r="G128" s="48" t="n"/>
      <c r="H128" s="49" t="n"/>
      <c r="I128" s="50">
        <f>IF(G128="","",ROUND(G128*H128,2))</f>
        <v/>
      </c>
      <c r="J128" s="50">
        <f>IF(G128="","",G128+N(I128))</f>
        <v/>
      </c>
      <c r="K128" s="45" t="n"/>
      <c r="L128" s="47" t="n"/>
      <c r="M128" s="48" t="n"/>
      <c r="N128" s="49" t="n"/>
      <c r="O128" s="50">
        <f>IF(M128="","",ROUND(M128*N128,2))</f>
        <v/>
      </c>
      <c r="P128" s="50">
        <f>IF(M128="","",M128+N(O128))</f>
        <v/>
      </c>
      <c r="Q128" s="45" t="n"/>
      <c r="R128" s="45" t="n"/>
      <c r="S128" s="51">
        <f>IF(L128="","",IF(COUNTIF(L$6:L128,L128)&gt;1,"",SUMIF(L$6:L$2000,L128,M$6:M$2000)-SUMIF(L$6:L$2000,L128,G$6:G$2000)))</f>
        <v/>
      </c>
      <c r="T128" s="46">
        <f>IF(AND(C128="",G128=""),"",IF(L128="","Nog factureren",IF(AND(G128&lt;&gt;"",OR(K128="",K128&gt;TODAY())),"Nog betalen",IF(OR(R128="",R128&gt;TODAY()),"Wacht op klant","Afgerond"))))</f>
        <v/>
      </c>
    </row>
    <row r="129">
      <c r="A129" s="45" t="n"/>
      <c r="B129" s="46">
        <f>IF(A129="","",YEAR(A129)&amp;" Q"&amp;ROUNDUP(MONTH(A129)/3,0))</f>
        <v/>
      </c>
      <c r="C129" s="47" t="n"/>
      <c r="D129" s="47" t="n"/>
      <c r="E129" s="47" t="n"/>
      <c r="F129" s="47" t="n"/>
      <c r="G129" s="48" t="n"/>
      <c r="H129" s="49" t="n"/>
      <c r="I129" s="50">
        <f>IF(G129="","",ROUND(G129*H129,2))</f>
        <v/>
      </c>
      <c r="J129" s="50">
        <f>IF(G129="","",G129+N(I129))</f>
        <v/>
      </c>
      <c r="K129" s="45" t="n"/>
      <c r="L129" s="47" t="n"/>
      <c r="M129" s="48" t="n"/>
      <c r="N129" s="49" t="n"/>
      <c r="O129" s="50">
        <f>IF(M129="","",ROUND(M129*N129,2))</f>
        <v/>
      </c>
      <c r="P129" s="50">
        <f>IF(M129="","",M129+N(O129))</f>
        <v/>
      </c>
      <c r="Q129" s="45" t="n"/>
      <c r="R129" s="45" t="n"/>
      <c r="S129" s="51">
        <f>IF(L129="","",IF(COUNTIF(L$6:L129,L129)&gt;1,"",SUMIF(L$6:L$2000,L129,M$6:M$2000)-SUMIF(L$6:L$2000,L129,G$6:G$2000)))</f>
        <v/>
      </c>
      <c r="T129" s="46">
        <f>IF(AND(C129="",G129=""),"",IF(L129="","Nog factureren",IF(AND(G129&lt;&gt;"",OR(K129="",K129&gt;TODAY())),"Nog betalen",IF(OR(R129="",R129&gt;TODAY()),"Wacht op klant","Afgerond"))))</f>
        <v/>
      </c>
    </row>
    <row r="130">
      <c r="A130" s="45" t="n"/>
      <c r="B130" s="46">
        <f>IF(A130="","",YEAR(A130)&amp;" Q"&amp;ROUNDUP(MONTH(A130)/3,0))</f>
        <v/>
      </c>
      <c r="C130" s="47" t="n"/>
      <c r="D130" s="47" t="n"/>
      <c r="E130" s="47" t="n"/>
      <c r="F130" s="47" t="n"/>
      <c r="G130" s="48" t="n"/>
      <c r="H130" s="49" t="n"/>
      <c r="I130" s="50">
        <f>IF(G130="","",ROUND(G130*H130,2))</f>
        <v/>
      </c>
      <c r="J130" s="50">
        <f>IF(G130="","",G130+N(I130))</f>
        <v/>
      </c>
      <c r="K130" s="45" t="n"/>
      <c r="L130" s="47" t="n"/>
      <c r="M130" s="48" t="n"/>
      <c r="N130" s="49" t="n"/>
      <c r="O130" s="50">
        <f>IF(M130="","",ROUND(M130*N130,2))</f>
        <v/>
      </c>
      <c r="P130" s="50">
        <f>IF(M130="","",M130+N(O130))</f>
        <v/>
      </c>
      <c r="Q130" s="45" t="n"/>
      <c r="R130" s="45" t="n"/>
      <c r="S130" s="51">
        <f>IF(L130="","",IF(COUNTIF(L$6:L130,L130)&gt;1,"",SUMIF(L$6:L$2000,L130,M$6:M$2000)-SUMIF(L$6:L$2000,L130,G$6:G$2000)))</f>
        <v/>
      </c>
      <c r="T130" s="46">
        <f>IF(AND(C130="",G130=""),"",IF(L130="","Nog factureren",IF(AND(G130&lt;&gt;"",OR(K130="",K130&gt;TODAY())),"Nog betalen",IF(OR(R130="",R130&gt;TODAY()),"Wacht op klant","Afgerond"))))</f>
        <v/>
      </c>
    </row>
    <row r="131">
      <c r="A131" s="45" t="n"/>
      <c r="B131" s="46">
        <f>IF(A131="","",YEAR(A131)&amp;" Q"&amp;ROUNDUP(MONTH(A131)/3,0))</f>
        <v/>
      </c>
      <c r="C131" s="47" t="n"/>
      <c r="D131" s="47" t="n"/>
      <c r="E131" s="47" t="n"/>
      <c r="F131" s="47" t="n"/>
      <c r="G131" s="48" t="n"/>
      <c r="H131" s="49" t="n"/>
      <c r="I131" s="50">
        <f>IF(G131="","",ROUND(G131*H131,2))</f>
        <v/>
      </c>
      <c r="J131" s="50">
        <f>IF(G131="","",G131+N(I131))</f>
        <v/>
      </c>
      <c r="K131" s="45" t="n"/>
      <c r="L131" s="47" t="n"/>
      <c r="M131" s="48" t="n"/>
      <c r="N131" s="49" t="n"/>
      <c r="O131" s="50">
        <f>IF(M131="","",ROUND(M131*N131,2))</f>
        <v/>
      </c>
      <c r="P131" s="50">
        <f>IF(M131="","",M131+N(O131))</f>
        <v/>
      </c>
      <c r="Q131" s="45" t="n"/>
      <c r="R131" s="45" t="n"/>
      <c r="S131" s="51">
        <f>IF(L131="","",IF(COUNTIF(L$6:L131,L131)&gt;1,"",SUMIF(L$6:L$2000,L131,M$6:M$2000)-SUMIF(L$6:L$2000,L131,G$6:G$2000)))</f>
        <v/>
      </c>
      <c r="T131" s="46">
        <f>IF(AND(C131="",G131=""),"",IF(L131="","Nog factureren",IF(AND(G131&lt;&gt;"",OR(K131="",K131&gt;TODAY())),"Nog betalen",IF(OR(R131="",R131&gt;TODAY()),"Wacht op klant","Afgerond"))))</f>
        <v/>
      </c>
    </row>
    <row r="132">
      <c r="A132" s="45" t="n"/>
      <c r="B132" s="46">
        <f>IF(A132="","",YEAR(A132)&amp;" Q"&amp;ROUNDUP(MONTH(A132)/3,0))</f>
        <v/>
      </c>
      <c r="C132" s="47" t="n"/>
      <c r="D132" s="47" t="n"/>
      <c r="E132" s="47" t="n"/>
      <c r="F132" s="47" t="n"/>
      <c r="G132" s="48" t="n"/>
      <c r="H132" s="49" t="n"/>
      <c r="I132" s="50">
        <f>IF(G132="","",ROUND(G132*H132,2))</f>
        <v/>
      </c>
      <c r="J132" s="50">
        <f>IF(G132="","",G132+N(I132))</f>
        <v/>
      </c>
      <c r="K132" s="45" t="n"/>
      <c r="L132" s="47" t="n"/>
      <c r="M132" s="48" t="n"/>
      <c r="N132" s="49" t="n"/>
      <c r="O132" s="50">
        <f>IF(M132="","",ROUND(M132*N132,2))</f>
        <v/>
      </c>
      <c r="P132" s="50">
        <f>IF(M132="","",M132+N(O132))</f>
        <v/>
      </c>
      <c r="Q132" s="45" t="n"/>
      <c r="R132" s="45" t="n"/>
      <c r="S132" s="51">
        <f>IF(L132="","",IF(COUNTIF(L$6:L132,L132)&gt;1,"",SUMIF(L$6:L$2000,L132,M$6:M$2000)-SUMIF(L$6:L$2000,L132,G$6:G$2000)))</f>
        <v/>
      </c>
      <c r="T132" s="46">
        <f>IF(AND(C132="",G132=""),"",IF(L132="","Nog factureren",IF(AND(G132&lt;&gt;"",OR(K132="",K132&gt;TODAY())),"Nog betalen",IF(OR(R132="",R132&gt;TODAY()),"Wacht op klant","Afgerond"))))</f>
        <v/>
      </c>
    </row>
    <row r="133">
      <c r="A133" s="45" t="n"/>
      <c r="B133" s="46">
        <f>IF(A133="","",YEAR(A133)&amp;" Q"&amp;ROUNDUP(MONTH(A133)/3,0))</f>
        <v/>
      </c>
      <c r="C133" s="47" t="n"/>
      <c r="D133" s="47" t="n"/>
      <c r="E133" s="47" t="n"/>
      <c r="F133" s="47" t="n"/>
      <c r="G133" s="48" t="n"/>
      <c r="H133" s="49" t="n"/>
      <c r="I133" s="50">
        <f>IF(G133="","",ROUND(G133*H133,2))</f>
        <v/>
      </c>
      <c r="J133" s="50">
        <f>IF(G133="","",G133+N(I133))</f>
        <v/>
      </c>
      <c r="K133" s="45" t="n"/>
      <c r="L133" s="47" t="n"/>
      <c r="M133" s="48" t="n"/>
      <c r="N133" s="49" t="n"/>
      <c r="O133" s="50">
        <f>IF(M133="","",ROUND(M133*N133,2))</f>
        <v/>
      </c>
      <c r="P133" s="50">
        <f>IF(M133="","",M133+N(O133))</f>
        <v/>
      </c>
      <c r="Q133" s="45" t="n"/>
      <c r="R133" s="45" t="n"/>
      <c r="S133" s="51">
        <f>IF(L133="","",IF(COUNTIF(L$6:L133,L133)&gt;1,"",SUMIF(L$6:L$2000,L133,M$6:M$2000)-SUMIF(L$6:L$2000,L133,G$6:G$2000)))</f>
        <v/>
      </c>
      <c r="T133" s="46">
        <f>IF(AND(C133="",G133=""),"",IF(L133="","Nog factureren",IF(AND(G133&lt;&gt;"",OR(K133="",K133&gt;TODAY())),"Nog betalen",IF(OR(R133="",R133&gt;TODAY()),"Wacht op klant","Afgerond"))))</f>
        <v/>
      </c>
    </row>
    <row r="134">
      <c r="A134" s="45" t="n"/>
      <c r="B134" s="46">
        <f>IF(A134="","",YEAR(A134)&amp;" Q"&amp;ROUNDUP(MONTH(A134)/3,0))</f>
        <v/>
      </c>
      <c r="C134" s="47" t="n"/>
      <c r="D134" s="47" t="n"/>
      <c r="E134" s="47" t="n"/>
      <c r="F134" s="47" t="n"/>
      <c r="G134" s="48" t="n"/>
      <c r="H134" s="49" t="n"/>
      <c r="I134" s="50">
        <f>IF(G134="","",ROUND(G134*H134,2))</f>
        <v/>
      </c>
      <c r="J134" s="50">
        <f>IF(G134="","",G134+N(I134))</f>
        <v/>
      </c>
      <c r="K134" s="45" t="n"/>
      <c r="L134" s="47" t="n"/>
      <c r="M134" s="48" t="n"/>
      <c r="N134" s="49" t="n"/>
      <c r="O134" s="50">
        <f>IF(M134="","",ROUND(M134*N134,2))</f>
        <v/>
      </c>
      <c r="P134" s="50">
        <f>IF(M134="","",M134+N(O134))</f>
        <v/>
      </c>
      <c r="Q134" s="45" t="n"/>
      <c r="R134" s="45" t="n"/>
      <c r="S134" s="51">
        <f>IF(L134="","",IF(COUNTIF(L$6:L134,L134)&gt;1,"",SUMIF(L$6:L$2000,L134,M$6:M$2000)-SUMIF(L$6:L$2000,L134,G$6:G$2000)))</f>
        <v/>
      </c>
      <c r="T134" s="46">
        <f>IF(AND(C134="",G134=""),"",IF(L134="","Nog factureren",IF(AND(G134&lt;&gt;"",OR(K134="",K134&gt;TODAY())),"Nog betalen",IF(OR(R134="",R134&gt;TODAY()),"Wacht op klant","Afgerond"))))</f>
        <v/>
      </c>
    </row>
    <row r="135">
      <c r="A135" s="45" t="n"/>
      <c r="B135" s="46">
        <f>IF(A135="","",YEAR(A135)&amp;" Q"&amp;ROUNDUP(MONTH(A135)/3,0))</f>
        <v/>
      </c>
      <c r="C135" s="47" t="n"/>
      <c r="D135" s="47" t="n"/>
      <c r="E135" s="47" t="n"/>
      <c r="F135" s="47" t="n"/>
      <c r="G135" s="48" t="n"/>
      <c r="H135" s="49" t="n"/>
      <c r="I135" s="50">
        <f>IF(G135="","",ROUND(G135*H135,2))</f>
        <v/>
      </c>
      <c r="J135" s="50">
        <f>IF(G135="","",G135+N(I135))</f>
        <v/>
      </c>
      <c r="K135" s="45" t="n"/>
      <c r="L135" s="47" t="n"/>
      <c r="M135" s="48" t="n"/>
      <c r="N135" s="49" t="n"/>
      <c r="O135" s="50">
        <f>IF(M135="","",ROUND(M135*N135,2))</f>
        <v/>
      </c>
      <c r="P135" s="50">
        <f>IF(M135="","",M135+N(O135))</f>
        <v/>
      </c>
      <c r="Q135" s="45" t="n"/>
      <c r="R135" s="45" t="n"/>
      <c r="S135" s="51">
        <f>IF(L135="","",IF(COUNTIF(L$6:L135,L135)&gt;1,"",SUMIF(L$6:L$2000,L135,M$6:M$2000)-SUMIF(L$6:L$2000,L135,G$6:G$2000)))</f>
        <v/>
      </c>
      <c r="T135" s="46">
        <f>IF(AND(C135="",G135=""),"",IF(L135="","Nog factureren",IF(AND(G135&lt;&gt;"",OR(K135="",K135&gt;TODAY())),"Nog betalen",IF(OR(R135="",R135&gt;TODAY()),"Wacht op klant","Afgerond"))))</f>
        <v/>
      </c>
    </row>
    <row r="136">
      <c r="A136" s="45" t="n"/>
      <c r="B136" s="46">
        <f>IF(A136="","",YEAR(A136)&amp;" Q"&amp;ROUNDUP(MONTH(A136)/3,0))</f>
        <v/>
      </c>
      <c r="C136" s="47" t="n"/>
      <c r="D136" s="47" t="n"/>
      <c r="E136" s="47" t="n"/>
      <c r="F136" s="47" t="n"/>
      <c r="G136" s="48" t="n"/>
      <c r="H136" s="49" t="n"/>
      <c r="I136" s="50">
        <f>IF(G136="","",ROUND(G136*H136,2))</f>
        <v/>
      </c>
      <c r="J136" s="50">
        <f>IF(G136="","",G136+N(I136))</f>
        <v/>
      </c>
      <c r="K136" s="45" t="n"/>
      <c r="L136" s="47" t="n"/>
      <c r="M136" s="48" t="n"/>
      <c r="N136" s="49" t="n"/>
      <c r="O136" s="50">
        <f>IF(M136="","",ROUND(M136*N136,2))</f>
        <v/>
      </c>
      <c r="P136" s="50">
        <f>IF(M136="","",M136+N(O136))</f>
        <v/>
      </c>
      <c r="Q136" s="45" t="n"/>
      <c r="R136" s="45" t="n"/>
      <c r="S136" s="51">
        <f>IF(L136="","",IF(COUNTIF(L$6:L136,L136)&gt;1,"",SUMIF(L$6:L$2000,L136,M$6:M$2000)-SUMIF(L$6:L$2000,L136,G$6:G$2000)))</f>
        <v/>
      </c>
      <c r="T136" s="46">
        <f>IF(AND(C136="",G136=""),"",IF(L136="","Nog factureren",IF(AND(G136&lt;&gt;"",OR(K136="",K136&gt;TODAY())),"Nog betalen",IF(OR(R136="",R136&gt;TODAY()),"Wacht op klant","Afgerond"))))</f>
        <v/>
      </c>
    </row>
    <row r="137">
      <c r="A137" s="45" t="n"/>
      <c r="B137" s="46">
        <f>IF(A137="","",YEAR(A137)&amp;" Q"&amp;ROUNDUP(MONTH(A137)/3,0))</f>
        <v/>
      </c>
      <c r="C137" s="47" t="n"/>
      <c r="D137" s="47" t="n"/>
      <c r="E137" s="47" t="n"/>
      <c r="F137" s="47" t="n"/>
      <c r="G137" s="48" t="n"/>
      <c r="H137" s="49" t="n"/>
      <c r="I137" s="50">
        <f>IF(G137="","",ROUND(G137*H137,2))</f>
        <v/>
      </c>
      <c r="J137" s="50">
        <f>IF(G137="","",G137+N(I137))</f>
        <v/>
      </c>
      <c r="K137" s="45" t="n"/>
      <c r="L137" s="47" t="n"/>
      <c r="M137" s="48" t="n"/>
      <c r="N137" s="49" t="n"/>
      <c r="O137" s="50">
        <f>IF(M137="","",ROUND(M137*N137,2))</f>
        <v/>
      </c>
      <c r="P137" s="50">
        <f>IF(M137="","",M137+N(O137))</f>
        <v/>
      </c>
      <c r="Q137" s="45" t="n"/>
      <c r="R137" s="45" t="n"/>
      <c r="S137" s="51">
        <f>IF(L137="","",IF(COUNTIF(L$6:L137,L137)&gt;1,"",SUMIF(L$6:L$2000,L137,M$6:M$2000)-SUMIF(L$6:L$2000,L137,G$6:G$2000)))</f>
        <v/>
      </c>
      <c r="T137" s="46">
        <f>IF(AND(C137="",G137=""),"",IF(L137="","Nog factureren",IF(AND(G137&lt;&gt;"",OR(K137="",K137&gt;TODAY())),"Nog betalen",IF(OR(R137="",R137&gt;TODAY()),"Wacht op klant","Afgerond"))))</f>
        <v/>
      </c>
    </row>
    <row r="138">
      <c r="A138" s="45" t="n"/>
      <c r="B138" s="46">
        <f>IF(A138="","",YEAR(A138)&amp;" Q"&amp;ROUNDUP(MONTH(A138)/3,0))</f>
        <v/>
      </c>
      <c r="C138" s="47" t="n"/>
      <c r="D138" s="47" t="n"/>
      <c r="E138" s="47" t="n"/>
      <c r="F138" s="47" t="n"/>
      <c r="G138" s="48" t="n"/>
      <c r="H138" s="49" t="n"/>
      <c r="I138" s="50">
        <f>IF(G138="","",ROUND(G138*H138,2))</f>
        <v/>
      </c>
      <c r="J138" s="50">
        <f>IF(G138="","",G138+N(I138))</f>
        <v/>
      </c>
      <c r="K138" s="45" t="n"/>
      <c r="L138" s="47" t="n"/>
      <c r="M138" s="48" t="n"/>
      <c r="N138" s="49" t="n"/>
      <c r="O138" s="50">
        <f>IF(M138="","",ROUND(M138*N138,2))</f>
        <v/>
      </c>
      <c r="P138" s="50">
        <f>IF(M138="","",M138+N(O138))</f>
        <v/>
      </c>
      <c r="Q138" s="45" t="n"/>
      <c r="R138" s="45" t="n"/>
      <c r="S138" s="51">
        <f>IF(L138="","",IF(COUNTIF(L$6:L138,L138)&gt;1,"",SUMIF(L$6:L$2000,L138,M$6:M$2000)-SUMIF(L$6:L$2000,L138,G$6:G$2000)))</f>
        <v/>
      </c>
      <c r="T138" s="46">
        <f>IF(AND(C138="",G138=""),"",IF(L138="","Nog factureren",IF(AND(G138&lt;&gt;"",OR(K138="",K138&gt;TODAY())),"Nog betalen",IF(OR(R138="",R138&gt;TODAY()),"Wacht op klant","Afgerond"))))</f>
        <v/>
      </c>
    </row>
    <row r="139">
      <c r="A139" s="45" t="n"/>
      <c r="B139" s="46">
        <f>IF(A139="","",YEAR(A139)&amp;" Q"&amp;ROUNDUP(MONTH(A139)/3,0))</f>
        <v/>
      </c>
      <c r="C139" s="47" t="n"/>
      <c r="D139" s="47" t="n"/>
      <c r="E139" s="47" t="n"/>
      <c r="F139" s="47" t="n"/>
      <c r="G139" s="48" t="n"/>
      <c r="H139" s="49" t="n"/>
      <c r="I139" s="50">
        <f>IF(G139="","",ROUND(G139*H139,2))</f>
        <v/>
      </c>
      <c r="J139" s="50">
        <f>IF(G139="","",G139+N(I139))</f>
        <v/>
      </c>
      <c r="K139" s="45" t="n"/>
      <c r="L139" s="47" t="n"/>
      <c r="M139" s="48" t="n"/>
      <c r="N139" s="49" t="n"/>
      <c r="O139" s="50">
        <f>IF(M139="","",ROUND(M139*N139,2))</f>
        <v/>
      </c>
      <c r="P139" s="50">
        <f>IF(M139="","",M139+N(O139))</f>
        <v/>
      </c>
      <c r="Q139" s="45" t="n"/>
      <c r="R139" s="45" t="n"/>
      <c r="S139" s="51">
        <f>IF(L139="","",IF(COUNTIF(L$6:L139,L139)&gt;1,"",SUMIF(L$6:L$2000,L139,M$6:M$2000)-SUMIF(L$6:L$2000,L139,G$6:G$2000)))</f>
        <v/>
      </c>
      <c r="T139" s="46">
        <f>IF(AND(C139="",G139=""),"",IF(L139="","Nog factureren",IF(AND(G139&lt;&gt;"",OR(K139="",K139&gt;TODAY())),"Nog betalen",IF(OR(R139="",R139&gt;TODAY()),"Wacht op klant","Afgerond"))))</f>
        <v/>
      </c>
    </row>
    <row r="140">
      <c r="A140" s="45" t="n"/>
      <c r="B140" s="46">
        <f>IF(A140="","",YEAR(A140)&amp;" Q"&amp;ROUNDUP(MONTH(A140)/3,0))</f>
        <v/>
      </c>
      <c r="C140" s="47" t="n"/>
      <c r="D140" s="47" t="n"/>
      <c r="E140" s="47" t="n"/>
      <c r="F140" s="47" t="n"/>
      <c r="G140" s="48" t="n"/>
      <c r="H140" s="49" t="n"/>
      <c r="I140" s="50">
        <f>IF(G140="","",ROUND(G140*H140,2))</f>
        <v/>
      </c>
      <c r="J140" s="50">
        <f>IF(G140="","",G140+N(I140))</f>
        <v/>
      </c>
      <c r="K140" s="45" t="n"/>
      <c r="L140" s="47" t="n"/>
      <c r="M140" s="48" t="n"/>
      <c r="N140" s="49" t="n"/>
      <c r="O140" s="50">
        <f>IF(M140="","",ROUND(M140*N140,2))</f>
        <v/>
      </c>
      <c r="P140" s="50">
        <f>IF(M140="","",M140+N(O140))</f>
        <v/>
      </c>
      <c r="Q140" s="45" t="n"/>
      <c r="R140" s="45" t="n"/>
      <c r="S140" s="51">
        <f>IF(L140="","",IF(COUNTIF(L$6:L140,L140)&gt;1,"",SUMIF(L$6:L$2000,L140,M$6:M$2000)-SUMIF(L$6:L$2000,L140,G$6:G$2000)))</f>
        <v/>
      </c>
      <c r="T140" s="46">
        <f>IF(AND(C140="",G140=""),"",IF(L140="","Nog factureren",IF(AND(G140&lt;&gt;"",OR(K140="",K140&gt;TODAY())),"Nog betalen",IF(OR(R140="",R140&gt;TODAY()),"Wacht op klant","Afgerond"))))</f>
        <v/>
      </c>
    </row>
    <row r="141">
      <c r="A141" s="45" t="n"/>
      <c r="B141" s="46">
        <f>IF(A141="","",YEAR(A141)&amp;" Q"&amp;ROUNDUP(MONTH(A141)/3,0))</f>
        <v/>
      </c>
      <c r="C141" s="47" t="n"/>
      <c r="D141" s="47" t="n"/>
      <c r="E141" s="47" t="n"/>
      <c r="F141" s="47" t="n"/>
      <c r="G141" s="48" t="n"/>
      <c r="H141" s="49" t="n"/>
      <c r="I141" s="50">
        <f>IF(G141="","",ROUND(G141*H141,2))</f>
        <v/>
      </c>
      <c r="J141" s="50">
        <f>IF(G141="","",G141+N(I141))</f>
        <v/>
      </c>
      <c r="K141" s="45" t="n"/>
      <c r="L141" s="47" t="n"/>
      <c r="M141" s="48" t="n"/>
      <c r="N141" s="49" t="n"/>
      <c r="O141" s="50">
        <f>IF(M141="","",ROUND(M141*N141,2))</f>
        <v/>
      </c>
      <c r="P141" s="50">
        <f>IF(M141="","",M141+N(O141))</f>
        <v/>
      </c>
      <c r="Q141" s="45" t="n"/>
      <c r="R141" s="45" t="n"/>
      <c r="S141" s="51">
        <f>IF(L141="","",IF(COUNTIF(L$6:L141,L141)&gt;1,"",SUMIF(L$6:L$2000,L141,M$6:M$2000)-SUMIF(L$6:L$2000,L141,G$6:G$2000)))</f>
        <v/>
      </c>
      <c r="T141" s="46">
        <f>IF(AND(C141="",G141=""),"",IF(L141="","Nog factureren",IF(AND(G141&lt;&gt;"",OR(K141="",K141&gt;TODAY())),"Nog betalen",IF(OR(R141="",R141&gt;TODAY()),"Wacht op klant","Afgerond"))))</f>
        <v/>
      </c>
    </row>
    <row r="142">
      <c r="A142" s="45" t="n"/>
      <c r="B142" s="46">
        <f>IF(A142="","",YEAR(A142)&amp;" Q"&amp;ROUNDUP(MONTH(A142)/3,0))</f>
        <v/>
      </c>
      <c r="C142" s="47" t="n"/>
      <c r="D142" s="47" t="n"/>
      <c r="E142" s="47" t="n"/>
      <c r="F142" s="47" t="n"/>
      <c r="G142" s="48" t="n"/>
      <c r="H142" s="49" t="n"/>
      <c r="I142" s="50">
        <f>IF(G142="","",ROUND(G142*H142,2))</f>
        <v/>
      </c>
      <c r="J142" s="50">
        <f>IF(G142="","",G142+N(I142))</f>
        <v/>
      </c>
      <c r="K142" s="45" t="n"/>
      <c r="L142" s="47" t="n"/>
      <c r="M142" s="48" t="n"/>
      <c r="N142" s="49" t="n"/>
      <c r="O142" s="50">
        <f>IF(M142="","",ROUND(M142*N142,2))</f>
        <v/>
      </c>
      <c r="P142" s="50">
        <f>IF(M142="","",M142+N(O142))</f>
        <v/>
      </c>
      <c r="Q142" s="45" t="n"/>
      <c r="R142" s="45" t="n"/>
      <c r="S142" s="51">
        <f>IF(L142="","",IF(COUNTIF(L$6:L142,L142)&gt;1,"",SUMIF(L$6:L$2000,L142,M$6:M$2000)-SUMIF(L$6:L$2000,L142,G$6:G$2000)))</f>
        <v/>
      </c>
      <c r="T142" s="46">
        <f>IF(AND(C142="",G142=""),"",IF(L142="","Nog factureren",IF(AND(G142&lt;&gt;"",OR(K142="",K142&gt;TODAY())),"Nog betalen",IF(OR(R142="",R142&gt;TODAY()),"Wacht op klant","Afgerond"))))</f>
        <v/>
      </c>
    </row>
    <row r="143">
      <c r="A143" s="45" t="n"/>
      <c r="B143" s="46">
        <f>IF(A143="","",YEAR(A143)&amp;" Q"&amp;ROUNDUP(MONTH(A143)/3,0))</f>
        <v/>
      </c>
      <c r="C143" s="47" t="n"/>
      <c r="D143" s="47" t="n"/>
      <c r="E143" s="47" t="n"/>
      <c r="F143" s="47" t="n"/>
      <c r="G143" s="48" t="n"/>
      <c r="H143" s="49" t="n"/>
      <c r="I143" s="50">
        <f>IF(G143="","",ROUND(G143*H143,2))</f>
        <v/>
      </c>
      <c r="J143" s="50">
        <f>IF(G143="","",G143+N(I143))</f>
        <v/>
      </c>
      <c r="K143" s="45" t="n"/>
      <c r="L143" s="47" t="n"/>
      <c r="M143" s="48" t="n"/>
      <c r="N143" s="49" t="n"/>
      <c r="O143" s="50">
        <f>IF(M143="","",ROUND(M143*N143,2))</f>
        <v/>
      </c>
      <c r="P143" s="50">
        <f>IF(M143="","",M143+N(O143))</f>
        <v/>
      </c>
      <c r="Q143" s="45" t="n"/>
      <c r="R143" s="45" t="n"/>
      <c r="S143" s="51">
        <f>IF(L143="","",IF(COUNTIF(L$6:L143,L143)&gt;1,"",SUMIF(L$6:L$2000,L143,M$6:M$2000)-SUMIF(L$6:L$2000,L143,G$6:G$2000)))</f>
        <v/>
      </c>
      <c r="T143" s="46">
        <f>IF(AND(C143="",G143=""),"",IF(L143="","Nog factureren",IF(AND(G143&lt;&gt;"",OR(K143="",K143&gt;TODAY())),"Nog betalen",IF(OR(R143="",R143&gt;TODAY()),"Wacht op klant","Afgerond"))))</f>
        <v/>
      </c>
    </row>
    <row r="144">
      <c r="A144" s="45" t="n"/>
      <c r="B144" s="46">
        <f>IF(A144="","",YEAR(A144)&amp;" Q"&amp;ROUNDUP(MONTH(A144)/3,0))</f>
        <v/>
      </c>
      <c r="C144" s="47" t="n"/>
      <c r="D144" s="47" t="n"/>
      <c r="E144" s="47" t="n"/>
      <c r="F144" s="47" t="n"/>
      <c r="G144" s="48" t="n"/>
      <c r="H144" s="49" t="n"/>
      <c r="I144" s="50">
        <f>IF(G144="","",ROUND(G144*H144,2))</f>
        <v/>
      </c>
      <c r="J144" s="50">
        <f>IF(G144="","",G144+N(I144))</f>
        <v/>
      </c>
      <c r="K144" s="45" t="n"/>
      <c r="L144" s="47" t="n"/>
      <c r="M144" s="48" t="n"/>
      <c r="N144" s="49" t="n"/>
      <c r="O144" s="50">
        <f>IF(M144="","",ROUND(M144*N144,2))</f>
        <v/>
      </c>
      <c r="P144" s="50">
        <f>IF(M144="","",M144+N(O144))</f>
        <v/>
      </c>
      <c r="Q144" s="45" t="n"/>
      <c r="R144" s="45" t="n"/>
      <c r="S144" s="51">
        <f>IF(L144="","",IF(COUNTIF(L$6:L144,L144)&gt;1,"",SUMIF(L$6:L$2000,L144,M$6:M$2000)-SUMIF(L$6:L$2000,L144,G$6:G$2000)))</f>
        <v/>
      </c>
      <c r="T144" s="46">
        <f>IF(AND(C144="",G144=""),"",IF(L144="","Nog factureren",IF(AND(G144&lt;&gt;"",OR(K144="",K144&gt;TODAY())),"Nog betalen",IF(OR(R144="",R144&gt;TODAY()),"Wacht op klant","Afgerond"))))</f>
        <v/>
      </c>
    </row>
    <row r="145">
      <c r="A145" s="45" t="n"/>
      <c r="B145" s="46">
        <f>IF(A145="","",YEAR(A145)&amp;" Q"&amp;ROUNDUP(MONTH(A145)/3,0))</f>
        <v/>
      </c>
      <c r="C145" s="47" t="n"/>
      <c r="D145" s="47" t="n"/>
      <c r="E145" s="47" t="n"/>
      <c r="F145" s="47" t="n"/>
      <c r="G145" s="48" t="n"/>
      <c r="H145" s="49" t="n"/>
      <c r="I145" s="50">
        <f>IF(G145="","",ROUND(G145*H145,2))</f>
        <v/>
      </c>
      <c r="J145" s="50">
        <f>IF(G145="","",G145+N(I145))</f>
        <v/>
      </c>
      <c r="K145" s="45" t="n"/>
      <c r="L145" s="47" t="n"/>
      <c r="M145" s="48" t="n"/>
      <c r="N145" s="49" t="n"/>
      <c r="O145" s="50">
        <f>IF(M145="","",ROUND(M145*N145,2))</f>
        <v/>
      </c>
      <c r="P145" s="50">
        <f>IF(M145="","",M145+N(O145))</f>
        <v/>
      </c>
      <c r="Q145" s="45" t="n"/>
      <c r="R145" s="45" t="n"/>
      <c r="S145" s="51">
        <f>IF(L145="","",IF(COUNTIF(L$6:L145,L145)&gt;1,"",SUMIF(L$6:L$2000,L145,M$6:M$2000)-SUMIF(L$6:L$2000,L145,G$6:G$2000)))</f>
        <v/>
      </c>
      <c r="T145" s="46">
        <f>IF(AND(C145="",G145=""),"",IF(L145="","Nog factureren",IF(AND(G145&lt;&gt;"",OR(K145="",K145&gt;TODAY())),"Nog betalen",IF(OR(R145="",R145&gt;TODAY()),"Wacht op klant","Afgerond"))))</f>
        <v/>
      </c>
    </row>
    <row r="146">
      <c r="A146" s="45" t="n"/>
      <c r="B146" s="46">
        <f>IF(A146="","",YEAR(A146)&amp;" Q"&amp;ROUNDUP(MONTH(A146)/3,0))</f>
        <v/>
      </c>
      <c r="C146" s="47" t="n"/>
      <c r="D146" s="47" t="n"/>
      <c r="E146" s="47" t="n"/>
      <c r="F146" s="47" t="n"/>
      <c r="G146" s="48" t="n"/>
      <c r="H146" s="49" t="n"/>
      <c r="I146" s="50">
        <f>IF(G146="","",ROUND(G146*H146,2))</f>
        <v/>
      </c>
      <c r="J146" s="50">
        <f>IF(G146="","",G146+N(I146))</f>
        <v/>
      </c>
      <c r="K146" s="45" t="n"/>
      <c r="L146" s="47" t="n"/>
      <c r="M146" s="48" t="n"/>
      <c r="N146" s="49" t="n"/>
      <c r="O146" s="50">
        <f>IF(M146="","",ROUND(M146*N146,2))</f>
        <v/>
      </c>
      <c r="P146" s="50">
        <f>IF(M146="","",M146+N(O146))</f>
        <v/>
      </c>
      <c r="Q146" s="45" t="n"/>
      <c r="R146" s="45" t="n"/>
      <c r="S146" s="51">
        <f>IF(L146="","",IF(COUNTIF(L$6:L146,L146)&gt;1,"",SUMIF(L$6:L$2000,L146,M$6:M$2000)-SUMIF(L$6:L$2000,L146,G$6:G$2000)))</f>
        <v/>
      </c>
      <c r="T146" s="46">
        <f>IF(AND(C146="",G146=""),"",IF(L146="","Nog factureren",IF(AND(G146&lt;&gt;"",OR(K146="",K146&gt;TODAY())),"Nog betalen",IF(OR(R146="",R146&gt;TODAY()),"Wacht op klant","Afgerond"))))</f>
        <v/>
      </c>
    </row>
    <row r="147">
      <c r="A147" s="45" t="n"/>
      <c r="B147" s="46">
        <f>IF(A147="","",YEAR(A147)&amp;" Q"&amp;ROUNDUP(MONTH(A147)/3,0))</f>
        <v/>
      </c>
      <c r="C147" s="47" t="n"/>
      <c r="D147" s="47" t="n"/>
      <c r="E147" s="47" t="n"/>
      <c r="F147" s="47" t="n"/>
      <c r="G147" s="48" t="n"/>
      <c r="H147" s="49" t="n"/>
      <c r="I147" s="50">
        <f>IF(G147="","",ROUND(G147*H147,2))</f>
        <v/>
      </c>
      <c r="J147" s="50">
        <f>IF(G147="","",G147+N(I147))</f>
        <v/>
      </c>
      <c r="K147" s="45" t="n"/>
      <c r="L147" s="47" t="n"/>
      <c r="M147" s="48" t="n"/>
      <c r="N147" s="49" t="n"/>
      <c r="O147" s="50">
        <f>IF(M147="","",ROUND(M147*N147,2))</f>
        <v/>
      </c>
      <c r="P147" s="50">
        <f>IF(M147="","",M147+N(O147))</f>
        <v/>
      </c>
      <c r="Q147" s="45" t="n"/>
      <c r="R147" s="45" t="n"/>
      <c r="S147" s="51">
        <f>IF(L147="","",IF(COUNTIF(L$6:L147,L147)&gt;1,"",SUMIF(L$6:L$2000,L147,M$6:M$2000)-SUMIF(L$6:L$2000,L147,G$6:G$2000)))</f>
        <v/>
      </c>
      <c r="T147" s="46">
        <f>IF(AND(C147="",G147=""),"",IF(L147="","Nog factureren",IF(AND(G147&lt;&gt;"",OR(K147="",K147&gt;TODAY())),"Nog betalen",IF(OR(R147="",R147&gt;TODAY()),"Wacht op klant","Afgerond"))))</f>
        <v/>
      </c>
    </row>
    <row r="148">
      <c r="A148" s="45" t="n"/>
      <c r="B148" s="46">
        <f>IF(A148="","",YEAR(A148)&amp;" Q"&amp;ROUNDUP(MONTH(A148)/3,0))</f>
        <v/>
      </c>
      <c r="C148" s="47" t="n"/>
      <c r="D148" s="47" t="n"/>
      <c r="E148" s="47" t="n"/>
      <c r="F148" s="47" t="n"/>
      <c r="G148" s="48" t="n"/>
      <c r="H148" s="49" t="n"/>
      <c r="I148" s="50">
        <f>IF(G148="","",ROUND(G148*H148,2))</f>
        <v/>
      </c>
      <c r="J148" s="50">
        <f>IF(G148="","",G148+N(I148))</f>
        <v/>
      </c>
      <c r="K148" s="45" t="n"/>
      <c r="L148" s="47" t="n"/>
      <c r="M148" s="48" t="n"/>
      <c r="N148" s="49" t="n"/>
      <c r="O148" s="50">
        <f>IF(M148="","",ROUND(M148*N148,2))</f>
        <v/>
      </c>
      <c r="P148" s="50">
        <f>IF(M148="","",M148+N(O148))</f>
        <v/>
      </c>
      <c r="Q148" s="45" t="n"/>
      <c r="R148" s="45" t="n"/>
      <c r="S148" s="51">
        <f>IF(L148="","",IF(COUNTIF(L$6:L148,L148)&gt;1,"",SUMIF(L$6:L$2000,L148,M$6:M$2000)-SUMIF(L$6:L$2000,L148,G$6:G$2000)))</f>
        <v/>
      </c>
      <c r="T148" s="46">
        <f>IF(AND(C148="",G148=""),"",IF(L148="","Nog factureren",IF(AND(G148&lt;&gt;"",OR(K148="",K148&gt;TODAY())),"Nog betalen",IF(OR(R148="",R148&gt;TODAY()),"Wacht op klant","Afgerond"))))</f>
        <v/>
      </c>
    </row>
    <row r="149">
      <c r="A149" s="45" t="n"/>
      <c r="B149" s="46">
        <f>IF(A149="","",YEAR(A149)&amp;" Q"&amp;ROUNDUP(MONTH(A149)/3,0))</f>
        <v/>
      </c>
      <c r="C149" s="47" t="n"/>
      <c r="D149" s="47" t="n"/>
      <c r="E149" s="47" t="n"/>
      <c r="F149" s="47" t="n"/>
      <c r="G149" s="48" t="n"/>
      <c r="H149" s="49" t="n"/>
      <c r="I149" s="50">
        <f>IF(G149="","",ROUND(G149*H149,2))</f>
        <v/>
      </c>
      <c r="J149" s="50">
        <f>IF(G149="","",G149+N(I149))</f>
        <v/>
      </c>
      <c r="K149" s="45" t="n"/>
      <c r="L149" s="47" t="n"/>
      <c r="M149" s="48" t="n"/>
      <c r="N149" s="49" t="n"/>
      <c r="O149" s="50">
        <f>IF(M149="","",ROUND(M149*N149,2))</f>
        <v/>
      </c>
      <c r="P149" s="50">
        <f>IF(M149="","",M149+N(O149))</f>
        <v/>
      </c>
      <c r="Q149" s="45" t="n"/>
      <c r="R149" s="45" t="n"/>
      <c r="S149" s="51">
        <f>IF(L149="","",IF(COUNTIF(L$6:L149,L149)&gt;1,"",SUMIF(L$6:L$2000,L149,M$6:M$2000)-SUMIF(L$6:L$2000,L149,G$6:G$2000)))</f>
        <v/>
      </c>
      <c r="T149" s="46">
        <f>IF(AND(C149="",G149=""),"",IF(L149="","Nog factureren",IF(AND(G149&lt;&gt;"",OR(K149="",K149&gt;TODAY())),"Nog betalen",IF(OR(R149="",R149&gt;TODAY()),"Wacht op klant","Afgerond"))))</f>
        <v/>
      </c>
    </row>
    <row r="150">
      <c r="A150" s="45" t="n"/>
      <c r="B150" s="46">
        <f>IF(A150="","",YEAR(A150)&amp;" Q"&amp;ROUNDUP(MONTH(A150)/3,0))</f>
        <v/>
      </c>
      <c r="C150" s="47" t="n"/>
      <c r="D150" s="47" t="n"/>
      <c r="E150" s="47" t="n"/>
      <c r="F150" s="47" t="n"/>
      <c r="G150" s="48" t="n"/>
      <c r="H150" s="49" t="n"/>
      <c r="I150" s="50">
        <f>IF(G150="","",ROUND(G150*H150,2))</f>
        <v/>
      </c>
      <c r="J150" s="50">
        <f>IF(G150="","",G150+N(I150))</f>
        <v/>
      </c>
      <c r="K150" s="45" t="n"/>
      <c r="L150" s="47" t="n"/>
      <c r="M150" s="48" t="n"/>
      <c r="N150" s="49" t="n"/>
      <c r="O150" s="50">
        <f>IF(M150="","",ROUND(M150*N150,2))</f>
        <v/>
      </c>
      <c r="P150" s="50">
        <f>IF(M150="","",M150+N(O150))</f>
        <v/>
      </c>
      <c r="Q150" s="45" t="n"/>
      <c r="R150" s="45" t="n"/>
      <c r="S150" s="51">
        <f>IF(L150="","",IF(COUNTIF(L$6:L150,L150)&gt;1,"",SUMIF(L$6:L$2000,L150,M$6:M$2000)-SUMIF(L$6:L$2000,L150,G$6:G$2000)))</f>
        <v/>
      </c>
      <c r="T150" s="46">
        <f>IF(AND(C150="",G150=""),"",IF(L150="","Nog factureren",IF(AND(G150&lt;&gt;"",OR(K150="",K150&gt;TODAY())),"Nog betalen",IF(OR(R150="",R150&gt;TODAY()),"Wacht op klant","Afgerond"))))</f>
        <v/>
      </c>
    </row>
    <row r="151">
      <c r="A151" s="45" t="n"/>
      <c r="B151" s="46">
        <f>IF(A151="","",YEAR(A151)&amp;" Q"&amp;ROUNDUP(MONTH(A151)/3,0))</f>
        <v/>
      </c>
      <c r="C151" s="47" t="n"/>
      <c r="D151" s="47" t="n"/>
      <c r="E151" s="47" t="n"/>
      <c r="F151" s="47" t="n"/>
      <c r="G151" s="48" t="n"/>
      <c r="H151" s="49" t="n"/>
      <c r="I151" s="50">
        <f>IF(G151="","",ROUND(G151*H151,2))</f>
        <v/>
      </c>
      <c r="J151" s="50">
        <f>IF(G151="","",G151+N(I151))</f>
        <v/>
      </c>
      <c r="K151" s="45" t="n"/>
      <c r="L151" s="47" t="n"/>
      <c r="M151" s="48" t="n"/>
      <c r="N151" s="49" t="n"/>
      <c r="O151" s="50">
        <f>IF(M151="","",ROUND(M151*N151,2))</f>
        <v/>
      </c>
      <c r="P151" s="50">
        <f>IF(M151="","",M151+N(O151))</f>
        <v/>
      </c>
      <c r="Q151" s="45" t="n"/>
      <c r="R151" s="45" t="n"/>
      <c r="S151" s="51">
        <f>IF(L151="","",IF(COUNTIF(L$6:L151,L151)&gt;1,"",SUMIF(L$6:L$2000,L151,M$6:M$2000)-SUMIF(L$6:L$2000,L151,G$6:G$2000)))</f>
        <v/>
      </c>
      <c r="T151" s="46">
        <f>IF(AND(C151="",G151=""),"",IF(L151="","Nog factureren",IF(AND(G151&lt;&gt;"",OR(K151="",K151&gt;TODAY())),"Nog betalen",IF(OR(R151="",R151&gt;TODAY()),"Wacht op klant","Afgerond"))))</f>
        <v/>
      </c>
    </row>
    <row r="152">
      <c r="A152" s="45" t="n"/>
      <c r="B152" s="46">
        <f>IF(A152="","",YEAR(A152)&amp;" Q"&amp;ROUNDUP(MONTH(A152)/3,0))</f>
        <v/>
      </c>
      <c r="C152" s="47" t="n"/>
      <c r="D152" s="47" t="n"/>
      <c r="E152" s="47" t="n"/>
      <c r="F152" s="47" t="n"/>
      <c r="G152" s="48" t="n"/>
      <c r="H152" s="49" t="n"/>
      <c r="I152" s="50">
        <f>IF(G152="","",ROUND(G152*H152,2))</f>
        <v/>
      </c>
      <c r="J152" s="50">
        <f>IF(G152="","",G152+N(I152))</f>
        <v/>
      </c>
      <c r="K152" s="45" t="n"/>
      <c r="L152" s="47" t="n"/>
      <c r="M152" s="48" t="n"/>
      <c r="N152" s="49" t="n"/>
      <c r="O152" s="50">
        <f>IF(M152="","",ROUND(M152*N152,2))</f>
        <v/>
      </c>
      <c r="P152" s="50">
        <f>IF(M152="","",M152+N(O152))</f>
        <v/>
      </c>
      <c r="Q152" s="45" t="n"/>
      <c r="R152" s="45" t="n"/>
      <c r="S152" s="51">
        <f>IF(L152="","",IF(COUNTIF(L$6:L152,L152)&gt;1,"",SUMIF(L$6:L$2000,L152,M$6:M$2000)-SUMIF(L$6:L$2000,L152,G$6:G$2000)))</f>
        <v/>
      </c>
      <c r="T152" s="46">
        <f>IF(AND(C152="",G152=""),"",IF(L152="","Nog factureren",IF(AND(G152&lt;&gt;"",OR(K152="",K152&gt;TODAY())),"Nog betalen",IF(OR(R152="",R152&gt;TODAY()),"Wacht op klant","Afgerond"))))</f>
        <v/>
      </c>
    </row>
    <row r="153">
      <c r="A153" s="45" t="n"/>
      <c r="B153" s="46">
        <f>IF(A153="","",YEAR(A153)&amp;" Q"&amp;ROUNDUP(MONTH(A153)/3,0))</f>
        <v/>
      </c>
      <c r="C153" s="47" t="n"/>
      <c r="D153" s="47" t="n"/>
      <c r="E153" s="47" t="n"/>
      <c r="F153" s="47" t="n"/>
      <c r="G153" s="48" t="n"/>
      <c r="H153" s="49" t="n"/>
      <c r="I153" s="50">
        <f>IF(G153="","",ROUND(G153*H153,2))</f>
        <v/>
      </c>
      <c r="J153" s="50">
        <f>IF(G153="","",G153+N(I153))</f>
        <v/>
      </c>
      <c r="K153" s="45" t="n"/>
      <c r="L153" s="47" t="n"/>
      <c r="M153" s="48" t="n"/>
      <c r="N153" s="49" t="n"/>
      <c r="O153" s="50">
        <f>IF(M153="","",ROUND(M153*N153,2))</f>
        <v/>
      </c>
      <c r="P153" s="50">
        <f>IF(M153="","",M153+N(O153))</f>
        <v/>
      </c>
      <c r="Q153" s="45" t="n"/>
      <c r="R153" s="45" t="n"/>
      <c r="S153" s="51">
        <f>IF(L153="","",IF(COUNTIF(L$6:L153,L153)&gt;1,"",SUMIF(L$6:L$2000,L153,M$6:M$2000)-SUMIF(L$6:L$2000,L153,G$6:G$2000)))</f>
        <v/>
      </c>
      <c r="T153" s="46">
        <f>IF(AND(C153="",G153=""),"",IF(L153="","Nog factureren",IF(AND(G153&lt;&gt;"",OR(K153="",K153&gt;TODAY())),"Nog betalen",IF(OR(R153="",R153&gt;TODAY()),"Wacht op klant","Afgerond"))))</f>
        <v/>
      </c>
    </row>
    <row r="154">
      <c r="A154" s="45" t="n"/>
      <c r="B154" s="46">
        <f>IF(A154="","",YEAR(A154)&amp;" Q"&amp;ROUNDUP(MONTH(A154)/3,0))</f>
        <v/>
      </c>
      <c r="C154" s="47" t="n"/>
      <c r="D154" s="47" t="n"/>
      <c r="E154" s="47" t="n"/>
      <c r="F154" s="47" t="n"/>
      <c r="G154" s="48" t="n"/>
      <c r="H154" s="49" t="n"/>
      <c r="I154" s="50">
        <f>IF(G154="","",ROUND(G154*H154,2))</f>
        <v/>
      </c>
      <c r="J154" s="50">
        <f>IF(G154="","",G154+N(I154))</f>
        <v/>
      </c>
      <c r="K154" s="45" t="n"/>
      <c r="L154" s="47" t="n"/>
      <c r="M154" s="48" t="n"/>
      <c r="N154" s="49" t="n"/>
      <c r="O154" s="50">
        <f>IF(M154="","",ROUND(M154*N154,2))</f>
        <v/>
      </c>
      <c r="P154" s="50">
        <f>IF(M154="","",M154+N(O154))</f>
        <v/>
      </c>
      <c r="Q154" s="45" t="n"/>
      <c r="R154" s="45" t="n"/>
      <c r="S154" s="51">
        <f>IF(L154="","",IF(COUNTIF(L$6:L154,L154)&gt;1,"",SUMIF(L$6:L$2000,L154,M$6:M$2000)-SUMIF(L$6:L$2000,L154,G$6:G$2000)))</f>
        <v/>
      </c>
      <c r="T154" s="46">
        <f>IF(AND(C154="",G154=""),"",IF(L154="","Nog factureren",IF(AND(G154&lt;&gt;"",OR(K154="",K154&gt;TODAY())),"Nog betalen",IF(OR(R154="",R154&gt;TODAY()),"Wacht op klant","Afgerond"))))</f>
        <v/>
      </c>
    </row>
    <row r="155">
      <c r="A155" s="45" t="n"/>
      <c r="B155" s="46">
        <f>IF(A155="","",YEAR(A155)&amp;" Q"&amp;ROUNDUP(MONTH(A155)/3,0))</f>
        <v/>
      </c>
      <c r="C155" s="47" t="n"/>
      <c r="D155" s="47" t="n"/>
      <c r="E155" s="47" t="n"/>
      <c r="F155" s="47" t="n"/>
      <c r="G155" s="48" t="n"/>
      <c r="H155" s="49" t="n"/>
      <c r="I155" s="50">
        <f>IF(G155="","",ROUND(G155*H155,2))</f>
        <v/>
      </c>
      <c r="J155" s="50">
        <f>IF(G155="","",G155+N(I155))</f>
        <v/>
      </c>
      <c r="K155" s="45" t="n"/>
      <c r="L155" s="47" t="n"/>
      <c r="M155" s="48" t="n"/>
      <c r="N155" s="49" t="n"/>
      <c r="O155" s="50">
        <f>IF(M155="","",ROUND(M155*N155,2))</f>
        <v/>
      </c>
      <c r="P155" s="50">
        <f>IF(M155="","",M155+N(O155))</f>
        <v/>
      </c>
      <c r="Q155" s="45" t="n"/>
      <c r="R155" s="45" t="n"/>
      <c r="S155" s="51">
        <f>IF(L155="","",IF(COUNTIF(L$6:L155,L155)&gt;1,"",SUMIF(L$6:L$2000,L155,M$6:M$2000)-SUMIF(L$6:L$2000,L155,G$6:G$2000)))</f>
        <v/>
      </c>
      <c r="T155" s="46">
        <f>IF(AND(C155="",G155=""),"",IF(L155="","Nog factureren",IF(AND(G155&lt;&gt;"",OR(K155="",K155&gt;TODAY())),"Nog betalen",IF(OR(R155="",R155&gt;TODAY()),"Wacht op klant","Afgerond"))))</f>
        <v/>
      </c>
    </row>
    <row r="156">
      <c r="A156" s="45" t="n"/>
      <c r="B156" s="46">
        <f>IF(A156="","",YEAR(A156)&amp;" Q"&amp;ROUNDUP(MONTH(A156)/3,0))</f>
        <v/>
      </c>
      <c r="C156" s="47" t="n"/>
      <c r="D156" s="47" t="n"/>
      <c r="E156" s="47" t="n"/>
      <c r="F156" s="47" t="n"/>
      <c r="G156" s="48" t="n"/>
      <c r="H156" s="49" t="n"/>
      <c r="I156" s="50">
        <f>IF(G156="","",ROUND(G156*H156,2))</f>
        <v/>
      </c>
      <c r="J156" s="50">
        <f>IF(G156="","",G156+N(I156))</f>
        <v/>
      </c>
      <c r="K156" s="45" t="n"/>
      <c r="L156" s="47" t="n"/>
      <c r="M156" s="48" t="n"/>
      <c r="N156" s="49" t="n"/>
      <c r="O156" s="50">
        <f>IF(M156="","",ROUND(M156*N156,2))</f>
        <v/>
      </c>
      <c r="P156" s="50">
        <f>IF(M156="","",M156+N(O156))</f>
        <v/>
      </c>
      <c r="Q156" s="45" t="n"/>
      <c r="R156" s="45" t="n"/>
      <c r="S156" s="51">
        <f>IF(L156="","",IF(COUNTIF(L$6:L156,L156)&gt;1,"",SUMIF(L$6:L$2000,L156,M$6:M$2000)-SUMIF(L$6:L$2000,L156,G$6:G$2000)))</f>
        <v/>
      </c>
      <c r="T156" s="46">
        <f>IF(AND(C156="",G156=""),"",IF(L156="","Nog factureren",IF(AND(G156&lt;&gt;"",OR(K156="",K156&gt;TODAY())),"Nog betalen",IF(OR(R156="",R156&gt;TODAY()),"Wacht op klant","Afgerond"))))</f>
        <v/>
      </c>
    </row>
    <row r="157">
      <c r="A157" s="45" t="n"/>
      <c r="B157" s="46">
        <f>IF(A157="","",YEAR(A157)&amp;" Q"&amp;ROUNDUP(MONTH(A157)/3,0))</f>
        <v/>
      </c>
      <c r="C157" s="47" t="n"/>
      <c r="D157" s="47" t="n"/>
      <c r="E157" s="47" t="n"/>
      <c r="F157" s="47" t="n"/>
      <c r="G157" s="48" t="n"/>
      <c r="H157" s="49" t="n"/>
      <c r="I157" s="50">
        <f>IF(G157="","",ROUND(G157*H157,2))</f>
        <v/>
      </c>
      <c r="J157" s="50">
        <f>IF(G157="","",G157+N(I157))</f>
        <v/>
      </c>
      <c r="K157" s="45" t="n"/>
      <c r="L157" s="47" t="n"/>
      <c r="M157" s="48" t="n"/>
      <c r="N157" s="49" t="n"/>
      <c r="O157" s="50">
        <f>IF(M157="","",ROUND(M157*N157,2))</f>
        <v/>
      </c>
      <c r="P157" s="50">
        <f>IF(M157="","",M157+N(O157))</f>
        <v/>
      </c>
      <c r="Q157" s="45" t="n"/>
      <c r="R157" s="45" t="n"/>
      <c r="S157" s="51">
        <f>IF(L157="","",IF(COUNTIF(L$6:L157,L157)&gt;1,"",SUMIF(L$6:L$2000,L157,M$6:M$2000)-SUMIF(L$6:L$2000,L157,G$6:G$2000)))</f>
        <v/>
      </c>
      <c r="T157" s="46">
        <f>IF(AND(C157="",G157=""),"",IF(L157="","Nog factureren",IF(AND(G157&lt;&gt;"",OR(K157="",K157&gt;TODAY())),"Nog betalen",IF(OR(R157="",R157&gt;TODAY()),"Wacht op klant","Afgerond"))))</f>
        <v/>
      </c>
    </row>
    <row r="158">
      <c r="A158" s="45" t="n"/>
      <c r="B158" s="46">
        <f>IF(A158="","",YEAR(A158)&amp;" Q"&amp;ROUNDUP(MONTH(A158)/3,0))</f>
        <v/>
      </c>
      <c r="C158" s="47" t="n"/>
      <c r="D158" s="47" t="n"/>
      <c r="E158" s="47" t="n"/>
      <c r="F158" s="47" t="n"/>
      <c r="G158" s="48" t="n"/>
      <c r="H158" s="49" t="n"/>
      <c r="I158" s="50">
        <f>IF(G158="","",ROUND(G158*H158,2))</f>
        <v/>
      </c>
      <c r="J158" s="50">
        <f>IF(G158="","",G158+N(I158))</f>
        <v/>
      </c>
      <c r="K158" s="45" t="n"/>
      <c r="L158" s="47" t="n"/>
      <c r="M158" s="48" t="n"/>
      <c r="N158" s="49" t="n"/>
      <c r="O158" s="50">
        <f>IF(M158="","",ROUND(M158*N158,2))</f>
        <v/>
      </c>
      <c r="P158" s="50">
        <f>IF(M158="","",M158+N(O158))</f>
        <v/>
      </c>
      <c r="Q158" s="45" t="n"/>
      <c r="R158" s="45" t="n"/>
      <c r="S158" s="51">
        <f>IF(L158="","",IF(COUNTIF(L$6:L158,L158)&gt;1,"",SUMIF(L$6:L$2000,L158,M$6:M$2000)-SUMIF(L$6:L$2000,L158,G$6:G$2000)))</f>
        <v/>
      </c>
      <c r="T158" s="46">
        <f>IF(AND(C158="",G158=""),"",IF(L158="","Nog factureren",IF(AND(G158&lt;&gt;"",OR(K158="",K158&gt;TODAY())),"Nog betalen",IF(OR(R158="",R158&gt;TODAY()),"Wacht op klant","Afgerond"))))</f>
        <v/>
      </c>
    </row>
    <row r="159">
      <c r="A159" s="45" t="n"/>
      <c r="B159" s="46">
        <f>IF(A159="","",YEAR(A159)&amp;" Q"&amp;ROUNDUP(MONTH(A159)/3,0))</f>
        <v/>
      </c>
      <c r="C159" s="47" t="n"/>
      <c r="D159" s="47" t="n"/>
      <c r="E159" s="47" t="n"/>
      <c r="F159" s="47" t="n"/>
      <c r="G159" s="48" t="n"/>
      <c r="H159" s="49" t="n"/>
      <c r="I159" s="50">
        <f>IF(G159="","",ROUND(G159*H159,2))</f>
        <v/>
      </c>
      <c r="J159" s="50">
        <f>IF(G159="","",G159+N(I159))</f>
        <v/>
      </c>
      <c r="K159" s="45" t="n"/>
      <c r="L159" s="47" t="n"/>
      <c r="M159" s="48" t="n"/>
      <c r="N159" s="49" t="n"/>
      <c r="O159" s="50">
        <f>IF(M159="","",ROUND(M159*N159,2))</f>
        <v/>
      </c>
      <c r="P159" s="50">
        <f>IF(M159="","",M159+N(O159))</f>
        <v/>
      </c>
      <c r="Q159" s="45" t="n"/>
      <c r="R159" s="45" t="n"/>
      <c r="S159" s="51">
        <f>IF(L159="","",IF(COUNTIF(L$6:L159,L159)&gt;1,"",SUMIF(L$6:L$2000,L159,M$6:M$2000)-SUMIF(L$6:L$2000,L159,G$6:G$2000)))</f>
        <v/>
      </c>
      <c r="T159" s="46">
        <f>IF(AND(C159="",G159=""),"",IF(L159="","Nog factureren",IF(AND(G159&lt;&gt;"",OR(K159="",K159&gt;TODAY())),"Nog betalen",IF(OR(R159="",R159&gt;TODAY()),"Wacht op klant","Afgerond"))))</f>
        <v/>
      </c>
    </row>
    <row r="160">
      <c r="A160" s="45" t="n"/>
      <c r="B160" s="46">
        <f>IF(A160="","",YEAR(A160)&amp;" Q"&amp;ROUNDUP(MONTH(A160)/3,0))</f>
        <v/>
      </c>
      <c r="C160" s="47" t="n"/>
      <c r="D160" s="47" t="n"/>
      <c r="E160" s="47" t="n"/>
      <c r="F160" s="47" t="n"/>
      <c r="G160" s="48" t="n"/>
      <c r="H160" s="49" t="n"/>
      <c r="I160" s="50">
        <f>IF(G160="","",ROUND(G160*H160,2))</f>
        <v/>
      </c>
      <c r="J160" s="50">
        <f>IF(G160="","",G160+N(I160))</f>
        <v/>
      </c>
      <c r="K160" s="45" t="n"/>
      <c r="L160" s="47" t="n"/>
      <c r="M160" s="48" t="n"/>
      <c r="N160" s="49" t="n"/>
      <c r="O160" s="50">
        <f>IF(M160="","",ROUND(M160*N160,2))</f>
        <v/>
      </c>
      <c r="P160" s="50">
        <f>IF(M160="","",M160+N(O160))</f>
        <v/>
      </c>
      <c r="Q160" s="45" t="n"/>
      <c r="R160" s="45" t="n"/>
      <c r="S160" s="51">
        <f>IF(L160="","",IF(COUNTIF(L$6:L160,L160)&gt;1,"",SUMIF(L$6:L$2000,L160,M$6:M$2000)-SUMIF(L$6:L$2000,L160,G$6:G$2000)))</f>
        <v/>
      </c>
      <c r="T160" s="46">
        <f>IF(AND(C160="",G160=""),"",IF(L160="","Nog factureren",IF(AND(G160&lt;&gt;"",OR(K160="",K160&gt;TODAY())),"Nog betalen",IF(OR(R160="",R160&gt;TODAY()),"Wacht op klant","Afgerond"))))</f>
        <v/>
      </c>
    </row>
    <row r="161">
      <c r="A161" s="45" t="n"/>
      <c r="B161" s="46">
        <f>IF(A161="","",YEAR(A161)&amp;" Q"&amp;ROUNDUP(MONTH(A161)/3,0))</f>
        <v/>
      </c>
      <c r="C161" s="47" t="n"/>
      <c r="D161" s="47" t="n"/>
      <c r="E161" s="47" t="n"/>
      <c r="F161" s="47" t="n"/>
      <c r="G161" s="48" t="n"/>
      <c r="H161" s="49" t="n"/>
      <c r="I161" s="50">
        <f>IF(G161="","",ROUND(G161*H161,2))</f>
        <v/>
      </c>
      <c r="J161" s="50">
        <f>IF(G161="","",G161+N(I161))</f>
        <v/>
      </c>
      <c r="K161" s="45" t="n"/>
      <c r="L161" s="47" t="n"/>
      <c r="M161" s="48" t="n"/>
      <c r="N161" s="49" t="n"/>
      <c r="O161" s="50">
        <f>IF(M161="","",ROUND(M161*N161,2))</f>
        <v/>
      </c>
      <c r="P161" s="50">
        <f>IF(M161="","",M161+N(O161))</f>
        <v/>
      </c>
      <c r="Q161" s="45" t="n"/>
      <c r="R161" s="45" t="n"/>
      <c r="S161" s="51">
        <f>IF(L161="","",IF(COUNTIF(L$6:L161,L161)&gt;1,"",SUMIF(L$6:L$2000,L161,M$6:M$2000)-SUMIF(L$6:L$2000,L161,G$6:G$2000)))</f>
        <v/>
      </c>
      <c r="T161" s="46">
        <f>IF(AND(C161="",G161=""),"",IF(L161="","Nog factureren",IF(AND(G161&lt;&gt;"",OR(K161="",K161&gt;TODAY())),"Nog betalen",IF(OR(R161="",R161&gt;TODAY()),"Wacht op klant","Afgerond"))))</f>
        <v/>
      </c>
    </row>
    <row r="162">
      <c r="A162" s="45" t="n"/>
      <c r="B162" s="46">
        <f>IF(A162="","",YEAR(A162)&amp;" Q"&amp;ROUNDUP(MONTH(A162)/3,0))</f>
        <v/>
      </c>
      <c r="C162" s="47" t="n"/>
      <c r="D162" s="47" t="n"/>
      <c r="E162" s="47" t="n"/>
      <c r="F162" s="47" t="n"/>
      <c r="G162" s="48" t="n"/>
      <c r="H162" s="49" t="n"/>
      <c r="I162" s="50">
        <f>IF(G162="","",ROUND(G162*H162,2))</f>
        <v/>
      </c>
      <c r="J162" s="50">
        <f>IF(G162="","",G162+N(I162))</f>
        <v/>
      </c>
      <c r="K162" s="45" t="n"/>
      <c r="L162" s="47" t="n"/>
      <c r="M162" s="48" t="n"/>
      <c r="N162" s="49" t="n"/>
      <c r="O162" s="50">
        <f>IF(M162="","",ROUND(M162*N162,2))</f>
        <v/>
      </c>
      <c r="P162" s="50">
        <f>IF(M162="","",M162+N(O162))</f>
        <v/>
      </c>
      <c r="Q162" s="45" t="n"/>
      <c r="R162" s="45" t="n"/>
      <c r="S162" s="51">
        <f>IF(L162="","",IF(COUNTIF(L$6:L162,L162)&gt;1,"",SUMIF(L$6:L$2000,L162,M$6:M$2000)-SUMIF(L$6:L$2000,L162,G$6:G$2000)))</f>
        <v/>
      </c>
      <c r="T162" s="46">
        <f>IF(AND(C162="",G162=""),"",IF(L162="","Nog factureren",IF(AND(G162&lt;&gt;"",OR(K162="",K162&gt;TODAY())),"Nog betalen",IF(OR(R162="",R162&gt;TODAY()),"Wacht op klant","Afgerond"))))</f>
        <v/>
      </c>
    </row>
    <row r="163">
      <c r="A163" s="45" t="n"/>
      <c r="B163" s="46">
        <f>IF(A163="","",YEAR(A163)&amp;" Q"&amp;ROUNDUP(MONTH(A163)/3,0))</f>
        <v/>
      </c>
      <c r="C163" s="47" t="n"/>
      <c r="D163" s="47" t="n"/>
      <c r="E163" s="47" t="n"/>
      <c r="F163" s="47" t="n"/>
      <c r="G163" s="48" t="n"/>
      <c r="H163" s="49" t="n"/>
      <c r="I163" s="50">
        <f>IF(G163="","",ROUND(G163*H163,2))</f>
        <v/>
      </c>
      <c r="J163" s="50">
        <f>IF(G163="","",G163+N(I163))</f>
        <v/>
      </c>
      <c r="K163" s="45" t="n"/>
      <c r="L163" s="47" t="n"/>
      <c r="M163" s="48" t="n"/>
      <c r="N163" s="49" t="n"/>
      <c r="O163" s="50">
        <f>IF(M163="","",ROUND(M163*N163,2))</f>
        <v/>
      </c>
      <c r="P163" s="50">
        <f>IF(M163="","",M163+N(O163))</f>
        <v/>
      </c>
      <c r="Q163" s="45" t="n"/>
      <c r="R163" s="45" t="n"/>
      <c r="S163" s="51">
        <f>IF(L163="","",IF(COUNTIF(L$6:L163,L163)&gt;1,"",SUMIF(L$6:L$2000,L163,M$6:M$2000)-SUMIF(L$6:L$2000,L163,G$6:G$2000)))</f>
        <v/>
      </c>
      <c r="T163" s="46">
        <f>IF(AND(C163="",G163=""),"",IF(L163="","Nog factureren",IF(AND(G163&lt;&gt;"",OR(K163="",K163&gt;TODAY())),"Nog betalen",IF(OR(R163="",R163&gt;TODAY()),"Wacht op klant","Afgerond"))))</f>
        <v/>
      </c>
    </row>
    <row r="164">
      <c r="A164" s="45" t="n"/>
      <c r="B164" s="46">
        <f>IF(A164="","",YEAR(A164)&amp;" Q"&amp;ROUNDUP(MONTH(A164)/3,0))</f>
        <v/>
      </c>
      <c r="C164" s="47" t="n"/>
      <c r="D164" s="47" t="n"/>
      <c r="E164" s="47" t="n"/>
      <c r="F164" s="47" t="n"/>
      <c r="G164" s="48" t="n"/>
      <c r="H164" s="49" t="n"/>
      <c r="I164" s="50">
        <f>IF(G164="","",ROUND(G164*H164,2))</f>
        <v/>
      </c>
      <c r="J164" s="50">
        <f>IF(G164="","",G164+N(I164))</f>
        <v/>
      </c>
      <c r="K164" s="45" t="n"/>
      <c r="L164" s="47" t="n"/>
      <c r="M164" s="48" t="n"/>
      <c r="N164" s="49" t="n"/>
      <c r="O164" s="50">
        <f>IF(M164="","",ROUND(M164*N164,2))</f>
        <v/>
      </c>
      <c r="P164" s="50">
        <f>IF(M164="","",M164+N(O164))</f>
        <v/>
      </c>
      <c r="Q164" s="45" t="n"/>
      <c r="R164" s="45" t="n"/>
      <c r="S164" s="51">
        <f>IF(L164="","",IF(COUNTIF(L$6:L164,L164)&gt;1,"",SUMIF(L$6:L$2000,L164,M$6:M$2000)-SUMIF(L$6:L$2000,L164,G$6:G$2000)))</f>
        <v/>
      </c>
      <c r="T164" s="46">
        <f>IF(AND(C164="",G164=""),"",IF(L164="","Nog factureren",IF(AND(G164&lt;&gt;"",OR(K164="",K164&gt;TODAY())),"Nog betalen",IF(OR(R164="",R164&gt;TODAY()),"Wacht op klant","Afgerond"))))</f>
        <v/>
      </c>
    </row>
    <row r="165">
      <c r="A165" s="45" t="n"/>
      <c r="B165" s="46">
        <f>IF(A165="","",YEAR(A165)&amp;" Q"&amp;ROUNDUP(MONTH(A165)/3,0))</f>
        <v/>
      </c>
      <c r="C165" s="47" t="n"/>
      <c r="D165" s="47" t="n"/>
      <c r="E165" s="47" t="n"/>
      <c r="F165" s="47" t="n"/>
      <c r="G165" s="48" t="n"/>
      <c r="H165" s="49" t="n"/>
      <c r="I165" s="50">
        <f>IF(G165="","",ROUND(G165*H165,2))</f>
        <v/>
      </c>
      <c r="J165" s="50">
        <f>IF(G165="","",G165+N(I165))</f>
        <v/>
      </c>
      <c r="K165" s="45" t="n"/>
      <c r="L165" s="47" t="n"/>
      <c r="M165" s="48" t="n"/>
      <c r="N165" s="49" t="n"/>
      <c r="O165" s="50">
        <f>IF(M165="","",ROUND(M165*N165,2))</f>
        <v/>
      </c>
      <c r="P165" s="50">
        <f>IF(M165="","",M165+N(O165))</f>
        <v/>
      </c>
      <c r="Q165" s="45" t="n"/>
      <c r="R165" s="45" t="n"/>
      <c r="S165" s="51">
        <f>IF(L165="","",IF(COUNTIF(L$6:L165,L165)&gt;1,"",SUMIF(L$6:L$2000,L165,M$6:M$2000)-SUMIF(L$6:L$2000,L165,G$6:G$2000)))</f>
        <v/>
      </c>
      <c r="T165" s="46">
        <f>IF(AND(C165="",G165=""),"",IF(L165="","Nog factureren",IF(AND(G165&lt;&gt;"",OR(K165="",K165&gt;TODAY())),"Nog betalen",IF(OR(R165="",R165&gt;TODAY()),"Wacht op klant","Afgerond"))))</f>
        <v/>
      </c>
    </row>
    <row r="166">
      <c r="A166" s="45" t="n"/>
      <c r="B166" s="46">
        <f>IF(A166="","",YEAR(A166)&amp;" Q"&amp;ROUNDUP(MONTH(A166)/3,0))</f>
        <v/>
      </c>
      <c r="C166" s="47" t="n"/>
      <c r="D166" s="47" t="n"/>
      <c r="E166" s="47" t="n"/>
      <c r="F166" s="47" t="n"/>
      <c r="G166" s="48" t="n"/>
      <c r="H166" s="49" t="n"/>
      <c r="I166" s="50">
        <f>IF(G166="","",ROUND(G166*H166,2))</f>
        <v/>
      </c>
      <c r="J166" s="50">
        <f>IF(G166="","",G166+N(I166))</f>
        <v/>
      </c>
      <c r="K166" s="45" t="n"/>
      <c r="L166" s="47" t="n"/>
      <c r="M166" s="48" t="n"/>
      <c r="N166" s="49" t="n"/>
      <c r="O166" s="50">
        <f>IF(M166="","",ROUND(M166*N166,2))</f>
        <v/>
      </c>
      <c r="P166" s="50">
        <f>IF(M166="","",M166+N(O166))</f>
        <v/>
      </c>
      <c r="Q166" s="45" t="n"/>
      <c r="R166" s="45" t="n"/>
      <c r="S166" s="51">
        <f>IF(L166="","",IF(COUNTIF(L$6:L166,L166)&gt;1,"",SUMIF(L$6:L$2000,L166,M$6:M$2000)-SUMIF(L$6:L$2000,L166,G$6:G$2000)))</f>
        <v/>
      </c>
      <c r="T166" s="46">
        <f>IF(AND(C166="",G166=""),"",IF(L166="","Nog factureren",IF(AND(G166&lt;&gt;"",OR(K166="",K166&gt;TODAY())),"Nog betalen",IF(OR(R166="",R166&gt;TODAY()),"Wacht op klant","Afgerond"))))</f>
        <v/>
      </c>
    </row>
    <row r="167">
      <c r="A167" s="45" t="n"/>
      <c r="B167" s="46">
        <f>IF(A167="","",YEAR(A167)&amp;" Q"&amp;ROUNDUP(MONTH(A167)/3,0))</f>
        <v/>
      </c>
      <c r="C167" s="47" t="n"/>
      <c r="D167" s="47" t="n"/>
      <c r="E167" s="47" t="n"/>
      <c r="F167" s="47" t="n"/>
      <c r="G167" s="48" t="n"/>
      <c r="H167" s="49" t="n"/>
      <c r="I167" s="50">
        <f>IF(G167="","",ROUND(G167*H167,2))</f>
        <v/>
      </c>
      <c r="J167" s="50">
        <f>IF(G167="","",G167+N(I167))</f>
        <v/>
      </c>
      <c r="K167" s="45" t="n"/>
      <c r="L167" s="47" t="n"/>
      <c r="M167" s="48" t="n"/>
      <c r="N167" s="49" t="n"/>
      <c r="O167" s="50">
        <f>IF(M167="","",ROUND(M167*N167,2))</f>
        <v/>
      </c>
      <c r="P167" s="50">
        <f>IF(M167="","",M167+N(O167))</f>
        <v/>
      </c>
      <c r="Q167" s="45" t="n"/>
      <c r="R167" s="45" t="n"/>
      <c r="S167" s="51">
        <f>IF(L167="","",IF(COUNTIF(L$6:L167,L167)&gt;1,"",SUMIF(L$6:L$2000,L167,M$6:M$2000)-SUMIF(L$6:L$2000,L167,G$6:G$2000)))</f>
        <v/>
      </c>
      <c r="T167" s="46">
        <f>IF(AND(C167="",G167=""),"",IF(L167="","Nog factureren",IF(AND(G167&lt;&gt;"",OR(K167="",K167&gt;TODAY())),"Nog betalen",IF(OR(R167="",R167&gt;TODAY()),"Wacht op klant","Afgerond"))))</f>
        <v/>
      </c>
    </row>
    <row r="168">
      <c r="A168" s="45" t="n"/>
      <c r="B168" s="46">
        <f>IF(A168="","",YEAR(A168)&amp;" Q"&amp;ROUNDUP(MONTH(A168)/3,0))</f>
        <v/>
      </c>
      <c r="C168" s="47" t="n"/>
      <c r="D168" s="47" t="n"/>
      <c r="E168" s="47" t="n"/>
      <c r="F168" s="47" t="n"/>
      <c r="G168" s="48" t="n"/>
      <c r="H168" s="49" t="n"/>
      <c r="I168" s="50">
        <f>IF(G168="","",ROUND(G168*H168,2))</f>
        <v/>
      </c>
      <c r="J168" s="50">
        <f>IF(G168="","",G168+N(I168))</f>
        <v/>
      </c>
      <c r="K168" s="45" t="n"/>
      <c r="L168" s="47" t="n"/>
      <c r="M168" s="48" t="n"/>
      <c r="N168" s="49" t="n"/>
      <c r="O168" s="50">
        <f>IF(M168="","",ROUND(M168*N168,2))</f>
        <v/>
      </c>
      <c r="P168" s="50">
        <f>IF(M168="","",M168+N(O168))</f>
        <v/>
      </c>
      <c r="Q168" s="45" t="n"/>
      <c r="R168" s="45" t="n"/>
      <c r="S168" s="51">
        <f>IF(L168="","",IF(COUNTIF(L$6:L168,L168)&gt;1,"",SUMIF(L$6:L$2000,L168,M$6:M$2000)-SUMIF(L$6:L$2000,L168,G$6:G$2000)))</f>
        <v/>
      </c>
      <c r="T168" s="46">
        <f>IF(AND(C168="",G168=""),"",IF(L168="","Nog factureren",IF(AND(G168&lt;&gt;"",OR(K168="",K168&gt;TODAY())),"Nog betalen",IF(OR(R168="",R168&gt;TODAY()),"Wacht op klant","Afgerond"))))</f>
        <v/>
      </c>
    </row>
    <row r="169">
      <c r="A169" s="45" t="n"/>
      <c r="B169" s="46">
        <f>IF(A169="","",YEAR(A169)&amp;" Q"&amp;ROUNDUP(MONTH(A169)/3,0))</f>
        <v/>
      </c>
      <c r="C169" s="47" t="n"/>
      <c r="D169" s="47" t="n"/>
      <c r="E169" s="47" t="n"/>
      <c r="F169" s="47" t="n"/>
      <c r="G169" s="48" t="n"/>
      <c r="H169" s="49" t="n"/>
      <c r="I169" s="50">
        <f>IF(G169="","",ROUND(G169*H169,2))</f>
        <v/>
      </c>
      <c r="J169" s="50">
        <f>IF(G169="","",G169+N(I169))</f>
        <v/>
      </c>
      <c r="K169" s="45" t="n"/>
      <c r="L169" s="47" t="n"/>
      <c r="M169" s="48" t="n"/>
      <c r="N169" s="49" t="n"/>
      <c r="O169" s="50">
        <f>IF(M169="","",ROUND(M169*N169,2))</f>
        <v/>
      </c>
      <c r="P169" s="50">
        <f>IF(M169="","",M169+N(O169))</f>
        <v/>
      </c>
      <c r="Q169" s="45" t="n"/>
      <c r="R169" s="45" t="n"/>
      <c r="S169" s="51">
        <f>IF(L169="","",IF(COUNTIF(L$6:L169,L169)&gt;1,"",SUMIF(L$6:L$2000,L169,M$6:M$2000)-SUMIF(L$6:L$2000,L169,G$6:G$2000)))</f>
        <v/>
      </c>
      <c r="T169" s="46">
        <f>IF(AND(C169="",G169=""),"",IF(L169="","Nog factureren",IF(AND(G169&lt;&gt;"",OR(K169="",K169&gt;TODAY())),"Nog betalen",IF(OR(R169="",R169&gt;TODAY()),"Wacht op klant","Afgerond"))))</f>
        <v/>
      </c>
    </row>
    <row r="170">
      <c r="A170" s="45" t="n"/>
      <c r="B170" s="46">
        <f>IF(A170="","",YEAR(A170)&amp;" Q"&amp;ROUNDUP(MONTH(A170)/3,0))</f>
        <v/>
      </c>
      <c r="C170" s="47" t="n"/>
      <c r="D170" s="47" t="n"/>
      <c r="E170" s="47" t="n"/>
      <c r="F170" s="47" t="n"/>
      <c r="G170" s="48" t="n"/>
      <c r="H170" s="49" t="n"/>
      <c r="I170" s="50">
        <f>IF(G170="","",ROUND(G170*H170,2))</f>
        <v/>
      </c>
      <c r="J170" s="50">
        <f>IF(G170="","",G170+N(I170))</f>
        <v/>
      </c>
      <c r="K170" s="45" t="n"/>
      <c r="L170" s="47" t="n"/>
      <c r="M170" s="48" t="n"/>
      <c r="N170" s="49" t="n"/>
      <c r="O170" s="50">
        <f>IF(M170="","",ROUND(M170*N170,2))</f>
        <v/>
      </c>
      <c r="P170" s="50">
        <f>IF(M170="","",M170+N(O170))</f>
        <v/>
      </c>
      <c r="Q170" s="45" t="n"/>
      <c r="R170" s="45" t="n"/>
      <c r="S170" s="51">
        <f>IF(L170="","",IF(COUNTIF(L$6:L170,L170)&gt;1,"",SUMIF(L$6:L$2000,L170,M$6:M$2000)-SUMIF(L$6:L$2000,L170,G$6:G$2000)))</f>
        <v/>
      </c>
      <c r="T170" s="46">
        <f>IF(AND(C170="",G170=""),"",IF(L170="","Nog factureren",IF(AND(G170&lt;&gt;"",OR(K170="",K170&gt;TODAY())),"Nog betalen",IF(OR(R170="",R170&gt;TODAY()),"Wacht op klant","Afgerond"))))</f>
        <v/>
      </c>
    </row>
    <row r="171">
      <c r="A171" s="45" t="n"/>
      <c r="B171" s="46">
        <f>IF(A171="","",YEAR(A171)&amp;" Q"&amp;ROUNDUP(MONTH(A171)/3,0))</f>
        <v/>
      </c>
      <c r="C171" s="47" t="n"/>
      <c r="D171" s="47" t="n"/>
      <c r="E171" s="47" t="n"/>
      <c r="F171" s="47" t="n"/>
      <c r="G171" s="48" t="n"/>
      <c r="H171" s="49" t="n"/>
      <c r="I171" s="50">
        <f>IF(G171="","",ROUND(G171*H171,2))</f>
        <v/>
      </c>
      <c r="J171" s="50">
        <f>IF(G171="","",G171+N(I171))</f>
        <v/>
      </c>
      <c r="K171" s="45" t="n"/>
      <c r="L171" s="47" t="n"/>
      <c r="M171" s="48" t="n"/>
      <c r="N171" s="49" t="n"/>
      <c r="O171" s="50">
        <f>IF(M171="","",ROUND(M171*N171,2))</f>
        <v/>
      </c>
      <c r="P171" s="50">
        <f>IF(M171="","",M171+N(O171))</f>
        <v/>
      </c>
      <c r="Q171" s="45" t="n"/>
      <c r="R171" s="45" t="n"/>
      <c r="S171" s="51">
        <f>IF(L171="","",IF(COUNTIF(L$6:L171,L171)&gt;1,"",SUMIF(L$6:L$2000,L171,M$6:M$2000)-SUMIF(L$6:L$2000,L171,G$6:G$2000)))</f>
        <v/>
      </c>
      <c r="T171" s="46">
        <f>IF(AND(C171="",G171=""),"",IF(L171="","Nog factureren",IF(AND(G171&lt;&gt;"",OR(K171="",K171&gt;TODAY())),"Nog betalen",IF(OR(R171="",R171&gt;TODAY()),"Wacht op klant","Afgerond"))))</f>
        <v/>
      </c>
    </row>
    <row r="172">
      <c r="A172" s="45" t="n"/>
      <c r="B172" s="46">
        <f>IF(A172="","",YEAR(A172)&amp;" Q"&amp;ROUNDUP(MONTH(A172)/3,0))</f>
        <v/>
      </c>
      <c r="C172" s="47" t="n"/>
      <c r="D172" s="47" t="n"/>
      <c r="E172" s="47" t="n"/>
      <c r="F172" s="47" t="n"/>
      <c r="G172" s="48" t="n"/>
      <c r="H172" s="49" t="n"/>
      <c r="I172" s="50">
        <f>IF(G172="","",ROUND(G172*H172,2))</f>
        <v/>
      </c>
      <c r="J172" s="50">
        <f>IF(G172="","",G172+N(I172))</f>
        <v/>
      </c>
      <c r="K172" s="45" t="n"/>
      <c r="L172" s="47" t="n"/>
      <c r="M172" s="48" t="n"/>
      <c r="N172" s="49" t="n"/>
      <c r="O172" s="50">
        <f>IF(M172="","",ROUND(M172*N172,2))</f>
        <v/>
      </c>
      <c r="P172" s="50">
        <f>IF(M172="","",M172+N(O172))</f>
        <v/>
      </c>
      <c r="Q172" s="45" t="n"/>
      <c r="R172" s="45" t="n"/>
      <c r="S172" s="51">
        <f>IF(L172="","",IF(COUNTIF(L$6:L172,L172)&gt;1,"",SUMIF(L$6:L$2000,L172,M$6:M$2000)-SUMIF(L$6:L$2000,L172,G$6:G$2000)))</f>
        <v/>
      </c>
      <c r="T172" s="46">
        <f>IF(AND(C172="",G172=""),"",IF(L172="","Nog factureren",IF(AND(G172&lt;&gt;"",OR(K172="",K172&gt;TODAY())),"Nog betalen",IF(OR(R172="",R172&gt;TODAY()),"Wacht op klant","Afgerond"))))</f>
        <v/>
      </c>
    </row>
    <row r="173">
      <c r="A173" s="45" t="n"/>
      <c r="B173" s="46">
        <f>IF(A173="","",YEAR(A173)&amp;" Q"&amp;ROUNDUP(MONTH(A173)/3,0))</f>
        <v/>
      </c>
      <c r="C173" s="47" t="n"/>
      <c r="D173" s="47" t="n"/>
      <c r="E173" s="47" t="n"/>
      <c r="F173" s="47" t="n"/>
      <c r="G173" s="48" t="n"/>
      <c r="H173" s="49" t="n"/>
      <c r="I173" s="50">
        <f>IF(G173="","",ROUND(G173*H173,2))</f>
        <v/>
      </c>
      <c r="J173" s="50">
        <f>IF(G173="","",G173+N(I173))</f>
        <v/>
      </c>
      <c r="K173" s="45" t="n"/>
      <c r="L173" s="47" t="n"/>
      <c r="M173" s="48" t="n"/>
      <c r="N173" s="49" t="n"/>
      <c r="O173" s="50">
        <f>IF(M173="","",ROUND(M173*N173,2))</f>
        <v/>
      </c>
      <c r="P173" s="50">
        <f>IF(M173="","",M173+N(O173))</f>
        <v/>
      </c>
      <c r="Q173" s="45" t="n"/>
      <c r="R173" s="45" t="n"/>
      <c r="S173" s="51">
        <f>IF(L173="","",IF(COUNTIF(L$6:L173,L173)&gt;1,"",SUMIF(L$6:L$2000,L173,M$6:M$2000)-SUMIF(L$6:L$2000,L173,G$6:G$2000)))</f>
        <v/>
      </c>
      <c r="T173" s="46">
        <f>IF(AND(C173="",G173=""),"",IF(L173="","Nog factureren",IF(AND(G173&lt;&gt;"",OR(K173="",K173&gt;TODAY())),"Nog betalen",IF(OR(R173="",R173&gt;TODAY()),"Wacht op klant","Afgerond"))))</f>
        <v/>
      </c>
    </row>
    <row r="174">
      <c r="A174" s="45" t="n"/>
      <c r="B174" s="46">
        <f>IF(A174="","",YEAR(A174)&amp;" Q"&amp;ROUNDUP(MONTH(A174)/3,0))</f>
        <v/>
      </c>
      <c r="C174" s="47" t="n"/>
      <c r="D174" s="47" t="n"/>
      <c r="E174" s="47" t="n"/>
      <c r="F174" s="47" t="n"/>
      <c r="G174" s="48" t="n"/>
      <c r="H174" s="49" t="n"/>
      <c r="I174" s="50">
        <f>IF(G174="","",ROUND(G174*H174,2))</f>
        <v/>
      </c>
      <c r="J174" s="50">
        <f>IF(G174="","",G174+N(I174))</f>
        <v/>
      </c>
      <c r="K174" s="45" t="n"/>
      <c r="L174" s="47" t="n"/>
      <c r="M174" s="48" t="n"/>
      <c r="N174" s="49" t="n"/>
      <c r="O174" s="50">
        <f>IF(M174="","",ROUND(M174*N174,2))</f>
        <v/>
      </c>
      <c r="P174" s="50">
        <f>IF(M174="","",M174+N(O174))</f>
        <v/>
      </c>
      <c r="Q174" s="45" t="n"/>
      <c r="R174" s="45" t="n"/>
      <c r="S174" s="51">
        <f>IF(L174="","",IF(COUNTIF(L$6:L174,L174)&gt;1,"",SUMIF(L$6:L$2000,L174,M$6:M$2000)-SUMIF(L$6:L$2000,L174,G$6:G$2000)))</f>
        <v/>
      </c>
      <c r="T174" s="46">
        <f>IF(AND(C174="",G174=""),"",IF(L174="","Nog factureren",IF(AND(G174&lt;&gt;"",OR(K174="",K174&gt;TODAY())),"Nog betalen",IF(OR(R174="",R174&gt;TODAY()),"Wacht op klant","Afgerond"))))</f>
        <v/>
      </c>
    </row>
    <row r="175">
      <c r="A175" s="45" t="n"/>
      <c r="B175" s="46">
        <f>IF(A175="","",YEAR(A175)&amp;" Q"&amp;ROUNDUP(MONTH(A175)/3,0))</f>
        <v/>
      </c>
      <c r="C175" s="47" t="n"/>
      <c r="D175" s="47" t="n"/>
      <c r="E175" s="47" t="n"/>
      <c r="F175" s="47" t="n"/>
      <c r="G175" s="48" t="n"/>
      <c r="H175" s="49" t="n"/>
      <c r="I175" s="50">
        <f>IF(G175="","",ROUND(G175*H175,2))</f>
        <v/>
      </c>
      <c r="J175" s="50">
        <f>IF(G175="","",G175+N(I175))</f>
        <v/>
      </c>
      <c r="K175" s="45" t="n"/>
      <c r="L175" s="47" t="n"/>
      <c r="M175" s="48" t="n"/>
      <c r="N175" s="49" t="n"/>
      <c r="O175" s="50">
        <f>IF(M175="","",ROUND(M175*N175,2))</f>
        <v/>
      </c>
      <c r="P175" s="50">
        <f>IF(M175="","",M175+N(O175))</f>
        <v/>
      </c>
      <c r="Q175" s="45" t="n"/>
      <c r="R175" s="45" t="n"/>
      <c r="S175" s="51">
        <f>IF(L175="","",IF(COUNTIF(L$6:L175,L175)&gt;1,"",SUMIF(L$6:L$2000,L175,M$6:M$2000)-SUMIF(L$6:L$2000,L175,G$6:G$2000)))</f>
        <v/>
      </c>
      <c r="T175" s="46">
        <f>IF(AND(C175="",G175=""),"",IF(L175="","Nog factureren",IF(AND(G175&lt;&gt;"",OR(K175="",K175&gt;TODAY())),"Nog betalen",IF(OR(R175="",R175&gt;TODAY()),"Wacht op klant","Afgerond"))))</f>
        <v/>
      </c>
    </row>
    <row r="176">
      <c r="A176" s="45" t="n"/>
      <c r="B176" s="46">
        <f>IF(A176="","",YEAR(A176)&amp;" Q"&amp;ROUNDUP(MONTH(A176)/3,0))</f>
        <v/>
      </c>
      <c r="C176" s="47" t="n"/>
      <c r="D176" s="47" t="n"/>
      <c r="E176" s="47" t="n"/>
      <c r="F176" s="47" t="n"/>
      <c r="G176" s="48" t="n"/>
      <c r="H176" s="49" t="n"/>
      <c r="I176" s="50">
        <f>IF(G176="","",ROUND(G176*H176,2))</f>
        <v/>
      </c>
      <c r="J176" s="50">
        <f>IF(G176="","",G176+N(I176))</f>
        <v/>
      </c>
      <c r="K176" s="45" t="n"/>
      <c r="L176" s="47" t="n"/>
      <c r="M176" s="48" t="n"/>
      <c r="N176" s="49" t="n"/>
      <c r="O176" s="50">
        <f>IF(M176="","",ROUND(M176*N176,2))</f>
        <v/>
      </c>
      <c r="P176" s="50">
        <f>IF(M176="","",M176+N(O176))</f>
        <v/>
      </c>
      <c r="Q176" s="45" t="n"/>
      <c r="R176" s="45" t="n"/>
      <c r="S176" s="51">
        <f>IF(L176="","",IF(COUNTIF(L$6:L176,L176)&gt;1,"",SUMIF(L$6:L$2000,L176,M$6:M$2000)-SUMIF(L$6:L$2000,L176,G$6:G$2000)))</f>
        <v/>
      </c>
      <c r="T176" s="46">
        <f>IF(AND(C176="",G176=""),"",IF(L176="","Nog factureren",IF(AND(G176&lt;&gt;"",OR(K176="",K176&gt;TODAY())),"Nog betalen",IF(OR(R176="",R176&gt;TODAY()),"Wacht op klant","Afgerond"))))</f>
        <v/>
      </c>
    </row>
    <row r="177">
      <c r="A177" s="45" t="n"/>
      <c r="B177" s="46">
        <f>IF(A177="","",YEAR(A177)&amp;" Q"&amp;ROUNDUP(MONTH(A177)/3,0))</f>
        <v/>
      </c>
      <c r="C177" s="47" t="n"/>
      <c r="D177" s="47" t="n"/>
      <c r="E177" s="47" t="n"/>
      <c r="F177" s="47" t="n"/>
      <c r="G177" s="48" t="n"/>
      <c r="H177" s="49" t="n"/>
      <c r="I177" s="50">
        <f>IF(G177="","",ROUND(G177*H177,2))</f>
        <v/>
      </c>
      <c r="J177" s="50">
        <f>IF(G177="","",G177+N(I177))</f>
        <v/>
      </c>
      <c r="K177" s="45" t="n"/>
      <c r="L177" s="47" t="n"/>
      <c r="M177" s="48" t="n"/>
      <c r="N177" s="49" t="n"/>
      <c r="O177" s="50">
        <f>IF(M177="","",ROUND(M177*N177,2))</f>
        <v/>
      </c>
      <c r="P177" s="50">
        <f>IF(M177="","",M177+N(O177))</f>
        <v/>
      </c>
      <c r="Q177" s="45" t="n"/>
      <c r="R177" s="45" t="n"/>
      <c r="S177" s="51">
        <f>IF(L177="","",IF(COUNTIF(L$6:L177,L177)&gt;1,"",SUMIF(L$6:L$2000,L177,M$6:M$2000)-SUMIF(L$6:L$2000,L177,G$6:G$2000)))</f>
        <v/>
      </c>
      <c r="T177" s="46">
        <f>IF(AND(C177="",G177=""),"",IF(L177="","Nog factureren",IF(AND(G177&lt;&gt;"",OR(K177="",K177&gt;TODAY())),"Nog betalen",IF(OR(R177="",R177&gt;TODAY()),"Wacht op klant","Afgerond"))))</f>
        <v/>
      </c>
    </row>
    <row r="178">
      <c r="A178" s="45" t="n"/>
      <c r="B178" s="46">
        <f>IF(A178="","",YEAR(A178)&amp;" Q"&amp;ROUNDUP(MONTH(A178)/3,0))</f>
        <v/>
      </c>
      <c r="C178" s="47" t="n"/>
      <c r="D178" s="47" t="n"/>
      <c r="E178" s="47" t="n"/>
      <c r="F178" s="47" t="n"/>
      <c r="G178" s="48" t="n"/>
      <c r="H178" s="49" t="n"/>
      <c r="I178" s="50">
        <f>IF(G178="","",ROUND(G178*H178,2))</f>
        <v/>
      </c>
      <c r="J178" s="50">
        <f>IF(G178="","",G178+N(I178))</f>
        <v/>
      </c>
      <c r="K178" s="45" t="n"/>
      <c r="L178" s="47" t="n"/>
      <c r="M178" s="48" t="n"/>
      <c r="N178" s="49" t="n"/>
      <c r="O178" s="50">
        <f>IF(M178="","",ROUND(M178*N178,2))</f>
        <v/>
      </c>
      <c r="P178" s="50">
        <f>IF(M178="","",M178+N(O178))</f>
        <v/>
      </c>
      <c r="Q178" s="45" t="n"/>
      <c r="R178" s="45" t="n"/>
      <c r="S178" s="51">
        <f>IF(L178="","",IF(COUNTIF(L$6:L178,L178)&gt;1,"",SUMIF(L$6:L$2000,L178,M$6:M$2000)-SUMIF(L$6:L$2000,L178,G$6:G$2000)))</f>
        <v/>
      </c>
      <c r="T178" s="46">
        <f>IF(AND(C178="",G178=""),"",IF(L178="","Nog factureren",IF(AND(G178&lt;&gt;"",OR(K178="",K178&gt;TODAY())),"Nog betalen",IF(OR(R178="",R178&gt;TODAY()),"Wacht op klant","Afgerond"))))</f>
        <v/>
      </c>
    </row>
    <row r="179">
      <c r="A179" s="45" t="n"/>
      <c r="B179" s="46">
        <f>IF(A179="","",YEAR(A179)&amp;" Q"&amp;ROUNDUP(MONTH(A179)/3,0))</f>
        <v/>
      </c>
      <c r="C179" s="47" t="n"/>
      <c r="D179" s="47" t="n"/>
      <c r="E179" s="47" t="n"/>
      <c r="F179" s="47" t="n"/>
      <c r="G179" s="48" t="n"/>
      <c r="H179" s="49" t="n"/>
      <c r="I179" s="50">
        <f>IF(G179="","",ROUND(G179*H179,2))</f>
        <v/>
      </c>
      <c r="J179" s="50">
        <f>IF(G179="","",G179+N(I179))</f>
        <v/>
      </c>
      <c r="K179" s="45" t="n"/>
      <c r="L179" s="47" t="n"/>
      <c r="M179" s="48" t="n"/>
      <c r="N179" s="49" t="n"/>
      <c r="O179" s="50">
        <f>IF(M179="","",ROUND(M179*N179,2))</f>
        <v/>
      </c>
      <c r="P179" s="50">
        <f>IF(M179="","",M179+N(O179))</f>
        <v/>
      </c>
      <c r="Q179" s="45" t="n"/>
      <c r="R179" s="45" t="n"/>
      <c r="S179" s="51">
        <f>IF(L179="","",IF(COUNTIF(L$6:L179,L179)&gt;1,"",SUMIF(L$6:L$2000,L179,M$6:M$2000)-SUMIF(L$6:L$2000,L179,G$6:G$2000)))</f>
        <v/>
      </c>
      <c r="T179" s="46">
        <f>IF(AND(C179="",G179=""),"",IF(L179="","Nog factureren",IF(AND(G179&lt;&gt;"",OR(K179="",K179&gt;TODAY())),"Nog betalen",IF(OR(R179="",R179&gt;TODAY()),"Wacht op klant","Afgerond"))))</f>
        <v/>
      </c>
    </row>
    <row r="180">
      <c r="A180" s="45" t="n"/>
      <c r="B180" s="46">
        <f>IF(A180="","",YEAR(A180)&amp;" Q"&amp;ROUNDUP(MONTH(A180)/3,0))</f>
        <v/>
      </c>
      <c r="C180" s="47" t="n"/>
      <c r="D180" s="47" t="n"/>
      <c r="E180" s="47" t="n"/>
      <c r="F180" s="47" t="n"/>
      <c r="G180" s="48" t="n"/>
      <c r="H180" s="49" t="n"/>
      <c r="I180" s="50">
        <f>IF(G180="","",ROUND(G180*H180,2))</f>
        <v/>
      </c>
      <c r="J180" s="50">
        <f>IF(G180="","",G180+N(I180))</f>
        <v/>
      </c>
      <c r="K180" s="45" t="n"/>
      <c r="L180" s="47" t="n"/>
      <c r="M180" s="48" t="n"/>
      <c r="N180" s="49" t="n"/>
      <c r="O180" s="50">
        <f>IF(M180="","",ROUND(M180*N180,2))</f>
        <v/>
      </c>
      <c r="P180" s="50">
        <f>IF(M180="","",M180+N(O180))</f>
        <v/>
      </c>
      <c r="Q180" s="45" t="n"/>
      <c r="R180" s="45" t="n"/>
      <c r="S180" s="51">
        <f>IF(L180="","",IF(COUNTIF(L$6:L180,L180)&gt;1,"",SUMIF(L$6:L$2000,L180,M$6:M$2000)-SUMIF(L$6:L$2000,L180,G$6:G$2000)))</f>
        <v/>
      </c>
      <c r="T180" s="46">
        <f>IF(AND(C180="",G180=""),"",IF(L180="","Nog factureren",IF(AND(G180&lt;&gt;"",OR(K180="",K180&gt;TODAY())),"Nog betalen",IF(OR(R180="",R180&gt;TODAY()),"Wacht op klant","Afgerond"))))</f>
        <v/>
      </c>
    </row>
    <row r="181">
      <c r="A181" s="45" t="n"/>
      <c r="B181" s="46">
        <f>IF(A181="","",YEAR(A181)&amp;" Q"&amp;ROUNDUP(MONTH(A181)/3,0))</f>
        <v/>
      </c>
      <c r="C181" s="47" t="n"/>
      <c r="D181" s="47" t="n"/>
      <c r="E181" s="47" t="n"/>
      <c r="F181" s="47" t="n"/>
      <c r="G181" s="48" t="n"/>
      <c r="H181" s="49" t="n"/>
      <c r="I181" s="50">
        <f>IF(G181="","",ROUND(G181*H181,2))</f>
        <v/>
      </c>
      <c r="J181" s="50">
        <f>IF(G181="","",G181+N(I181))</f>
        <v/>
      </c>
      <c r="K181" s="45" t="n"/>
      <c r="L181" s="47" t="n"/>
      <c r="M181" s="48" t="n"/>
      <c r="N181" s="49" t="n"/>
      <c r="O181" s="50">
        <f>IF(M181="","",ROUND(M181*N181,2))</f>
        <v/>
      </c>
      <c r="P181" s="50">
        <f>IF(M181="","",M181+N(O181))</f>
        <v/>
      </c>
      <c r="Q181" s="45" t="n"/>
      <c r="R181" s="45" t="n"/>
      <c r="S181" s="51">
        <f>IF(L181="","",IF(COUNTIF(L$6:L181,L181)&gt;1,"",SUMIF(L$6:L$2000,L181,M$6:M$2000)-SUMIF(L$6:L$2000,L181,G$6:G$2000)))</f>
        <v/>
      </c>
      <c r="T181" s="46">
        <f>IF(AND(C181="",G181=""),"",IF(L181="","Nog factureren",IF(AND(G181&lt;&gt;"",OR(K181="",K181&gt;TODAY())),"Nog betalen",IF(OR(R181="",R181&gt;TODAY()),"Wacht op klant","Afgerond"))))</f>
        <v/>
      </c>
    </row>
    <row r="182">
      <c r="A182" s="45" t="n"/>
      <c r="B182" s="46">
        <f>IF(A182="","",YEAR(A182)&amp;" Q"&amp;ROUNDUP(MONTH(A182)/3,0))</f>
        <v/>
      </c>
      <c r="C182" s="47" t="n"/>
      <c r="D182" s="47" t="n"/>
      <c r="E182" s="47" t="n"/>
      <c r="F182" s="47" t="n"/>
      <c r="G182" s="48" t="n"/>
      <c r="H182" s="49" t="n"/>
      <c r="I182" s="50">
        <f>IF(G182="","",ROUND(G182*H182,2))</f>
        <v/>
      </c>
      <c r="J182" s="50">
        <f>IF(G182="","",G182+N(I182))</f>
        <v/>
      </c>
      <c r="K182" s="45" t="n"/>
      <c r="L182" s="47" t="n"/>
      <c r="M182" s="48" t="n"/>
      <c r="N182" s="49" t="n"/>
      <c r="O182" s="50">
        <f>IF(M182="","",ROUND(M182*N182,2))</f>
        <v/>
      </c>
      <c r="P182" s="50">
        <f>IF(M182="","",M182+N(O182))</f>
        <v/>
      </c>
      <c r="Q182" s="45" t="n"/>
      <c r="R182" s="45" t="n"/>
      <c r="S182" s="51">
        <f>IF(L182="","",IF(COUNTIF(L$6:L182,L182)&gt;1,"",SUMIF(L$6:L$2000,L182,M$6:M$2000)-SUMIF(L$6:L$2000,L182,G$6:G$2000)))</f>
        <v/>
      </c>
      <c r="T182" s="46">
        <f>IF(AND(C182="",G182=""),"",IF(L182="","Nog factureren",IF(AND(G182&lt;&gt;"",OR(K182="",K182&gt;TODAY())),"Nog betalen",IF(OR(R182="",R182&gt;TODAY()),"Wacht op klant","Afgerond"))))</f>
        <v/>
      </c>
    </row>
    <row r="183">
      <c r="A183" s="45" t="n"/>
      <c r="B183" s="46">
        <f>IF(A183="","",YEAR(A183)&amp;" Q"&amp;ROUNDUP(MONTH(A183)/3,0))</f>
        <v/>
      </c>
      <c r="C183" s="47" t="n"/>
      <c r="D183" s="47" t="n"/>
      <c r="E183" s="47" t="n"/>
      <c r="F183" s="47" t="n"/>
      <c r="G183" s="48" t="n"/>
      <c r="H183" s="49" t="n"/>
      <c r="I183" s="50">
        <f>IF(G183="","",ROUND(G183*H183,2))</f>
        <v/>
      </c>
      <c r="J183" s="50">
        <f>IF(G183="","",G183+N(I183))</f>
        <v/>
      </c>
      <c r="K183" s="45" t="n"/>
      <c r="L183" s="47" t="n"/>
      <c r="M183" s="48" t="n"/>
      <c r="N183" s="49" t="n"/>
      <c r="O183" s="50">
        <f>IF(M183="","",ROUND(M183*N183,2))</f>
        <v/>
      </c>
      <c r="P183" s="50">
        <f>IF(M183="","",M183+N(O183))</f>
        <v/>
      </c>
      <c r="Q183" s="45" t="n"/>
      <c r="R183" s="45" t="n"/>
      <c r="S183" s="51">
        <f>IF(L183="","",IF(COUNTIF(L$6:L183,L183)&gt;1,"",SUMIF(L$6:L$2000,L183,M$6:M$2000)-SUMIF(L$6:L$2000,L183,G$6:G$2000)))</f>
        <v/>
      </c>
      <c r="T183" s="46">
        <f>IF(AND(C183="",G183=""),"",IF(L183="","Nog factureren",IF(AND(G183&lt;&gt;"",OR(K183="",K183&gt;TODAY())),"Nog betalen",IF(OR(R183="",R183&gt;TODAY()),"Wacht op klant","Afgerond"))))</f>
        <v/>
      </c>
    </row>
    <row r="184">
      <c r="A184" s="45" t="n"/>
      <c r="B184" s="46">
        <f>IF(A184="","",YEAR(A184)&amp;" Q"&amp;ROUNDUP(MONTH(A184)/3,0))</f>
        <v/>
      </c>
      <c r="C184" s="47" t="n"/>
      <c r="D184" s="47" t="n"/>
      <c r="E184" s="47" t="n"/>
      <c r="F184" s="47" t="n"/>
      <c r="G184" s="48" t="n"/>
      <c r="H184" s="49" t="n"/>
      <c r="I184" s="50">
        <f>IF(G184="","",ROUND(G184*H184,2))</f>
        <v/>
      </c>
      <c r="J184" s="50">
        <f>IF(G184="","",G184+N(I184))</f>
        <v/>
      </c>
      <c r="K184" s="45" t="n"/>
      <c r="L184" s="47" t="n"/>
      <c r="M184" s="48" t="n"/>
      <c r="N184" s="49" t="n"/>
      <c r="O184" s="50">
        <f>IF(M184="","",ROUND(M184*N184,2))</f>
        <v/>
      </c>
      <c r="P184" s="50">
        <f>IF(M184="","",M184+N(O184))</f>
        <v/>
      </c>
      <c r="Q184" s="45" t="n"/>
      <c r="R184" s="45" t="n"/>
      <c r="S184" s="51">
        <f>IF(L184="","",IF(COUNTIF(L$6:L184,L184)&gt;1,"",SUMIF(L$6:L$2000,L184,M$6:M$2000)-SUMIF(L$6:L$2000,L184,G$6:G$2000)))</f>
        <v/>
      </c>
      <c r="T184" s="46">
        <f>IF(AND(C184="",G184=""),"",IF(L184="","Nog factureren",IF(AND(G184&lt;&gt;"",OR(K184="",K184&gt;TODAY())),"Nog betalen",IF(OR(R184="",R184&gt;TODAY()),"Wacht op klant","Afgerond"))))</f>
        <v/>
      </c>
    </row>
    <row r="185">
      <c r="A185" s="45" t="n"/>
      <c r="B185" s="46">
        <f>IF(A185="","",YEAR(A185)&amp;" Q"&amp;ROUNDUP(MONTH(A185)/3,0))</f>
        <v/>
      </c>
      <c r="C185" s="47" t="n"/>
      <c r="D185" s="47" t="n"/>
      <c r="E185" s="47" t="n"/>
      <c r="F185" s="47" t="n"/>
      <c r="G185" s="48" t="n"/>
      <c r="H185" s="49" t="n"/>
      <c r="I185" s="50">
        <f>IF(G185="","",ROUND(G185*H185,2))</f>
        <v/>
      </c>
      <c r="J185" s="50">
        <f>IF(G185="","",G185+N(I185))</f>
        <v/>
      </c>
      <c r="K185" s="45" t="n"/>
      <c r="L185" s="47" t="n"/>
      <c r="M185" s="48" t="n"/>
      <c r="N185" s="49" t="n"/>
      <c r="O185" s="50">
        <f>IF(M185="","",ROUND(M185*N185,2))</f>
        <v/>
      </c>
      <c r="P185" s="50">
        <f>IF(M185="","",M185+N(O185))</f>
        <v/>
      </c>
      <c r="Q185" s="45" t="n"/>
      <c r="R185" s="45" t="n"/>
      <c r="S185" s="51">
        <f>IF(L185="","",IF(COUNTIF(L$6:L185,L185)&gt;1,"",SUMIF(L$6:L$2000,L185,M$6:M$2000)-SUMIF(L$6:L$2000,L185,G$6:G$2000)))</f>
        <v/>
      </c>
      <c r="T185" s="46">
        <f>IF(AND(C185="",G185=""),"",IF(L185="","Nog factureren",IF(AND(G185&lt;&gt;"",OR(K185="",K185&gt;TODAY())),"Nog betalen",IF(OR(R185="",R185&gt;TODAY()),"Wacht op klant","Afgerond"))))</f>
        <v/>
      </c>
    </row>
    <row r="186">
      <c r="A186" s="45" t="n"/>
      <c r="B186" s="46">
        <f>IF(A186="","",YEAR(A186)&amp;" Q"&amp;ROUNDUP(MONTH(A186)/3,0))</f>
        <v/>
      </c>
      <c r="C186" s="47" t="n"/>
      <c r="D186" s="47" t="n"/>
      <c r="E186" s="47" t="n"/>
      <c r="F186" s="47" t="n"/>
      <c r="G186" s="48" t="n"/>
      <c r="H186" s="49" t="n"/>
      <c r="I186" s="50">
        <f>IF(G186="","",ROUND(G186*H186,2))</f>
        <v/>
      </c>
      <c r="J186" s="50">
        <f>IF(G186="","",G186+N(I186))</f>
        <v/>
      </c>
      <c r="K186" s="45" t="n"/>
      <c r="L186" s="47" t="n"/>
      <c r="M186" s="48" t="n"/>
      <c r="N186" s="49" t="n"/>
      <c r="O186" s="50">
        <f>IF(M186="","",ROUND(M186*N186,2))</f>
        <v/>
      </c>
      <c r="P186" s="50">
        <f>IF(M186="","",M186+N(O186))</f>
        <v/>
      </c>
      <c r="Q186" s="45" t="n"/>
      <c r="R186" s="45" t="n"/>
      <c r="S186" s="51">
        <f>IF(L186="","",IF(COUNTIF(L$6:L186,L186)&gt;1,"",SUMIF(L$6:L$2000,L186,M$6:M$2000)-SUMIF(L$6:L$2000,L186,G$6:G$2000)))</f>
        <v/>
      </c>
      <c r="T186" s="46">
        <f>IF(AND(C186="",G186=""),"",IF(L186="","Nog factureren",IF(AND(G186&lt;&gt;"",OR(K186="",K186&gt;TODAY())),"Nog betalen",IF(OR(R186="",R186&gt;TODAY()),"Wacht op klant","Afgerond"))))</f>
        <v/>
      </c>
    </row>
    <row r="187">
      <c r="A187" s="45" t="n"/>
      <c r="B187" s="46">
        <f>IF(A187="","",YEAR(A187)&amp;" Q"&amp;ROUNDUP(MONTH(A187)/3,0))</f>
        <v/>
      </c>
      <c r="C187" s="47" t="n"/>
      <c r="D187" s="47" t="n"/>
      <c r="E187" s="47" t="n"/>
      <c r="F187" s="47" t="n"/>
      <c r="G187" s="48" t="n"/>
      <c r="H187" s="49" t="n"/>
      <c r="I187" s="50">
        <f>IF(G187="","",ROUND(G187*H187,2))</f>
        <v/>
      </c>
      <c r="J187" s="50">
        <f>IF(G187="","",G187+N(I187))</f>
        <v/>
      </c>
      <c r="K187" s="45" t="n"/>
      <c r="L187" s="47" t="n"/>
      <c r="M187" s="48" t="n"/>
      <c r="N187" s="49" t="n"/>
      <c r="O187" s="50">
        <f>IF(M187="","",ROUND(M187*N187,2))</f>
        <v/>
      </c>
      <c r="P187" s="50">
        <f>IF(M187="","",M187+N(O187))</f>
        <v/>
      </c>
      <c r="Q187" s="45" t="n"/>
      <c r="R187" s="45" t="n"/>
      <c r="S187" s="51">
        <f>IF(L187="","",IF(COUNTIF(L$6:L187,L187)&gt;1,"",SUMIF(L$6:L$2000,L187,M$6:M$2000)-SUMIF(L$6:L$2000,L187,G$6:G$2000)))</f>
        <v/>
      </c>
      <c r="T187" s="46">
        <f>IF(AND(C187="",G187=""),"",IF(L187="","Nog factureren",IF(AND(G187&lt;&gt;"",OR(K187="",K187&gt;TODAY())),"Nog betalen",IF(OR(R187="",R187&gt;TODAY()),"Wacht op klant","Afgerond"))))</f>
        <v/>
      </c>
    </row>
    <row r="188">
      <c r="A188" s="45" t="n"/>
      <c r="B188" s="46">
        <f>IF(A188="","",YEAR(A188)&amp;" Q"&amp;ROUNDUP(MONTH(A188)/3,0))</f>
        <v/>
      </c>
      <c r="C188" s="47" t="n"/>
      <c r="D188" s="47" t="n"/>
      <c r="E188" s="47" t="n"/>
      <c r="F188" s="47" t="n"/>
      <c r="G188" s="48" t="n"/>
      <c r="H188" s="49" t="n"/>
      <c r="I188" s="50">
        <f>IF(G188="","",ROUND(G188*H188,2))</f>
        <v/>
      </c>
      <c r="J188" s="50">
        <f>IF(G188="","",G188+N(I188))</f>
        <v/>
      </c>
      <c r="K188" s="45" t="n"/>
      <c r="L188" s="47" t="n"/>
      <c r="M188" s="48" t="n"/>
      <c r="N188" s="49" t="n"/>
      <c r="O188" s="50">
        <f>IF(M188="","",ROUND(M188*N188,2))</f>
        <v/>
      </c>
      <c r="P188" s="50">
        <f>IF(M188="","",M188+N(O188))</f>
        <v/>
      </c>
      <c r="Q188" s="45" t="n"/>
      <c r="R188" s="45" t="n"/>
      <c r="S188" s="51">
        <f>IF(L188="","",IF(COUNTIF(L$6:L188,L188)&gt;1,"",SUMIF(L$6:L$2000,L188,M$6:M$2000)-SUMIF(L$6:L$2000,L188,G$6:G$2000)))</f>
        <v/>
      </c>
      <c r="T188" s="46">
        <f>IF(AND(C188="",G188=""),"",IF(L188="","Nog factureren",IF(AND(G188&lt;&gt;"",OR(K188="",K188&gt;TODAY())),"Nog betalen",IF(OR(R188="",R188&gt;TODAY()),"Wacht op klant","Afgerond"))))</f>
        <v/>
      </c>
    </row>
    <row r="189">
      <c r="A189" s="45" t="n"/>
      <c r="B189" s="46">
        <f>IF(A189="","",YEAR(A189)&amp;" Q"&amp;ROUNDUP(MONTH(A189)/3,0))</f>
        <v/>
      </c>
      <c r="C189" s="47" t="n"/>
      <c r="D189" s="47" t="n"/>
      <c r="E189" s="47" t="n"/>
      <c r="F189" s="47" t="n"/>
      <c r="G189" s="48" t="n"/>
      <c r="H189" s="49" t="n"/>
      <c r="I189" s="50">
        <f>IF(G189="","",ROUND(G189*H189,2))</f>
        <v/>
      </c>
      <c r="J189" s="50">
        <f>IF(G189="","",G189+N(I189))</f>
        <v/>
      </c>
      <c r="K189" s="45" t="n"/>
      <c r="L189" s="47" t="n"/>
      <c r="M189" s="48" t="n"/>
      <c r="N189" s="49" t="n"/>
      <c r="O189" s="50">
        <f>IF(M189="","",ROUND(M189*N189,2))</f>
        <v/>
      </c>
      <c r="P189" s="50">
        <f>IF(M189="","",M189+N(O189))</f>
        <v/>
      </c>
      <c r="Q189" s="45" t="n"/>
      <c r="R189" s="45" t="n"/>
      <c r="S189" s="51">
        <f>IF(L189="","",IF(COUNTIF(L$6:L189,L189)&gt;1,"",SUMIF(L$6:L$2000,L189,M$6:M$2000)-SUMIF(L$6:L$2000,L189,G$6:G$2000)))</f>
        <v/>
      </c>
      <c r="T189" s="46">
        <f>IF(AND(C189="",G189=""),"",IF(L189="","Nog factureren",IF(AND(G189&lt;&gt;"",OR(K189="",K189&gt;TODAY())),"Nog betalen",IF(OR(R189="",R189&gt;TODAY()),"Wacht op klant","Afgerond"))))</f>
        <v/>
      </c>
    </row>
    <row r="190">
      <c r="A190" s="45" t="n"/>
      <c r="B190" s="46">
        <f>IF(A190="","",YEAR(A190)&amp;" Q"&amp;ROUNDUP(MONTH(A190)/3,0))</f>
        <v/>
      </c>
      <c r="C190" s="47" t="n"/>
      <c r="D190" s="47" t="n"/>
      <c r="E190" s="47" t="n"/>
      <c r="F190" s="47" t="n"/>
      <c r="G190" s="48" t="n"/>
      <c r="H190" s="49" t="n"/>
      <c r="I190" s="50">
        <f>IF(G190="","",ROUND(G190*H190,2))</f>
        <v/>
      </c>
      <c r="J190" s="50">
        <f>IF(G190="","",G190+N(I190))</f>
        <v/>
      </c>
      <c r="K190" s="45" t="n"/>
      <c r="L190" s="47" t="n"/>
      <c r="M190" s="48" t="n"/>
      <c r="N190" s="49" t="n"/>
      <c r="O190" s="50">
        <f>IF(M190="","",ROUND(M190*N190,2))</f>
        <v/>
      </c>
      <c r="P190" s="50">
        <f>IF(M190="","",M190+N(O190))</f>
        <v/>
      </c>
      <c r="Q190" s="45" t="n"/>
      <c r="R190" s="45" t="n"/>
      <c r="S190" s="51">
        <f>IF(L190="","",IF(COUNTIF(L$6:L190,L190)&gt;1,"",SUMIF(L$6:L$2000,L190,M$6:M$2000)-SUMIF(L$6:L$2000,L190,G$6:G$2000)))</f>
        <v/>
      </c>
      <c r="T190" s="46">
        <f>IF(AND(C190="",G190=""),"",IF(L190="","Nog factureren",IF(AND(G190&lt;&gt;"",OR(K190="",K190&gt;TODAY())),"Nog betalen",IF(OR(R190="",R190&gt;TODAY()),"Wacht op klant","Afgerond"))))</f>
        <v/>
      </c>
    </row>
    <row r="191">
      <c r="A191" s="45" t="n"/>
      <c r="B191" s="46">
        <f>IF(A191="","",YEAR(A191)&amp;" Q"&amp;ROUNDUP(MONTH(A191)/3,0))</f>
        <v/>
      </c>
      <c r="C191" s="47" t="n"/>
      <c r="D191" s="47" t="n"/>
      <c r="E191" s="47" t="n"/>
      <c r="F191" s="47" t="n"/>
      <c r="G191" s="48" t="n"/>
      <c r="H191" s="49" t="n"/>
      <c r="I191" s="50">
        <f>IF(G191="","",ROUND(G191*H191,2))</f>
        <v/>
      </c>
      <c r="J191" s="50">
        <f>IF(G191="","",G191+N(I191))</f>
        <v/>
      </c>
      <c r="K191" s="45" t="n"/>
      <c r="L191" s="47" t="n"/>
      <c r="M191" s="48" t="n"/>
      <c r="N191" s="49" t="n"/>
      <c r="O191" s="50">
        <f>IF(M191="","",ROUND(M191*N191,2))</f>
        <v/>
      </c>
      <c r="P191" s="50">
        <f>IF(M191="","",M191+N(O191))</f>
        <v/>
      </c>
      <c r="Q191" s="45" t="n"/>
      <c r="R191" s="45" t="n"/>
      <c r="S191" s="51">
        <f>IF(L191="","",IF(COUNTIF(L$6:L191,L191)&gt;1,"",SUMIF(L$6:L$2000,L191,M$6:M$2000)-SUMIF(L$6:L$2000,L191,G$6:G$2000)))</f>
        <v/>
      </c>
      <c r="T191" s="46">
        <f>IF(AND(C191="",G191=""),"",IF(L191="","Nog factureren",IF(AND(G191&lt;&gt;"",OR(K191="",K191&gt;TODAY())),"Nog betalen",IF(OR(R191="",R191&gt;TODAY()),"Wacht op klant","Afgerond"))))</f>
        <v/>
      </c>
    </row>
    <row r="192">
      <c r="A192" s="45" t="n"/>
      <c r="B192" s="46">
        <f>IF(A192="","",YEAR(A192)&amp;" Q"&amp;ROUNDUP(MONTH(A192)/3,0))</f>
        <v/>
      </c>
      <c r="C192" s="47" t="n"/>
      <c r="D192" s="47" t="n"/>
      <c r="E192" s="47" t="n"/>
      <c r="F192" s="47" t="n"/>
      <c r="G192" s="48" t="n"/>
      <c r="H192" s="49" t="n"/>
      <c r="I192" s="50">
        <f>IF(G192="","",ROUND(G192*H192,2))</f>
        <v/>
      </c>
      <c r="J192" s="50">
        <f>IF(G192="","",G192+N(I192))</f>
        <v/>
      </c>
      <c r="K192" s="45" t="n"/>
      <c r="L192" s="47" t="n"/>
      <c r="M192" s="48" t="n"/>
      <c r="N192" s="49" t="n"/>
      <c r="O192" s="50">
        <f>IF(M192="","",ROUND(M192*N192,2))</f>
        <v/>
      </c>
      <c r="P192" s="50">
        <f>IF(M192="","",M192+N(O192))</f>
        <v/>
      </c>
      <c r="Q192" s="45" t="n"/>
      <c r="R192" s="45" t="n"/>
      <c r="S192" s="51">
        <f>IF(L192="","",IF(COUNTIF(L$6:L192,L192)&gt;1,"",SUMIF(L$6:L$2000,L192,M$6:M$2000)-SUMIF(L$6:L$2000,L192,G$6:G$2000)))</f>
        <v/>
      </c>
      <c r="T192" s="46">
        <f>IF(AND(C192="",G192=""),"",IF(L192="","Nog factureren",IF(AND(G192&lt;&gt;"",OR(K192="",K192&gt;TODAY())),"Nog betalen",IF(OR(R192="",R192&gt;TODAY()),"Wacht op klant","Afgerond"))))</f>
        <v/>
      </c>
    </row>
    <row r="193">
      <c r="A193" s="45" t="n"/>
      <c r="B193" s="46">
        <f>IF(A193="","",YEAR(A193)&amp;" Q"&amp;ROUNDUP(MONTH(A193)/3,0))</f>
        <v/>
      </c>
      <c r="C193" s="47" t="n"/>
      <c r="D193" s="47" t="n"/>
      <c r="E193" s="47" t="n"/>
      <c r="F193" s="47" t="n"/>
      <c r="G193" s="48" t="n"/>
      <c r="H193" s="49" t="n"/>
      <c r="I193" s="50">
        <f>IF(G193="","",ROUND(G193*H193,2))</f>
        <v/>
      </c>
      <c r="J193" s="50">
        <f>IF(G193="","",G193+N(I193))</f>
        <v/>
      </c>
      <c r="K193" s="45" t="n"/>
      <c r="L193" s="47" t="n"/>
      <c r="M193" s="48" t="n"/>
      <c r="N193" s="49" t="n"/>
      <c r="O193" s="50">
        <f>IF(M193="","",ROUND(M193*N193,2))</f>
        <v/>
      </c>
      <c r="P193" s="50">
        <f>IF(M193="","",M193+N(O193))</f>
        <v/>
      </c>
      <c r="Q193" s="45" t="n"/>
      <c r="R193" s="45" t="n"/>
      <c r="S193" s="51">
        <f>IF(L193="","",IF(COUNTIF(L$6:L193,L193)&gt;1,"",SUMIF(L$6:L$2000,L193,M$6:M$2000)-SUMIF(L$6:L$2000,L193,G$6:G$2000)))</f>
        <v/>
      </c>
      <c r="T193" s="46">
        <f>IF(AND(C193="",G193=""),"",IF(L193="","Nog factureren",IF(AND(G193&lt;&gt;"",OR(K193="",K193&gt;TODAY())),"Nog betalen",IF(OR(R193="",R193&gt;TODAY()),"Wacht op klant","Afgerond"))))</f>
        <v/>
      </c>
    </row>
    <row r="194">
      <c r="A194" s="45" t="n"/>
      <c r="B194" s="46">
        <f>IF(A194="","",YEAR(A194)&amp;" Q"&amp;ROUNDUP(MONTH(A194)/3,0))</f>
        <v/>
      </c>
      <c r="C194" s="47" t="n"/>
      <c r="D194" s="47" t="n"/>
      <c r="E194" s="47" t="n"/>
      <c r="F194" s="47" t="n"/>
      <c r="G194" s="48" t="n"/>
      <c r="H194" s="49" t="n"/>
      <c r="I194" s="50">
        <f>IF(G194="","",ROUND(G194*H194,2))</f>
        <v/>
      </c>
      <c r="J194" s="50">
        <f>IF(G194="","",G194+N(I194))</f>
        <v/>
      </c>
      <c r="K194" s="45" t="n"/>
      <c r="L194" s="47" t="n"/>
      <c r="M194" s="48" t="n"/>
      <c r="N194" s="49" t="n"/>
      <c r="O194" s="50">
        <f>IF(M194="","",ROUND(M194*N194,2))</f>
        <v/>
      </c>
      <c r="P194" s="50">
        <f>IF(M194="","",M194+N(O194))</f>
        <v/>
      </c>
      <c r="Q194" s="45" t="n"/>
      <c r="R194" s="45" t="n"/>
      <c r="S194" s="51">
        <f>IF(L194="","",IF(COUNTIF(L$6:L194,L194)&gt;1,"",SUMIF(L$6:L$2000,L194,M$6:M$2000)-SUMIF(L$6:L$2000,L194,G$6:G$2000)))</f>
        <v/>
      </c>
      <c r="T194" s="46">
        <f>IF(AND(C194="",G194=""),"",IF(L194="","Nog factureren",IF(AND(G194&lt;&gt;"",OR(K194="",K194&gt;TODAY())),"Nog betalen",IF(OR(R194="",R194&gt;TODAY()),"Wacht op klant","Afgerond"))))</f>
        <v/>
      </c>
    </row>
    <row r="195">
      <c r="A195" s="45" t="n"/>
      <c r="B195" s="46">
        <f>IF(A195="","",YEAR(A195)&amp;" Q"&amp;ROUNDUP(MONTH(A195)/3,0))</f>
        <v/>
      </c>
      <c r="C195" s="47" t="n"/>
      <c r="D195" s="47" t="n"/>
      <c r="E195" s="47" t="n"/>
      <c r="F195" s="47" t="n"/>
      <c r="G195" s="48" t="n"/>
      <c r="H195" s="49" t="n"/>
      <c r="I195" s="50">
        <f>IF(G195="","",ROUND(G195*H195,2))</f>
        <v/>
      </c>
      <c r="J195" s="50">
        <f>IF(G195="","",G195+N(I195))</f>
        <v/>
      </c>
      <c r="K195" s="45" t="n"/>
      <c r="L195" s="47" t="n"/>
      <c r="M195" s="48" t="n"/>
      <c r="N195" s="49" t="n"/>
      <c r="O195" s="50">
        <f>IF(M195="","",ROUND(M195*N195,2))</f>
        <v/>
      </c>
      <c r="P195" s="50">
        <f>IF(M195="","",M195+N(O195))</f>
        <v/>
      </c>
      <c r="Q195" s="45" t="n"/>
      <c r="R195" s="45" t="n"/>
      <c r="S195" s="51">
        <f>IF(L195="","",IF(COUNTIF(L$6:L195,L195)&gt;1,"",SUMIF(L$6:L$2000,L195,M$6:M$2000)-SUMIF(L$6:L$2000,L195,G$6:G$2000)))</f>
        <v/>
      </c>
      <c r="T195" s="46">
        <f>IF(AND(C195="",G195=""),"",IF(L195="","Nog factureren",IF(AND(G195&lt;&gt;"",OR(K195="",K195&gt;TODAY())),"Nog betalen",IF(OR(R195="",R195&gt;TODAY()),"Wacht op klant","Afgerond"))))</f>
        <v/>
      </c>
    </row>
    <row r="196">
      <c r="A196" s="45" t="n"/>
      <c r="B196" s="46">
        <f>IF(A196="","",YEAR(A196)&amp;" Q"&amp;ROUNDUP(MONTH(A196)/3,0))</f>
        <v/>
      </c>
      <c r="C196" s="47" t="n"/>
      <c r="D196" s="47" t="n"/>
      <c r="E196" s="47" t="n"/>
      <c r="F196" s="47" t="n"/>
      <c r="G196" s="48" t="n"/>
      <c r="H196" s="49" t="n"/>
      <c r="I196" s="50">
        <f>IF(G196="","",ROUND(G196*H196,2))</f>
        <v/>
      </c>
      <c r="J196" s="50">
        <f>IF(G196="","",G196+N(I196))</f>
        <v/>
      </c>
      <c r="K196" s="45" t="n"/>
      <c r="L196" s="47" t="n"/>
      <c r="M196" s="48" t="n"/>
      <c r="N196" s="49" t="n"/>
      <c r="O196" s="50">
        <f>IF(M196="","",ROUND(M196*N196,2))</f>
        <v/>
      </c>
      <c r="P196" s="50">
        <f>IF(M196="","",M196+N(O196))</f>
        <v/>
      </c>
      <c r="Q196" s="45" t="n"/>
      <c r="R196" s="45" t="n"/>
      <c r="S196" s="51">
        <f>IF(L196="","",IF(COUNTIF(L$6:L196,L196)&gt;1,"",SUMIF(L$6:L$2000,L196,M$6:M$2000)-SUMIF(L$6:L$2000,L196,G$6:G$2000)))</f>
        <v/>
      </c>
      <c r="T196" s="46">
        <f>IF(AND(C196="",G196=""),"",IF(L196="","Nog factureren",IF(AND(G196&lt;&gt;"",OR(K196="",K196&gt;TODAY())),"Nog betalen",IF(OR(R196="",R196&gt;TODAY()),"Wacht op klant","Afgerond"))))</f>
        <v/>
      </c>
    </row>
    <row r="197">
      <c r="A197" s="45" t="n"/>
      <c r="B197" s="46">
        <f>IF(A197="","",YEAR(A197)&amp;" Q"&amp;ROUNDUP(MONTH(A197)/3,0))</f>
        <v/>
      </c>
      <c r="C197" s="47" t="n"/>
      <c r="D197" s="47" t="n"/>
      <c r="E197" s="47" t="n"/>
      <c r="F197" s="47" t="n"/>
      <c r="G197" s="48" t="n"/>
      <c r="H197" s="49" t="n"/>
      <c r="I197" s="50">
        <f>IF(G197="","",ROUND(G197*H197,2))</f>
        <v/>
      </c>
      <c r="J197" s="50">
        <f>IF(G197="","",G197+N(I197))</f>
        <v/>
      </c>
      <c r="K197" s="45" t="n"/>
      <c r="L197" s="47" t="n"/>
      <c r="M197" s="48" t="n"/>
      <c r="N197" s="49" t="n"/>
      <c r="O197" s="50">
        <f>IF(M197="","",ROUND(M197*N197,2))</f>
        <v/>
      </c>
      <c r="P197" s="50">
        <f>IF(M197="","",M197+N(O197))</f>
        <v/>
      </c>
      <c r="Q197" s="45" t="n"/>
      <c r="R197" s="45" t="n"/>
      <c r="S197" s="51">
        <f>IF(L197="","",IF(COUNTIF(L$6:L197,L197)&gt;1,"",SUMIF(L$6:L$2000,L197,M$6:M$2000)-SUMIF(L$6:L$2000,L197,G$6:G$2000)))</f>
        <v/>
      </c>
      <c r="T197" s="46">
        <f>IF(AND(C197="",G197=""),"",IF(L197="","Nog factureren",IF(AND(G197&lt;&gt;"",OR(K197="",K197&gt;TODAY())),"Nog betalen",IF(OR(R197="",R197&gt;TODAY()),"Wacht op klant","Afgerond"))))</f>
        <v/>
      </c>
    </row>
    <row r="198">
      <c r="A198" s="45" t="n"/>
      <c r="B198" s="46">
        <f>IF(A198="","",YEAR(A198)&amp;" Q"&amp;ROUNDUP(MONTH(A198)/3,0))</f>
        <v/>
      </c>
      <c r="C198" s="47" t="n"/>
      <c r="D198" s="47" t="n"/>
      <c r="E198" s="47" t="n"/>
      <c r="F198" s="47" t="n"/>
      <c r="G198" s="48" t="n"/>
      <c r="H198" s="49" t="n"/>
      <c r="I198" s="50">
        <f>IF(G198="","",ROUND(G198*H198,2))</f>
        <v/>
      </c>
      <c r="J198" s="50">
        <f>IF(G198="","",G198+N(I198))</f>
        <v/>
      </c>
      <c r="K198" s="45" t="n"/>
      <c r="L198" s="47" t="n"/>
      <c r="M198" s="48" t="n"/>
      <c r="N198" s="49" t="n"/>
      <c r="O198" s="50">
        <f>IF(M198="","",ROUND(M198*N198,2))</f>
        <v/>
      </c>
      <c r="P198" s="50">
        <f>IF(M198="","",M198+N(O198))</f>
        <v/>
      </c>
      <c r="Q198" s="45" t="n"/>
      <c r="R198" s="45" t="n"/>
      <c r="S198" s="51">
        <f>IF(L198="","",IF(COUNTIF(L$6:L198,L198)&gt;1,"",SUMIF(L$6:L$2000,L198,M$6:M$2000)-SUMIF(L$6:L$2000,L198,G$6:G$2000)))</f>
        <v/>
      </c>
      <c r="T198" s="46">
        <f>IF(AND(C198="",G198=""),"",IF(L198="","Nog factureren",IF(AND(G198&lt;&gt;"",OR(K198="",K198&gt;TODAY())),"Nog betalen",IF(OR(R198="",R198&gt;TODAY()),"Wacht op klant","Afgerond"))))</f>
        <v/>
      </c>
    </row>
    <row r="199">
      <c r="A199" s="45" t="n"/>
      <c r="B199" s="46">
        <f>IF(A199="","",YEAR(A199)&amp;" Q"&amp;ROUNDUP(MONTH(A199)/3,0))</f>
        <v/>
      </c>
      <c r="C199" s="47" t="n"/>
      <c r="D199" s="47" t="n"/>
      <c r="E199" s="47" t="n"/>
      <c r="F199" s="47" t="n"/>
      <c r="G199" s="48" t="n"/>
      <c r="H199" s="49" t="n"/>
      <c r="I199" s="50">
        <f>IF(G199="","",ROUND(G199*H199,2))</f>
        <v/>
      </c>
      <c r="J199" s="50">
        <f>IF(G199="","",G199+N(I199))</f>
        <v/>
      </c>
      <c r="K199" s="45" t="n"/>
      <c r="L199" s="47" t="n"/>
      <c r="M199" s="48" t="n"/>
      <c r="N199" s="49" t="n"/>
      <c r="O199" s="50">
        <f>IF(M199="","",ROUND(M199*N199,2))</f>
        <v/>
      </c>
      <c r="P199" s="50">
        <f>IF(M199="","",M199+N(O199))</f>
        <v/>
      </c>
      <c r="Q199" s="45" t="n"/>
      <c r="R199" s="45" t="n"/>
      <c r="S199" s="51">
        <f>IF(L199="","",IF(COUNTIF(L$6:L199,L199)&gt;1,"",SUMIF(L$6:L$2000,L199,M$6:M$2000)-SUMIF(L$6:L$2000,L199,G$6:G$2000)))</f>
        <v/>
      </c>
      <c r="T199" s="46">
        <f>IF(AND(C199="",G199=""),"",IF(L199="","Nog factureren",IF(AND(G199&lt;&gt;"",OR(K199="",K199&gt;TODAY())),"Nog betalen",IF(OR(R199="",R199&gt;TODAY()),"Wacht op klant","Afgerond"))))</f>
        <v/>
      </c>
    </row>
    <row r="200">
      <c r="A200" s="45" t="n"/>
      <c r="B200" s="46">
        <f>IF(A200="","",YEAR(A200)&amp;" Q"&amp;ROUNDUP(MONTH(A200)/3,0))</f>
        <v/>
      </c>
      <c r="C200" s="47" t="n"/>
      <c r="D200" s="47" t="n"/>
      <c r="E200" s="47" t="n"/>
      <c r="F200" s="47" t="n"/>
      <c r="G200" s="48" t="n"/>
      <c r="H200" s="49" t="n"/>
      <c r="I200" s="50">
        <f>IF(G200="","",ROUND(G200*H200,2))</f>
        <v/>
      </c>
      <c r="J200" s="50">
        <f>IF(G200="","",G200+N(I200))</f>
        <v/>
      </c>
      <c r="K200" s="45" t="n"/>
      <c r="L200" s="47" t="n"/>
      <c r="M200" s="48" t="n"/>
      <c r="N200" s="49" t="n"/>
      <c r="O200" s="50">
        <f>IF(M200="","",ROUND(M200*N200,2))</f>
        <v/>
      </c>
      <c r="P200" s="50">
        <f>IF(M200="","",M200+N(O200))</f>
        <v/>
      </c>
      <c r="Q200" s="45" t="n"/>
      <c r="R200" s="45" t="n"/>
      <c r="S200" s="51">
        <f>IF(L200="","",IF(COUNTIF(L$6:L200,L200)&gt;1,"",SUMIF(L$6:L$2000,L200,M$6:M$2000)-SUMIF(L$6:L$2000,L200,G$6:G$2000)))</f>
        <v/>
      </c>
      <c r="T200" s="46">
        <f>IF(AND(C200="",G200=""),"",IF(L200="","Nog factureren",IF(AND(G200&lt;&gt;"",OR(K200="",K200&gt;TODAY())),"Nog betalen",IF(OR(R200="",R200&gt;TODAY()),"Wacht op klant","Afgerond"))))</f>
        <v/>
      </c>
    </row>
    <row r="201">
      <c r="A201" s="45" t="n"/>
      <c r="B201" s="46">
        <f>IF(A201="","",YEAR(A201)&amp;" Q"&amp;ROUNDUP(MONTH(A201)/3,0))</f>
        <v/>
      </c>
      <c r="C201" s="47" t="n"/>
      <c r="D201" s="47" t="n"/>
      <c r="E201" s="47" t="n"/>
      <c r="F201" s="47" t="n"/>
      <c r="G201" s="48" t="n"/>
      <c r="H201" s="49" t="n"/>
      <c r="I201" s="50">
        <f>IF(G201="","",ROUND(G201*H201,2))</f>
        <v/>
      </c>
      <c r="J201" s="50">
        <f>IF(G201="","",G201+N(I201))</f>
        <v/>
      </c>
      <c r="K201" s="45" t="n"/>
      <c r="L201" s="47" t="n"/>
      <c r="M201" s="48" t="n"/>
      <c r="N201" s="49" t="n"/>
      <c r="O201" s="50">
        <f>IF(M201="","",ROUND(M201*N201,2))</f>
        <v/>
      </c>
      <c r="P201" s="50">
        <f>IF(M201="","",M201+N(O201))</f>
        <v/>
      </c>
      <c r="Q201" s="45" t="n"/>
      <c r="R201" s="45" t="n"/>
      <c r="S201" s="51">
        <f>IF(L201="","",IF(COUNTIF(L$6:L201,L201)&gt;1,"",SUMIF(L$6:L$2000,L201,M$6:M$2000)-SUMIF(L$6:L$2000,L201,G$6:G$2000)))</f>
        <v/>
      </c>
      <c r="T201" s="46">
        <f>IF(AND(C201="",G201=""),"",IF(L201="","Nog factureren",IF(AND(G201&lt;&gt;"",OR(K201="",K201&gt;TODAY())),"Nog betalen",IF(OR(R201="",R201&gt;TODAY()),"Wacht op klant","Afgerond"))))</f>
        <v/>
      </c>
    </row>
    <row r="202">
      <c r="A202" s="45" t="n"/>
      <c r="B202" s="46">
        <f>IF(A202="","",YEAR(A202)&amp;" Q"&amp;ROUNDUP(MONTH(A202)/3,0))</f>
        <v/>
      </c>
      <c r="C202" s="47" t="n"/>
      <c r="D202" s="47" t="n"/>
      <c r="E202" s="47" t="n"/>
      <c r="F202" s="47" t="n"/>
      <c r="G202" s="48" t="n"/>
      <c r="H202" s="49" t="n"/>
      <c r="I202" s="50">
        <f>IF(G202="","",ROUND(G202*H202,2))</f>
        <v/>
      </c>
      <c r="J202" s="50">
        <f>IF(G202="","",G202+N(I202))</f>
        <v/>
      </c>
      <c r="K202" s="45" t="n"/>
      <c r="L202" s="47" t="n"/>
      <c r="M202" s="48" t="n"/>
      <c r="N202" s="49" t="n"/>
      <c r="O202" s="50">
        <f>IF(M202="","",ROUND(M202*N202,2))</f>
        <v/>
      </c>
      <c r="P202" s="50">
        <f>IF(M202="","",M202+N(O202))</f>
        <v/>
      </c>
      <c r="Q202" s="45" t="n"/>
      <c r="R202" s="45" t="n"/>
      <c r="S202" s="51">
        <f>IF(L202="","",IF(COUNTIF(L$6:L202,L202)&gt;1,"",SUMIF(L$6:L$2000,L202,M$6:M$2000)-SUMIF(L$6:L$2000,L202,G$6:G$2000)))</f>
        <v/>
      </c>
      <c r="T202" s="46">
        <f>IF(AND(C202="",G202=""),"",IF(L202="","Nog factureren",IF(AND(G202&lt;&gt;"",OR(K202="",K202&gt;TODAY())),"Nog betalen",IF(OR(R202="",R202&gt;TODAY()),"Wacht op klant","Afgerond"))))</f>
        <v/>
      </c>
    </row>
    <row r="203">
      <c r="A203" s="45" t="n"/>
      <c r="B203" s="46">
        <f>IF(A203="","",YEAR(A203)&amp;" Q"&amp;ROUNDUP(MONTH(A203)/3,0))</f>
        <v/>
      </c>
      <c r="C203" s="47" t="n"/>
      <c r="D203" s="47" t="n"/>
      <c r="E203" s="47" t="n"/>
      <c r="F203" s="47" t="n"/>
      <c r="G203" s="48" t="n"/>
      <c r="H203" s="49" t="n"/>
      <c r="I203" s="50">
        <f>IF(G203="","",ROUND(G203*H203,2))</f>
        <v/>
      </c>
      <c r="J203" s="50">
        <f>IF(G203="","",G203+N(I203))</f>
        <v/>
      </c>
      <c r="K203" s="45" t="n"/>
      <c r="L203" s="47" t="n"/>
      <c r="M203" s="48" t="n"/>
      <c r="N203" s="49" t="n"/>
      <c r="O203" s="50">
        <f>IF(M203="","",ROUND(M203*N203,2))</f>
        <v/>
      </c>
      <c r="P203" s="50">
        <f>IF(M203="","",M203+N(O203))</f>
        <v/>
      </c>
      <c r="Q203" s="45" t="n"/>
      <c r="R203" s="45" t="n"/>
      <c r="S203" s="51">
        <f>IF(L203="","",IF(COUNTIF(L$6:L203,L203)&gt;1,"",SUMIF(L$6:L$2000,L203,M$6:M$2000)-SUMIF(L$6:L$2000,L203,G$6:G$2000)))</f>
        <v/>
      </c>
      <c r="T203" s="46">
        <f>IF(AND(C203="",G203=""),"",IF(L203="","Nog factureren",IF(AND(G203&lt;&gt;"",OR(K203="",K203&gt;TODAY())),"Nog betalen",IF(OR(R203="",R203&gt;TODAY()),"Wacht op klant","Afgerond"))))</f>
        <v/>
      </c>
    </row>
    <row r="204">
      <c r="A204" s="45" t="n"/>
      <c r="B204" s="46">
        <f>IF(A204="","",YEAR(A204)&amp;" Q"&amp;ROUNDUP(MONTH(A204)/3,0))</f>
        <v/>
      </c>
      <c r="C204" s="47" t="n"/>
      <c r="D204" s="47" t="n"/>
      <c r="E204" s="47" t="n"/>
      <c r="F204" s="47" t="n"/>
      <c r="G204" s="48" t="n"/>
      <c r="H204" s="49" t="n"/>
      <c r="I204" s="50">
        <f>IF(G204="","",ROUND(G204*H204,2))</f>
        <v/>
      </c>
      <c r="J204" s="50">
        <f>IF(G204="","",G204+N(I204))</f>
        <v/>
      </c>
      <c r="K204" s="45" t="n"/>
      <c r="L204" s="47" t="n"/>
      <c r="M204" s="48" t="n"/>
      <c r="N204" s="49" t="n"/>
      <c r="O204" s="50">
        <f>IF(M204="","",ROUND(M204*N204,2))</f>
        <v/>
      </c>
      <c r="P204" s="50">
        <f>IF(M204="","",M204+N(O204))</f>
        <v/>
      </c>
      <c r="Q204" s="45" t="n"/>
      <c r="R204" s="45" t="n"/>
      <c r="S204" s="51">
        <f>IF(L204="","",IF(COUNTIF(L$6:L204,L204)&gt;1,"",SUMIF(L$6:L$2000,L204,M$6:M$2000)-SUMIF(L$6:L$2000,L204,G$6:G$2000)))</f>
        <v/>
      </c>
      <c r="T204" s="46">
        <f>IF(AND(C204="",G204=""),"",IF(L204="","Nog factureren",IF(AND(G204&lt;&gt;"",OR(K204="",K204&gt;TODAY())),"Nog betalen",IF(OR(R204="",R204&gt;TODAY()),"Wacht op klant","Afgerond"))))</f>
        <v/>
      </c>
    </row>
    <row r="205">
      <c r="A205" s="45" t="n"/>
      <c r="B205" s="46">
        <f>IF(A205="","",YEAR(A205)&amp;" Q"&amp;ROUNDUP(MONTH(A205)/3,0))</f>
        <v/>
      </c>
      <c r="C205" s="47" t="n"/>
      <c r="D205" s="47" t="n"/>
      <c r="E205" s="47" t="n"/>
      <c r="F205" s="47" t="n"/>
      <c r="G205" s="48" t="n"/>
      <c r="H205" s="49" t="n"/>
      <c r="I205" s="50">
        <f>IF(G205="","",ROUND(G205*H205,2))</f>
        <v/>
      </c>
      <c r="J205" s="50">
        <f>IF(G205="","",G205+N(I205))</f>
        <v/>
      </c>
      <c r="K205" s="45" t="n"/>
      <c r="L205" s="47" t="n"/>
      <c r="M205" s="48" t="n"/>
      <c r="N205" s="49" t="n"/>
      <c r="O205" s="50">
        <f>IF(M205="","",ROUND(M205*N205,2))</f>
        <v/>
      </c>
      <c r="P205" s="50">
        <f>IF(M205="","",M205+N(O205))</f>
        <v/>
      </c>
      <c r="Q205" s="45" t="n"/>
      <c r="R205" s="45" t="n"/>
      <c r="S205" s="51">
        <f>IF(L205="","",IF(COUNTIF(L$6:L205,L205)&gt;1,"",SUMIF(L$6:L$2000,L205,M$6:M$2000)-SUMIF(L$6:L$2000,L205,G$6:G$2000)))</f>
        <v/>
      </c>
      <c r="T205" s="46">
        <f>IF(AND(C205="",G205=""),"",IF(L205="","Nog factureren",IF(AND(G205&lt;&gt;"",OR(K205="",K205&gt;TODAY())),"Nog betalen",IF(OR(R205="",R205&gt;TODAY()),"Wacht op klant","Afgerond"))))</f>
        <v/>
      </c>
    </row>
    <row r="206">
      <c r="A206" s="45" t="n"/>
      <c r="B206" s="46">
        <f>IF(A206="","",YEAR(A206)&amp;" Q"&amp;ROUNDUP(MONTH(A206)/3,0))</f>
        <v/>
      </c>
      <c r="C206" s="47" t="n"/>
      <c r="D206" s="47" t="n"/>
      <c r="E206" s="47" t="n"/>
      <c r="F206" s="47" t="n"/>
      <c r="G206" s="48" t="n"/>
      <c r="H206" s="49" t="n"/>
      <c r="I206" s="50">
        <f>IF(G206="","",ROUND(G206*H206,2))</f>
        <v/>
      </c>
      <c r="J206" s="50">
        <f>IF(G206="","",G206+N(I206))</f>
        <v/>
      </c>
      <c r="K206" s="45" t="n"/>
      <c r="L206" s="47" t="n"/>
      <c r="M206" s="48" t="n"/>
      <c r="N206" s="49" t="n"/>
      <c r="O206" s="50">
        <f>IF(M206="","",ROUND(M206*N206,2))</f>
        <v/>
      </c>
      <c r="P206" s="50">
        <f>IF(M206="","",M206+N(O206))</f>
        <v/>
      </c>
      <c r="Q206" s="45" t="n"/>
      <c r="R206" s="45" t="n"/>
      <c r="S206" s="51">
        <f>IF(L206="","",IF(COUNTIF(L$6:L206,L206)&gt;1,"",SUMIF(L$6:L$2000,L206,M$6:M$2000)-SUMIF(L$6:L$2000,L206,G$6:G$2000)))</f>
        <v/>
      </c>
      <c r="T206" s="46">
        <f>IF(AND(C206="",G206=""),"",IF(L206="","Nog factureren",IF(AND(G206&lt;&gt;"",OR(K206="",K206&gt;TODAY())),"Nog betalen",IF(OR(R206="",R206&gt;TODAY()),"Wacht op klant","Afgerond"))))</f>
        <v/>
      </c>
    </row>
    <row r="207">
      <c r="A207" s="45" t="n"/>
      <c r="B207" s="46">
        <f>IF(A207="","",YEAR(A207)&amp;" Q"&amp;ROUNDUP(MONTH(A207)/3,0))</f>
        <v/>
      </c>
      <c r="C207" s="47" t="n"/>
      <c r="D207" s="47" t="n"/>
      <c r="E207" s="47" t="n"/>
      <c r="F207" s="47" t="n"/>
      <c r="G207" s="48" t="n"/>
      <c r="H207" s="49" t="n"/>
      <c r="I207" s="50">
        <f>IF(G207="","",ROUND(G207*H207,2))</f>
        <v/>
      </c>
      <c r="J207" s="50">
        <f>IF(G207="","",G207+N(I207))</f>
        <v/>
      </c>
      <c r="K207" s="45" t="n"/>
      <c r="L207" s="47" t="n"/>
      <c r="M207" s="48" t="n"/>
      <c r="N207" s="49" t="n"/>
      <c r="O207" s="50">
        <f>IF(M207="","",ROUND(M207*N207,2))</f>
        <v/>
      </c>
      <c r="P207" s="50">
        <f>IF(M207="","",M207+N(O207))</f>
        <v/>
      </c>
      <c r="Q207" s="45" t="n"/>
      <c r="R207" s="45" t="n"/>
      <c r="S207" s="51">
        <f>IF(L207="","",IF(COUNTIF(L$6:L207,L207)&gt;1,"",SUMIF(L$6:L$2000,L207,M$6:M$2000)-SUMIF(L$6:L$2000,L207,G$6:G$2000)))</f>
        <v/>
      </c>
      <c r="T207" s="46">
        <f>IF(AND(C207="",G207=""),"",IF(L207="","Nog factureren",IF(AND(G207&lt;&gt;"",OR(K207="",K207&gt;TODAY())),"Nog betalen",IF(OR(R207="",R207&gt;TODAY()),"Wacht op klant","Afgerond"))))</f>
        <v/>
      </c>
    </row>
    <row r="208">
      <c r="A208" s="45" t="n"/>
      <c r="B208" s="46">
        <f>IF(A208="","",YEAR(A208)&amp;" Q"&amp;ROUNDUP(MONTH(A208)/3,0))</f>
        <v/>
      </c>
      <c r="C208" s="47" t="n"/>
      <c r="D208" s="47" t="n"/>
      <c r="E208" s="47" t="n"/>
      <c r="F208" s="47" t="n"/>
      <c r="G208" s="48" t="n"/>
      <c r="H208" s="49" t="n"/>
      <c r="I208" s="50">
        <f>IF(G208="","",ROUND(G208*H208,2))</f>
        <v/>
      </c>
      <c r="J208" s="50">
        <f>IF(G208="","",G208+N(I208))</f>
        <v/>
      </c>
      <c r="K208" s="45" t="n"/>
      <c r="L208" s="47" t="n"/>
      <c r="M208" s="48" t="n"/>
      <c r="N208" s="49" t="n"/>
      <c r="O208" s="50">
        <f>IF(M208="","",ROUND(M208*N208,2))</f>
        <v/>
      </c>
      <c r="P208" s="50">
        <f>IF(M208="","",M208+N(O208))</f>
        <v/>
      </c>
      <c r="Q208" s="45" t="n"/>
      <c r="R208" s="45" t="n"/>
      <c r="S208" s="51">
        <f>IF(L208="","",IF(COUNTIF(L$6:L208,L208)&gt;1,"",SUMIF(L$6:L$2000,L208,M$6:M$2000)-SUMIF(L$6:L$2000,L208,G$6:G$2000)))</f>
        <v/>
      </c>
      <c r="T208" s="46">
        <f>IF(AND(C208="",G208=""),"",IF(L208="","Nog factureren",IF(AND(G208&lt;&gt;"",OR(K208="",K208&gt;TODAY())),"Nog betalen",IF(OR(R208="",R208&gt;TODAY()),"Wacht op klant","Afgerond"))))</f>
        <v/>
      </c>
    </row>
    <row r="209">
      <c r="A209" s="45" t="n"/>
      <c r="B209" s="46">
        <f>IF(A209="","",YEAR(A209)&amp;" Q"&amp;ROUNDUP(MONTH(A209)/3,0))</f>
        <v/>
      </c>
      <c r="C209" s="47" t="n"/>
      <c r="D209" s="47" t="n"/>
      <c r="E209" s="47" t="n"/>
      <c r="F209" s="47" t="n"/>
      <c r="G209" s="48" t="n"/>
      <c r="H209" s="49" t="n"/>
      <c r="I209" s="50">
        <f>IF(G209="","",ROUND(G209*H209,2))</f>
        <v/>
      </c>
      <c r="J209" s="50">
        <f>IF(G209="","",G209+N(I209))</f>
        <v/>
      </c>
      <c r="K209" s="45" t="n"/>
      <c r="L209" s="47" t="n"/>
      <c r="M209" s="48" t="n"/>
      <c r="N209" s="49" t="n"/>
      <c r="O209" s="50">
        <f>IF(M209="","",ROUND(M209*N209,2))</f>
        <v/>
      </c>
      <c r="P209" s="50">
        <f>IF(M209="","",M209+N(O209))</f>
        <v/>
      </c>
      <c r="Q209" s="45" t="n"/>
      <c r="R209" s="45" t="n"/>
      <c r="S209" s="51">
        <f>IF(L209="","",IF(COUNTIF(L$6:L209,L209)&gt;1,"",SUMIF(L$6:L$2000,L209,M$6:M$2000)-SUMIF(L$6:L$2000,L209,G$6:G$2000)))</f>
        <v/>
      </c>
      <c r="T209" s="46">
        <f>IF(AND(C209="",G209=""),"",IF(L209="","Nog factureren",IF(AND(G209&lt;&gt;"",OR(K209="",K209&gt;TODAY())),"Nog betalen",IF(OR(R209="",R209&gt;TODAY()),"Wacht op klant","Afgerond"))))</f>
        <v/>
      </c>
    </row>
    <row r="210">
      <c r="A210" s="45" t="n"/>
      <c r="B210" s="46">
        <f>IF(A210="","",YEAR(A210)&amp;" Q"&amp;ROUNDUP(MONTH(A210)/3,0))</f>
        <v/>
      </c>
      <c r="C210" s="47" t="n"/>
      <c r="D210" s="47" t="n"/>
      <c r="E210" s="47" t="n"/>
      <c r="F210" s="47" t="n"/>
      <c r="G210" s="48" t="n"/>
      <c r="H210" s="49" t="n"/>
      <c r="I210" s="50">
        <f>IF(G210="","",ROUND(G210*H210,2))</f>
        <v/>
      </c>
      <c r="J210" s="50">
        <f>IF(G210="","",G210+N(I210))</f>
        <v/>
      </c>
      <c r="K210" s="45" t="n"/>
      <c r="L210" s="47" t="n"/>
      <c r="M210" s="48" t="n"/>
      <c r="N210" s="49" t="n"/>
      <c r="O210" s="50">
        <f>IF(M210="","",ROUND(M210*N210,2))</f>
        <v/>
      </c>
      <c r="P210" s="50">
        <f>IF(M210="","",M210+N(O210))</f>
        <v/>
      </c>
      <c r="Q210" s="45" t="n"/>
      <c r="R210" s="45" t="n"/>
      <c r="S210" s="51">
        <f>IF(L210="","",IF(COUNTIF(L$6:L210,L210)&gt;1,"",SUMIF(L$6:L$2000,L210,M$6:M$2000)-SUMIF(L$6:L$2000,L210,G$6:G$2000)))</f>
        <v/>
      </c>
      <c r="T210" s="46">
        <f>IF(AND(C210="",G210=""),"",IF(L210="","Nog factureren",IF(AND(G210&lt;&gt;"",OR(K210="",K210&gt;TODAY())),"Nog betalen",IF(OR(R210="",R210&gt;TODAY()),"Wacht op klant","Afgerond"))))</f>
        <v/>
      </c>
    </row>
    <row r="211">
      <c r="A211" s="45" t="n"/>
      <c r="B211" s="46">
        <f>IF(A211="","",YEAR(A211)&amp;" Q"&amp;ROUNDUP(MONTH(A211)/3,0))</f>
        <v/>
      </c>
      <c r="C211" s="47" t="n"/>
      <c r="D211" s="47" t="n"/>
      <c r="E211" s="47" t="n"/>
      <c r="F211" s="47" t="n"/>
      <c r="G211" s="48" t="n"/>
      <c r="H211" s="49" t="n"/>
      <c r="I211" s="50">
        <f>IF(G211="","",ROUND(G211*H211,2))</f>
        <v/>
      </c>
      <c r="J211" s="50">
        <f>IF(G211="","",G211+N(I211))</f>
        <v/>
      </c>
      <c r="K211" s="45" t="n"/>
      <c r="L211" s="47" t="n"/>
      <c r="M211" s="48" t="n"/>
      <c r="N211" s="49" t="n"/>
      <c r="O211" s="50">
        <f>IF(M211="","",ROUND(M211*N211,2))</f>
        <v/>
      </c>
      <c r="P211" s="50">
        <f>IF(M211="","",M211+N(O211))</f>
        <v/>
      </c>
      <c r="Q211" s="45" t="n"/>
      <c r="R211" s="45" t="n"/>
      <c r="S211" s="51">
        <f>IF(L211="","",IF(COUNTIF(L$6:L211,L211)&gt;1,"",SUMIF(L$6:L$2000,L211,M$6:M$2000)-SUMIF(L$6:L$2000,L211,G$6:G$2000)))</f>
        <v/>
      </c>
      <c r="T211" s="46">
        <f>IF(AND(C211="",G211=""),"",IF(L211="","Nog factureren",IF(AND(G211&lt;&gt;"",OR(K211="",K211&gt;TODAY())),"Nog betalen",IF(OR(R211="",R211&gt;TODAY()),"Wacht op klant","Afgerond"))))</f>
        <v/>
      </c>
    </row>
    <row r="212">
      <c r="A212" s="45" t="n"/>
      <c r="B212" s="46">
        <f>IF(A212="","",YEAR(A212)&amp;" Q"&amp;ROUNDUP(MONTH(A212)/3,0))</f>
        <v/>
      </c>
      <c r="C212" s="47" t="n"/>
      <c r="D212" s="47" t="n"/>
      <c r="E212" s="47" t="n"/>
      <c r="F212" s="47" t="n"/>
      <c r="G212" s="48" t="n"/>
      <c r="H212" s="49" t="n"/>
      <c r="I212" s="50">
        <f>IF(G212="","",ROUND(G212*H212,2))</f>
        <v/>
      </c>
      <c r="J212" s="50">
        <f>IF(G212="","",G212+N(I212))</f>
        <v/>
      </c>
      <c r="K212" s="45" t="n"/>
      <c r="L212" s="47" t="n"/>
      <c r="M212" s="48" t="n"/>
      <c r="N212" s="49" t="n"/>
      <c r="O212" s="50">
        <f>IF(M212="","",ROUND(M212*N212,2))</f>
        <v/>
      </c>
      <c r="P212" s="50">
        <f>IF(M212="","",M212+N(O212))</f>
        <v/>
      </c>
      <c r="Q212" s="45" t="n"/>
      <c r="R212" s="45" t="n"/>
      <c r="S212" s="51">
        <f>IF(L212="","",IF(COUNTIF(L$6:L212,L212)&gt;1,"",SUMIF(L$6:L$2000,L212,M$6:M$2000)-SUMIF(L$6:L$2000,L212,G$6:G$2000)))</f>
        <v/>
      </c>
      <c r="T212" s="46">
        <f>IF(AND(C212="",G212=""),"",IF(L212="","Nog factureren",IF(AND(G212&lt;&gt;"",OR(K212="",K212&gt;TODAY())),"Nog betalen",IF(OR(R212="",R212&gt;TODAY()),"Wacht op klant","Afgerond"))))</f>
        <v/>
      </c>
    </row>
    <row r="213">
      <c r="A213" s="45" t="n"/>
      <c r="B213" s="46">
        <f>IF(A213="","",YEAR(A213)&amp;" Q"&amp;ROUNDUP(MONTH(A213)/3,0))</f>
        <v/>
      </c>
      <c r="C213" s="47" t="n"/>
      <c r="D213" s="47" t="n"/>
      <c r="E213" s="47" t="n"/>
      <c r="F213" s="47" t="n"/>
      <c r="G213" s="48" t="n"/>
      <c r="H213" s="49" t="n"/>
      <c r="I213" s="50">
        <f>IF(G213="","",ROUND(G213*H213,2))</f>
        <v/>
      </c>
      <c r="J213" s="50">
        <f>IF(G213="","",G213+N(I213))</f>
        <v/>
      </c>
      <c r="K213" s="45" t="n"/>
      <c r="L213" s="47" t="n"/>
      <c r="M213" s="48" t="n"/>
      <c r="N213" s="49" t="n"/>
      <c r="O213" s="50">
        <f>IF(M213="","",ROUND(M213*N213,2))</f>
        <v/>
      </c>
      <c r="P213" s="50">
        <f>IF(M213="","",M213+N(O213))</f>
        <v/>
      </c>
      <c r="Q213" s="45" t="n"/>
      <c r="R213" s="45" t="n"/>
      <c r="S213" s="51">
        <f>IF(L213="","",IF(COUNTIF(L$6:L213,L213)&gt;1,"",SUMIF(L$6:L$2000,L213,M$6:M$2000)-SUMIF(L$6:L$2000,L213,G$6:G$2000)))</f>
        <v/>
      </c>
      <c r="T213" s="46">
        <f>IF(AND(C213="",G213=""),"",IF(L213="","Nog factureren",IF(AND(G213&lt;&gt;"",OR(K213="",K213&gt;TODAY())),"Nog betalen",IF(OR(R213="",R213&gt;TODAY()),"Wacht op klant","Afgerond"))))</f>
        <v/>
      </c>
    </row>
    <row r="214">
      <c r="A214" s="45" t="n"/>
      <c r="B214" s="46">
        <f>IF(A214="","",YEAR(A214)&amp;" Q"&amp;ROUNDUP(MONTH(A214)/3,0))</f>
        <v/>
      </c>
      <c r="C214" s="47" t="n"/>
      <c r="D214" s="47" t="n"/>
      <c r="E214" s="47" t="n"/>
      <c r="F214" s="47" t="n"/>
      <c r="G214" s="48" t="n"/>
      <c r="H214" s="49" t="n"/>
      <c r="I214" s="50">
        <f>IF(G214="","",ROUND(G214*H214,2))</f>
        <v/>
      </c>
      <c r="J214" s="50">
        <f>IF(G214="","",G214+N(I214))</f>
        <v/>
      </c>
      <c r="K214" s="45" t="n"/>
      <c r="L214" s="47" t="n"/>
      <c r="M214" s="48" t="n"/>
      <c r="N214" s="49" t="n"/>
      <c r="O214" s="50">
        <f>IF(M214="","",ROUND(M214*N214,2))</f>
        <v/>
      </c>
      <c r="P214" s="50">
        <f>IF(M214="","",M214+N(O214))</f>
        <v/>
      </c>
      <c r="Q214" s="45" t="n"/>
      <c r="R214" s="45" t="n"/>
      <c r="S214" s="51">
        <f>IF(L214="","",IF(COUNTIF(L$6:L214,L214)&gt;1,"",SUMIF(L$6:L$2000,L214,M$6:M$2000)-SUMIF(L$6:L$2000,L214,G$6:G$2000)))</f>
        <v/>
      </c>
      <c r="T214" s="46">
        <f>IF(AND(C214="",G214=""),"",IF(L214="","Nog factureren",IF(AND(G214&lt;&gt;"",OR(K214="",K214&gt;TODAY())),"Nog betalen",IF(OR(R214="",R214&gt;TODAY()),"Wacht op klant","Afgerond"))))</f>
        <v/>
      </c>
    </row>
    <row r="215">
      <c r="A215" s="45" t="n"/>
      <c r="B215" s="46">
        <f>IF(A215="","",YEAR(A215)&amp;" Q"&amp;ROUNDUP(MONTH(A215)/3,0))</f>
        <v/>
      </c>
      <c r="C215" s="47" t="n"/>
      <c r="D215" s="47" t="n"/>
      <c r="E215" s="47" t="n"/>
      <c r="F215" s="47" t="n"/>
      <c r="G215" s="48" t="n"/>
      <c r="H215" s="49" t="n"/>
      <c r="I215" s="50">
        <f>IF(G215="","",ROUND(G215*H215,2))</f>
        <v/>
      </c>
      <c r="J215" s="50">
        <f>IF(G215="","",G215+N(I215))</f>
        <v/>
      </c>
      <c r="K215" s="45" t="n"/>
      <c r="L215" s="47" t="n"/>
      <c r="M215" s="48" t="n"/>
      <c r="N215" s="49" t="n"/>
      <c r="O215" s="50">
        <f>IF(M215="","",ROUND(M215*N215,2))</f>
        <v/>
      </c>
      <c r="P215" s="50">
        <f>IF(M215="","",M215+N(O215))</f>
        <v/>
      </c>
      <c r="Q215" s="45" t="n"/>
      <c r="R215" s="45" t="n"/>
      <c r="S215" s="51">
        <f>IF(L215="","",IF(COUNTIF(L$6:L215,L215)&gt;1,"",SUMIF(L$6:L$2000,L215,M$6:M$2000)-SUMIF(L$6:L$2000,L215,G$6:G$2000)))</f>
        <v/>
      </c>
      <c r="T215" s="46">
        <f>IF(AND(C215="",G215=""),"",IF(L215="","Nog factureren",IF(AND(G215&lt;&gt;"",OR(K215="",K215&gt;TODAY())),"Nog betalen",IF(OR(R215="",R215&gt;TODAY()),"Wacht op klant","Afgerond"))))</f>
        <v/>
      </c>
    </row>
    <row r="216">
      <c r="A216" s="45" t="n"/>
      <c r="B216" s="46">
        <f>IF(A216="","",YEAR(A216)&amp;" Q"&amp;ROUNDUP(MONTH(A216)/3,0))</f>
        <v/>
      </c>
      <c r="C216" s="47" t="n"/>
      <c r="D216" s="47" t="n"/>
      <c r="E216" s="47" t="n"/>
      <c r="F216" s="47" t="n"/>
      <c r="G216" s="48" t="n"/>
      <c r="H216" s="49" t="n"/>
      <c r="I216" s="50">
        <f>IF(G216="","",ROUND(G216*H216,2))</f>
        <v/>
      </c>
      <c r="J216" s="50">
        <f>IF(G216="","",G216+N(I216))</f>
        <v/>
      </c>
      <c r="K216" s="45" t="n"/>
      <c r="L216" s="47" t="n"/>
      <c r="M216" s="48" t="n"/>
      <c r="N216" s="49" t="n"/>
      <c r="O216" s="50">
        <f>IF(M216="","",ROUND(M216*N216,2))</f>
        <v/>
      </c>
      <c r="P216" s="50">
        <f>IF(M216="","",M216+N(O216))</f>
        <v/>
      </c>
      <c r="Q216" s="45" t="n"/>
      <c r="R216" s="45" t="n"/>
      <c r="S216" s="51">
        <f>IF(L216="","",IF(COUNTIF(L$6:L216,L216)&gt;1,"",SUMIF(L$6:L$2000,L216,M$6:M$2000)-SUMIF(L$6:L$2000,L216,G$6:G$2000)))</f>
        <v/>
      </c>
      <c r="T216" s="46">
        <f>IF(AND(C216="",G216=""),"",IF(L216="","Nog factureren",IF(AND(G216&lt;&gt;"",OR(K216="",K216&gt;TODAY())),"Nog betalen",IF(OR(R216="",R216&gt;TODAY()),"Wacht op klant","Afgerond"))))</f>
        <v/>
      </c>
    </row>
    <row r="217">
      <c r="A217" s="45" t="n"/>
      <c r="B217" s="46">
        <f>IF(A217="","",YEAR(A217)&amp;" Q"&amp;ROUNDUP(MONTH(A217)/3,0))</f>
        <v/>
      </c>
      <c r="C217" s="47" t="n"/>
      <c r="D217" s="47" t="n"/>
      <c r="E217" s="47" t="n"/>
      <c r="F217" s="47" t="n"/>
      <c r="G217" s="48" t="n"/>
      <c r="H217" s="49" t="n"/>
      <c r="I217" s="50">
        <f>IF(G217="","",ROUND(G217*H217,2))</f>
        <v/>
      </c>
      <c r="J217" s="50">
        <f>IF(G217="","",G217+N(I217))</f>
        <v/>
      </c>
      <c r="K217" s="45" t="n"/>
      <c r="L217" s="47" t="n"/>
      <c r="M217" s="48" t="n"/>
      <c r="N217" s="49" t="n"/>
      <c r="O217" s="50">
        <f>IF(M217="","",ROUND(M217*N217,2))</f>
        <v/>
      </c>
      <c r="P217" s="50">
        <f>IF(M217="","",M217+N(O217))</f>
        <v/>
      </c>
      <c r="Q217" s="45" t="n"/>
      <c r="R217" s="45" t="n"/>
      <c r="S217" s="51">
        <f>IF(L217="","",IF(COUNTIF(L$6:L217,L217)&gt;1,"",SUMIF(L$6:L$2000,L217,M$6:M$2000)-SUMIF(L$6:L$2000,L217,G$6:G$2000)))</f>
        <v/>
      </c>
      <c r="T217" s="46">
        <f>IF(AND(C217="",G217=""),"",IF(L217="","Nog factureren",IF(AND(G217&lt;&gt;"",OR(K217="",K217&gt;TODAY())),"Nog betalen",IF(OR(R217="",R217&gt;TODAY()),"Wacht op klant","Afgerond"))))</f>
        <v/>
      </c>
    </row>
    <row r="218">
      <c r="A218" s="45" t="n"/>
      <c r="B218" s="46">
        <f>IF(A218="","",YEAR(A218)&amp;" Q"&amp;ROUNDUP(MONTH(A218)/3,0))</f>
        <v/>
      </c>
      <c r="C218" s="47" t="n"/>
      <c r="D218" s="47" t="n"/>
      <c r="E218" s="47" t="n"/>
      <c r="F218" s="47" t="n"/>
      <c r="G218" s="48" t="n"/>
      <c r="H218" s="49" t="n"/>
      <c r="I218" s="50">
        <f>IF(G218="","",ROUND(G218*H218,2))</f>
        <v/>
      </c>
      <c r="J218" s="50">
        <f>IF(G218="","",G218+N(I218))</f>
        <v/>
      </c>
      <c r="K218" s="45" t="n"/>
      <c r="L218" s="47" t="n"/>
      <c r="M218" s="48" t="n"/>
      <c r="N218" s="49" t="n"/>
      <c r="O218" s="50">
        <f>IF(M218="","",ROUND(M218*N218,2))</f>
        <v/>
      </c>
      <c r="P218" s="50">
        <f>IF(M218="","",M218+N(O218))</f>
        <v/>
      </c>
      <c r="Q218" s="45" t="n"/>
      <c r="R218" s="45" t="n"/>
      <c r="S218" s="51">
        <f>IF(L218="","",IF(COUNTIF(L$6:L218,L218)&gt;1,"",SUMIF(L$6:L$2000,L218,M$6:M$2000)-SUMIF(L$6:L$2000,L218,G$6:G$2000)))</f>
        <v/>
      </c>
      <c r="T218" s="46">
        <f>IF(AND(C218="",G218=""),"",IF(L218="","Nog factureren",IF(AND(G218&lt;&gt;"",OR(K218="",K218&gt;TODAY())),"Nog betalen",IF(OR(R218="",R218&gt;TODAY()),"Wacht op klant","Afgerond"))))</f>
        <v/>
      </c>
    </row>
    <row r="219">
      <c r="A219" s="45" t="n"/>
      <c r="B219" s="46">
        <f>IF(A219="","",YEAR(A219)&amp;" Q"&amp;ROUNDUP(MONTH(A219)/3,0))</f>
        <v/>
      </c>
      <c r="C219" s="47" t="n"/>
      <c r="D219" s="47" t="n"/>
      <c r="E219" s="47" t="n"/>
      <c r="F219" s="47" t="n"/>
      <c r="G219" s="48" t="n"/>
      <c r="H219" s="49" t="n"/>
      <c r="I219" s="50">
        <f>IF(G219="","",ROUND(G219*H219,2))</f>
        <v/>
      </c>
      <c r="J219" s="50">
        <f>IF(G219="","",G219+N(I219))</f>
        <v/>
      </c>
      <c r="K219" s="45" t="n"/>
      <c r="L219" s="47" t="n"/>
      <c r="M219" s="48" t="n"/>
      <c r="N219" s="49" t="n"/>
      <c r="O219" s="50">
        <f>IF(M219="","",ROUND(M219*N219,2))</f>
        <v/>
      </c>
      <c r="P219" s="50">
        <f>IF(M219="","",M219+N(O219))</f>
        <v/>
      </c>
      <c r="Q219" s="45" t="n"/>
      <c r="R219" s="45" t="n"/>
      <c r="S219" s="51">
        <f>IF(L219="","",IF(COUNTIF(L$6:L219,L219)&gt;1,"",SUMIF(L$6:L$2000,L219,M$6:M$2000)-SUMIF(L$6:L$2000,L219,G$6:G$2000)))</f>
        <v/>
      </c>
      <c r="T219" s="46">
        <f>IF(AND(C219="",G219=""),"",IF(L219="","Nog factureren",IF(AND(G219&lt;&gt;"",OR(K219="",K219&gt;TODAY())),"Nog betalen",IF(OR(R219="",R219&gt;TODAY()),"Wacht op klant","Afgerond"))))</f>
        <v/>
      </c>
    </row>
    <row r="220">
      <c r="A220" s="45" t="n"/>
      <c r="B220" s="46">
        <f>IF(A220="","",YEAR(A220)&amp;" Q"&amp;ROUNDUP(MONTH(A220)/3,0))</f>
        <v/>
      </c>
      <c r="C220" s="47" t="n"/>
      <c r="D220" s="47" t="n"/>
      <c r="E220" s="47" t="n"/>
      <c r="F220" s="47" t="n"/>
      <c r="G220" s="48" t="n"/>
      <c r="H220" s="49" t="n"/>
      <c r="I220" s="50">
        <f>IF(G220="","",ROUND(G220*H220,2))</f>
        <v/>
      </c>
      <c r="J220" s="50">
        <f>IF(G220="","",G220+N(I220))</f>
        <v/>
      </c>
      <c r="K220" s="45" t="n"/>
      <c r="L220" s="47" t="n"/>
      <c r="M220" s="48" t="n"/>
      <c r="N220" s="49" t="n"/>
      <c r="O220" s="50">
        <f>IF(M220="","",ROUND(M220*N220,2))</f>
        <v/>
      </c>
      <c r="P220" s="50">
        <f>IF(M220="","",M220+N(O220))</f>
        <v/>
      </c>
      <c r="Q220" s="45" t="n"/>
      <c r="R220" s="45" t="n"/>
      <c r="S220" s="51">
        <f>IF(L220="","",IF(COUNTIF(L$6:L220,L220)&gt;1,"",SUMIF(L$6:L$2000,L220,M$6:M$2000)-SUMIF(L$6:L$2000,L220,G$6:G$2000)))</f>
        <v/>
      </c>
      <c r="T220" s="46">
        <f>IF(AND(C220="",G220=""),"",IF(L220="","Nog factureren",IF(AND(G220&lt;&gt;"",OR(K220="",K220&gt;TODAY())),"Nog betalen",IF(OR(R220="",R220&gt;TODAY()),"Wacht op klant","Afgerond"))))</f>
        <v/>
      </c>
    </row>
    <row r="221">
      <c r="A221" s="45" t="n"/>
      <c r="B221" s="46">
        <f>IF(A221="","",YEAR(A221)&amp;" Q"&amp;ROUNDUP(MONTH(A221)/3,0))</f>
        <v/>
      </c>
      <c r="C221" s="47" t="n"/>
      <c r="D221" s="47" t="n"/>
      <c r="E221" s="47" t="n"/>
      <c r="F221" s="47" t="n"/>
      <c r="G221" s="48" t="n"/>
      <c r="H221" s="49" t="n"/>
      <c r="I221" s="50">
        <f>IF(G221="","",ROUND(G221*H221,2))</f>
        <v/>
      </c>
      <c r="J221" s="50">
        <f>IF(G221="","",G221+N(I221))</f>
        <v/>
      </c>
      <c r="K221" s="45" t="n"/>
      <c r="L221" s="47" t="n"/>
      <c r="M221" s="48" t="n"/>
      <c r="N221" s="49" t="n"/>
      <c r="O221" s="50">
        <f>IF(M221="","",ROUND(M221*N221,2))</f>
        <v/>
      </c>
      <c r="P221" s="50">
        <f>IF(M221="","",M221+N(O221))</f>
        <v/>
      </c>
      <c r="Q221" s="45" t="n"/>
      <c r="R221" s="45" t="n"/>
      <c r="S221" s="51">
        <f>IF(L221="","",IF(COUNTIF(L$6:L221,L221)&gt;1,"",SUMIF(L$6:L$2000,L221,M$6:M$2000)-SUMIF(L$6:L$2000,L221,G$6:G$2000)))</f>
        <v/>
      </c>
      <c r="T221" s="46">
        <f>IF(AND(C221="",G221=""),"",IF(L221="","Nog factureren",IF(AND(G221&lt;&gt;"",OR(K221="",K221&gt;TODAY())),"Nog betalen",IF(OR(R221="",R221&gt;TODAY()),"Wacht op klant","Afgerond"))))</f>
        <v/>
      </c>
    </row>
    <row r="222">
      <c r="A222" s="45" t="n"/>
      <c r="B222" s="46">
        <f>IF(A222="","",YEAR(A222)&amp;" Q"&amp;ROUNDUP(MONTH(A222)/3,0))</f>
        <v/>
      </c>
      <c r="C222" s="47" t="n"/>
      <c r="D222" s="47" t="n"/>
      <c r="E222" s="47" t="n"/>
      <c r="F222" s="47" t="n"/>
      <c r="G222" s="48" t="n"/>
      <c r="H222" s="49" t="n"/>
      <c r="I222" s="50">
        <f>IF(G222="","",ROUND(G222*H222,2))</f>
        <v/>
      </c>
      <c r="J222" s="50">
        <f>IF(G222="","",G222+N(I222))</f>
        <v/>
      </c>
      <c r="K222" s="45" t="n"/>
      <c r="L222" s="47" t="n"/>
      <c r="M222" s="48" t="n"/>
      <c r="N222" s="49" t="n"/>
      <c r="O222" s="50">
        <f>IF(M222="","",ROUND(M222*N222,2))</f>
        <v/>
      </c>
      <c r="P222" s="50">
        <f>IF(M222="","",M222+N(O222))</f>
        <v/>
      </c>
      <c r="Q222" s="45" t="n"/>
      <c r="R222" s="45" t="n"/>
      <c r="S222" s="51">
        <f>IF(L222="","",IF(COUNTIF(L$6:L222,L222)&gt;1,"",SUMIF(L$6:L$2000,L222,M$6:M$2000)-SUMIF(L$6:L$2000,L222,G$6:G$2000)))</f>
        <v/>
      </c>
      <c r="T222" s="46">
        <f>IF(AND(C222="",G222=""),"",IF(L222="","Nog factureren",IF(AND(G222&lt;&gt;"",OR(K222="",K222&gt;TODAY())),"Nog betalen",IF(OR(R222="",R222&gt;TODAY()),"Wacht op klant","Afgerond"))))</f>
        <v/>
      </c>
    </row>
    <row r="223">
      <c r="A223" s="45" t="n"/>
      <c r="B223" s="46">
        <f>IF(A223="","",YEAR(A223)&amp;" Q"&amp;ROUNDUP(MONTH(A223)/3,0))</f>
        <v/>
      </c>
      <c r="C223" s="47" t="n"/>
      <c r="D223" s="47" t="n"/>
      <c r="E223" s="47" t="n"/>
      <c r="F223" s="47" t="n"/>
      <c r="G223" s="48" t="n"/>
      <c r="H223" s="49" t="n"/>
      <c r="I223" s="50">
        <f>IF(G223="","",ROUND(G223*H223,2))</f>
        <v/>
      </c>
      <c r="J223" s="50">
        <f>IF(G223="","",G223+N(I223))</f>
        <v/>
      </c>
      <c r="K223" s="45" t="n"/>
      <c r="L223" s="47" t="n"/>
      <c r="M223" s="48" t="n"/>
      <c r="N223" s="49" t="n"/>
      <c r="O223" s="50">
        <f>IF(M223="","",ROUND(M223*N223,2))</f>
        <v/>
      </c>
      <c r="P223" s="50">
        <f>IF(M223="","",M223+N(O223))</f>
        <v/>
      </c>
      <c r="Q223" s="45" t="n"/>
      <c r="R223" s="45" t="n"/>
      <c r="S223" s="51">
        <f>IF(L223="","",IF(COUNTIF(L$6:L223,L223)&gt;1,"",SUMIF(L$6:L$2000,L223,M$6:M$2000)-SUMIF(L$6:L$2000,L223,G$6:G$2000)))</f>
        <v/>
      </c>
      <c r="T223" s="46">
        <f>IF(AND(C223="",G223=""),"",IF(L223="","Nog factureren",IF(AND(G223&lt;&gt;"",OR(K223="",K223&gt;TODAY())),"Nog betalen",IF(OR(R223="",R223&gt;TODAY()),"Wacht op klant","Afgerond"))))</f>
        <v/>
      </c>
    </row>
    <row r="224">
      <c r="A224" s="45" t="n"/>
      <c r="B224" s="46">
        <f>IF(A224="","",YEAR(A224)&amp;" Q"&amp;ROUNDUP(MONTH(A224)/3,0))</f>
        <v/>
      </c>
      <c r="C224" s="47" t="n"/>
      <c r="D224" s="47" t="n"/>
      <c r="E224" s="47" t="n"/>
      <c r="F224" s="47" t="n"/>
      <c r="G224" s="48" t="n"/>
      <c r="H224" s="49" t="n"/>
      <c r="I224" s="50">
        <f>IF(G224="","",ROUND(G224*H224,2))</f>
        <v/>
      </c>
      <c r="J224" s="50">
        <f>IF(G224="","",G224+N(I224))</f>
        <v/>
      </c>
      <c r="K224" s="45" t="n"/>
      <c r="L224" s="47" t="n"/>
      <c r="M224" s="48" t="n"/>
      <c r="N224" s="49" t="n"/>
      <c r="O224" s="50">
        <f>IF(M224="","",ROUND(M224*N224,2))</f>
        <v/>
      </c>
      <c r="P224" s="50">
        <f>IF(M224="","",M224+N(O224))</f>
        <v/>
      </c>
      <c r="Q224" s="45" t="n"/>
      <c r="R224" s="45" t="n"/>
      <c r="S224" s="51">
        <f>IF(L224="","",IF(COUNTIF(L$6:L224,L224)&gt;1,"",SUMIF(L$6:L$2000,L224,M$6:M$2000)-SUMIF(L$6:L$2000,L224,G$6:G$2000)))</f>
        <v/>
      </c>
      <c r="T224" s="46">
        <f>IF(AND(C224="",G224=""),"",IF(L224="","Nog factureren",IF(AND(G224&lt;&gt;"",OR(K224="",K224&gt;TODAY())),"Nog betalen",IF(OR(R224="",R224&gt;TODAY()),"Wacht op klant","Afgerond"))))</f>
        <v/>
      </c>
    </row>
    <row r="225">
      <c r="A225" s="45" t="n"/>
      <c r="B225" s="46">
        <f>IF(A225="","",YEAR(A225)&amp;" Q"&amp;ROUNDUP(MONTH(A225)/3,0))</f>
        <v/>
      </c>
      <c r="C225" s="47" t="n"/>
      <c r="D225" s="47" t="n"/>
      <c r="E225" s="47" t="n"/>
      <c r="F225" s="47" t="n"/>
      <c r="G225" s="48" t="n"/>
      <c r="H225" s="49" t="n"/>
      <c r="I225" s="50">
        <f>IF(G225="","",ROUND(G225*H225,2))</f>
        <v/>
      </c>
      <c r="J225" s="50">
        <f>IF(G225="","",G225+N(I225))</f>
        <v/>
      </c>
      <c r="K225" s="45" t="n"/>
      <c r="L225" s="47" t="n"/>
      <c r="M225" s="48" t="n"/>
      <c r="N225" s="49" t="n"/>
      <c r="O225" s="50">
        <f>IF(M225="","",ROUND(M225*N225,2))</f>
        <v/>
      </c>
      <c r="P225" s="50">
        <f>IF(M225="","",M225+N(O225))</f>
        <v/>
      </c>
      <c r="Q225" s="45" t="n"/>
      <c r="R225" s="45" t="n"/>
      <c r="S225" s="51">
        <f>IF(L225="","",IF(COUNTIF(L$6:L225,L225)&gt;1,"",SUMIF(L$6:L$2000,L225,M$6:M$2000)-SUMIF(L$6:L$2000,L225,G$6:G$2000)))</f>
        <v/>
      </c>
      <c r="T225" s="46">
        <f>IF(AND(C225="",G225=""),"",IF(L225="","Nog factureren",IF(AND(G225&lt;&gt;"",OR(K225="",K225&gt;TODAY())),"Nog betalen",IF(OR(R225="",R225&gt;TODAY()),"Wacht op klant","Afgerond"))))</f>
        <v/>
      </c>
    </row>
    <row r="226">
      <c r="A226" s="45" t="n"/>
      <c r="B226" s="46">
        <f>IF(A226="","",YEAR(A226)&amp;" Q"&amp;ROUNDUP(MONTH(A226)/3,0))</f>
        <v/>
      </c>
      <c r="C226" s="47" t="n"/>
      <c r="D226" s="47" t="n"/>
      <c r="E226" s="47" t="n"/>
      <c r="F226" s="47" t="n"/>
      <c r="G226" s="48" t="n"/>
      <c r="H226" s="49" t="n"/>
      <c r="I226" s="50">
        <f>IF(G226="","",ROUND(G226*H226,2))</f>
        <v/>
      </c>
      <c r="J226" s="50">
        <f>IF(G226="","",G226+N(I226))</f>
        <v/>
      </c>
      <c r="K226" s="45" t="n"/>
      <c r="L226" s="47" t="n"/>
      <c r="M226" s="48" t="n"/>
      <c r="N226" s="49" t="n"/>
      <c r="O226" s="50">
        <f>IF(M226="","",ROUND(M226*N226,2))</f>
        <v/>
      </c>
      <c r="P226" s="50">
        <f>IF(M226="","",M226+N(O226))</f>
        <v/>
      </c>
      <c r="Q226" s="45" t="n"/>
      <c r="R226" s="45" t="n"/>
      <c r="S226" s="51">
        <f>IF(L226="","",IF(COUNTIF(L$6:L226,L226)&gt;1,"",SUMIF(L$6:L$2000,L226,M$6:M$2000)-SUMIF(L$6:L$2000,L226,G$6:G$2000)))</f>
        <v/>
      </c>
      <c r="T226" s="46">
        <f>IF(AND(C226="",G226=""),"",IF(L226="","Nog factureren",IF(AND(G226&lt;&gt;"",OR(K226="",K226&gt;TODAY())),"Nog betalen",IF(OR(R226="",R226&gt;TODAY()),"Wacht op klant","Afgerond"))))</f>
        <v/>
      </c>
    </row>
    <row r="227">
      <c r="A227" s="45" t="n"/>
      <c r="B227" s="46">
        <f>IF(A227="","",YEAR(A227)&amp;" Q"&amp;ROUNDUP(MONTH(A227)/3,0))</f>
        <v/>
      </c>
      <c r="C227" s="47" t="n"/>
      <c r="D227" s="47" t="n"/>
      <c r="E227" s="47" t="n"/>
      <c r="F227" s="47" t="n"/>
      <c r="G227" s="48" t="n"/>
      <c r="H227" s="49" t="n"/>
      <c r="I227" s="50">
        <f>IF(G227="","",ROUND(G227*H227,2))</f>
        <v/>
      </c>
      <c r="J227" s="50">
        <f>IF(G227="","",G227+N(I227))</f>
        <v/>
      </c>
      <c r="K227" s="45" t="n"/>
      <c r="L227" s="47" t="n"/>
      <c r="M227" s="48" t="n"/>
      <c r="N227" s="49" t="n"/>
      <c r="O227" s="50">
        <f>IF(M227="","",ROUND(M227*N227,2))</f>
        <v/>
      </c>
      <c r="P227" s="50">
        <f>IF(M227="","",M227+N(O227))</f>
        <v/>
      </c>
      <c r="Q227" s="45" t="n"/>
      <c r="R227" s="45" t="n"/>
      <c r="S227" s="51">
        <f>IF(L227="","",IF(COUNTIF(L$6:L227,L227)&gt;1,"",SUMIF(L$6:L$2000,L227,M$6:M$2000)-SUMIF(L$6:L$2000,L227,G$6:G$2000)))</f>
        <v/>
      </c>
      <c r="T227" s="46">
        <f>IF(AND(C227="",G227=""),"",IF(L227="","Nog factureren",IF(AND(G227&lt;&gt;"",OR(K227="",K227&gt;TODAY())),"Nog betalen",IF(OR(R227="",R227&gt;TODAY()),"Wacht op klant","Afgerond"))))</f>
        <v/>
      </c>
    </row>
    <row r="228">
      <c r="A228" s="45" t="n"/>
      <c r="B228" s="46">
        <f>IF(A228="","",YEAR(A228)&amp;" Q"&amp;ROUNDUP(MONTH(A228)/3,0))</f>
        <v/>
      </c>
      <c r="C228" s="47" t="n"/>
      <c r="D228" s="47" t="n"/>
      <c r="E228" s="47" t="n"/>
      <c r="F228" s="47" t="n"/>
      <c r="G228" s="48" t="n"/>
      <c r="H228" s="49" t="n"/>
      <c r="I228" s="50">
        <f>IF(G228="","",ROUND(G228*H228,2))</f>
        <v/>
      </c>
      <c r="J228" s="50">
        <f>IF(G228="","",G228+N(I228))</f>
        <v/>
      </c>
      <c r="K228" s="45" t="n"/>
      <c r="L228" s="47" t="n"/>
      <c r="M228" s="48" t="n"/>
      <c r="N228" s="49" t="n"/>
      <c r="O228" s="50">
        <f>IF(M228="","",ROUND(M228*N228,2))</f>
        <v/>
      </c>
      <c r="P228" s="50">
        <f>IF(M228="","",M228+N(O228))</f>
        <v/>
      </c>
      <c r="Q228" s="45" t="n"/>
      <c r="R228" s="45" t="n"/>
      <c r="S228" s="51">
        <f>IF(L228="","",IF(COUNTIF(L$6:L228,L228)&gt;1,"",SUMIF(L$6:L$2000,L228,M$6:M$2000)-SUMIF(L$6:L$2000,L228,G$6:G$2000)))</f>
        <v/>
      </c>
      <c r="T228" s="46">
        <f>IF(AND(C228="",G228=""),"",IF(L228="","Nog factureren",IF(AND(G228&lt;&gt;"",OR(K228="",K228&gt;TODAY())),"Nog betalen",IF(OR(R228="",R228&gt;TODAY()),"Wacht op klant","Afgerond"))))</f>
        <v/>
      </c>
    </row>
    <row r="229">
      <c r="A229" s="45" t="n"/>
      <c r="B229" s="46">
        <f>IF(A229="","",YEAR(A229)&amp;" Q"&amp;ROUNDUP(MONTH(A229)/3,0))</f>
        <v/>
      </c>
      <c r="C229" s="47" t="n"/>
      <c r="D229" s="47" t="n"/>
      <c r="E229" s="47" t="n"/>
      <c r="F229" s="47" t="n"/>
      <c r="G229" s="48" t="n"/>
      <c r="H229" s="49" t="n"/>
      <c r="I229" s="50">
        <f>IF(G229="","",ROUND(G229*H229,2))</f>
        <v/>
      </c>
      <c r="J229" s="50">
        <f>IF(G229="","",G229+N(I229))</f>
        <v/>
      </c>
      <c r="K229" s="45" t="n"/>
      <c r="L229" s="47" t="n"/>
      <c r="M229" s="48" t="n"/>
      <c r="N229" s="49" t="n"/>
      <c r="O229" s="50">
        <f>IF(M229="","",ROUND(M229*N229,2))</f>
        <v/>
      </c>
      <c r="P229" s="50">
        <f>IF(M229="","",M229+N(O229))</f>
        <v/>
      </c>
      <c r="Q229" s="45" t="n"/>
      <c r="R229" s="45" t="n"/>
      <c r="S229" s="51">
        <f>IF(L229="","",IF(COUNTIF(L$6:L229,L229)&gt;1,"",SUMIF(L$6:L$2000,L229,M$6:M$2000)-SUMIF(L$6:L$2000,L229,G$6:G$2000)))</f>
        <v/>
      </c>
      <c r="T229" s="46">
        <f>IF(AND(C229="",G229=""),"",IF(L229="","Nog factureren",IF(AND(G229&lt;&gt;"",OR(K229="",K229&gt;TODAY())),"Nog betalen",IF(OR(R229="",R229&gt;TODAY()),"Wacht op klant","Afgerond"))))</f>
        <v/>
      </c>
    </row>
    <row r="230">
      <c r="A230" s="45" t="n"/>
      <c r="B230" s="46">
        <f>IF(A230="","",YEAR(A230)&amp;" Q"&amp;ROUNDUP(MONTH(A230)/3,0))</f>
        <v/>
      </c>
      <c r="C230" s="47" t="n"/>
      <c r="D230" s="47" t="n"/>
      <c r="E230" s="47" t="n"/>
      <c r="F230" s="47" t="n"/>
      <c r="G230" s="48" t="n"/>
      <c r="H230" s="49" t="n"/>
      <c r="I230" s="50">
        <f>IF(G230="","",ROUND(G230*H230,2))</f>
        <v/>
      </c>
      <c r="J230" s="50">
        <f>IF(G230="","",G230+N(I230))</f>
        <v/>
      </c>
      <c r="K230" s="45" t="n"/>
      <c r="L230" s="47" t="n"/>
      <c r="M230" s="48" t="n"/>
      <c r="N230" s="49" t="n"/>
      <c r="O230" s="50">
        <f>IF(M230="","",ROUND(M230*N230,2))</f>
        <v/>
      </c>
      <c r="P230" s="50">
        <f>IF(M230="","",M230+N(O230))</f>
        <v/>
      </c>
      <c r="Q230" s="45" t="n"/>
      <c r="R230" s="45" t="n"/>
      <c r="S230" s="51">
        <f>IF(L230="","",IF(COUNTIF(L$6:L230,L230)&gt;1,"",SUMIF(L$6:L$2000,L230,M$6:M$2000)-SUMIF(L$6:L$2000,L230,G$6:G$2000)))</f>
        <v/>
      </c>
      <c r="T230" s="46">
        <f>IF(AND(C230="",G230=""),"",IF(L230="","Nog factureren",IF(AND(G230&lt;&gt;"",OR(K230="",K230&gt;TODAY())),"Nog betalen",IF(OR(R230="",R230&gt;TODAY()),"Wacht op klant","Afgerond"))))</f>
        <v/>
      </c>
    </row>
    <row r="231">
      <c r="A231" s="45" t="n"/>
      <c r="B231" s="46">
        <f>IF(A231="","",YEAR(A231)&amp;" Q"&amp;ROUNDUP(MONTH(A231)/3,0))</f>
        <v/>
      </c>
      <c r="C231" s="47" t="n"/>
      <c r="D231" s="47" t="n"/>
      <c r="E231" s="47" t="n"/>
      <c r="F231" s="47" t="n"/>
      <c r="G231" s="48" t="n"/>
      <c r="H231" s="49" t="n"/>
      <c r="I231" s="50">
        <f>IF(G231="","",ROUND(G231*H231,2))</f>
        <v/>
      </c>
      <c r="J231" s="50">
        <f>IF(G231="","",G231+N(I231))</f>
        <v/>
      </c>
      <c r="K231" s="45" t="n"/>
      <c r="L231" s="47" t="n"/>
      <c r="M231" s="48" t="n"/>
      <c r="N231" s="49" t="n"/>
      <c r="O231" s="50">
        <f>IF(M231="","",ROUND(M231*N231,2))</f>
        <v/>
      </c>
      <c r="P231" s="50">
        <f>IF(M231="","",M231+N(O231))</f>
        <v/>
      </c>
      <c r="Q231" s="45" t="n"/>
      <c r="R231" s="45" t="n"/>
      <c r="S231" s="51">
        <f>IF(L231="","",IF(COUNTIF(L$6:L231,L231)&gt;1,"",SUMIF(L$6:L$2000,L231,M$6:M$2000)-SUMIF(L$6:L$2000,L231,G$6:G$2000)))</f>
        <v/>
      </c>
      <c r="T231" s="46">
        <f>IF(AND(C231="",G231=""),"",IF(L231="","Nog factureren",IF(AND(G231&lt;&gt;"",OR(K231="",K231&gt;TODAY())),"Nog betalen",IF(OR(R231="",R231&gt;TODAY()),"Wacht op klant","Afgerond"))))</f>
        <v/>
      </c>
    </row>
    <row r="232">
      <c r="A232" s="45" t="n"/>
      <c r="B232" s="46">
        <f>IF(A232="","",YEAR(A232)&amp;" Q"&amp;ROUNDUP(MONTH(A232)/3,0))</f>
        <v/>
      </c>
      <c r="C232" s="47" t="n"/>
      <c r="D232" s="47" t="n"/>
      <c r="E232" s="47" t="n"/>
      <c r="F232" s="47" t="n"/>
      <c r="G232" s="48" t="n"/>
      <c r="H232" s="49" t="n"/>
      <c r="I232" s="50">
        <f>IF(G232="","",ROUND(G232*H232,2))</f>
        <v/>
      </c>
      <c r="J232" s="50">
        <f>IF(G232="","",G232+N(I232))</f>
        <v/>
      </c>
      <c r="K232" s="45" t="n"/>
      <c r="L232" s="47" t="n"/>
      <c r="M232" s="48" t="n"/>
      <c r="N232" s="49" t="n"/>
      <c r="O232" s="50">
        <f>IF(M232="","",ROUND(M232*N232,2))</f>
        <v/>
      </c>
      <c r="P232" s="50">
        <f>IF(M232="","",M232+N(O232))</f>
        <v/>
      </c>
      <c r="Q232" s="45" t="n"/>
      <c r="R232" s="45" t="n"/>
      <c r="S232" s="51">
        <f>IF(L232="","",IF(COUNTIF(L$6:L232,L232)&gt;1,"",SUMIF(L$6:L$2000,L232,M$6:M$2000)-SUMIF(L$6:L$2000,L232,G$6:G$2000)))</f>
        <v/>
      </c>
      <c r="T232" s="46">
        <f>IF(AND(C232="",G232=""),"",IF(L232="","Nog factureren",IF(AND(G232&lt;&gt;"",OR(K232="",K232&gt;TODAY())),"Nog betalen",IF(OR(R232="",R232&gt;TODAY()),"Wacht op klant","Afgerond"))))</f>
        <v/>
      </c>
    </row>
    <row r="233">
      <c r="A233" s="45" t="n"/>
      <c r="B233" s="46">
        <f>IF(A233="","",YEAR(A233)&amp;" Q"&amp;ROUNDUP(MONTH(A233)/3,0))</f>
        <v/>
      </c>
      <c r="C233" s="47" t="n"/>
      <c r="D233" s="47" t="n"/>
      <c r="E233" s="47" t="n"/>
      <c r="F233" s="47" t="n"/>
      <c r="G233" s="48" t="n"/>
      <c r="H233" s="49" t="n"/>
      <c r="I233" s="50">
        <f>IF(G233="","",ROUND(G233*H233,2))</f>
        <v/>
      </c>
      <c r="J233" s="50">
        <f>IF(G233="","",G233+N(I233))</f>
        <v/>
      </c>
      <c r="K233" s="45" t="n"/>
      <c r="L233" s="47" t="n"/>
      <c r="M233" s="48" t="n"/>
      <c r="N233" s="49" t="n"/>
      <c r="O233" s="50">
        <f>IF(M233="","",ROUND(M233*N233,2))</f>
        <v/>
      </c>
      <c r="P233" s="50">
        <f>IF(M233="","",M233+N(O233))</f>
        <v/>
      </c>
      <c r="Q233" s="45" t="n"/>
      <c r="R233" s="45" t="n"/>
      <c r="S233" s="51">
        <f>IF(L233="","",IF(COUNTIF(L$6:L233,L233)&gt;1,"",SUMIF(L$6:L$2000,L233,M$6:M$2000)-SUMIF(L$6:L$2000,L233,G$6:G$2000)))</f>
        <v/>
      </c>
      <c r="T233" s="46">
        <f>IF(AND(C233="",G233=""),"",IF(L233="","Nog factureren",IF(AND(G233&lt;&gt;"",OR(K233="",K233&gt;TODAY())),"Nog betalen",IF(OR(R233="",R233&gt;TODAY()),"Wacht op klant","Afgerond"))))</f>
        <v/>
      </c>
    </row>
    <row r="234">
      <c r="A234" s="45" t="n"/>
      <c r="B234" s="46">
        <f>IF(A234="","",YEAR(A234)&amp;" Q"&amp;ROUNDUP(MONTH(A234)/3,0))</f>
        <v/>
      </c>
      <c r="C234" s="47" t="n"/>
      <c r="D234" s="47" t="n"/>
      <c r="E234" s="47" t="n"/>
      <c r="F234" s="47" t="n"/>
      <c r="G234" s="48" t="n"/>
      <c r="H234" s="49" t="n"/>
      <c r="I234" s="50">
        <f>IF(G234="","",ROUND(G234*H234,2))</f>
        <v/>
      </c>
      <c r="J234" s="50">
        <f>IF(G234="","",G234+N(I234))</f>
        <v/>
      </c>
      <c r="K234" s="45" t="n"/>
      <c r="L234" s="47" t="n"/>
      <c r="M234" s="48" t="n"/>
      <c r="N234" s="49" t="n"/>
      <c r="O234" s="50">
        <f>IF(M234="","",ROUND(M234*N234,2))</f>
        <v/>
      </c>
      <c r="P234" s="50">
        <f>IF(M234="","",M234+N(O234))</f>
        <v/>
      </c>
      <c r="Q234" s="45" t="n"/>
      <c r="R234" s="45" t="n"/>
      <c r="S234" s="51">
        <f>IF(L234="","",IF(COUNTIF(L$6:L234,L234)&gt;1,"",SUMIF(L$6:L$2000,L234,M$6:M$2000)-SUMIF(L$6:L$2000,L234,G$6:G$2000)))</f>
        <v/>
      </c>
      <c r="T234" s="46">
        <f>IF(AND(C234="",G234=""),"",IF(L234="","Nog factureren",IF(AND(G234&lt;&gt;"",OR(K234="",K234&gt;TODAY())),"Nog betalen",IF(OR(R234="",R234&gt;TODAY()),"Wacht op klant","Afgerond"))))</f>
        <v/>
      </c>
    </row>
    <row r="235">
      <c r="A235" s="45" t="n"/>
      <c r="B235" s="46">
        <f>IF(A235="","",YEAR(A235)&amp;" Q"&amp;ROUNDUP(MONTH(A235)/3,0))</f>
        <v/>
      </c>
      <c r="C235" s="47" t="n"/>
      <c r="D235" s="47" t="n"/>
      <c r="E235" s="47" t="n"/>
      <c r="F235" s="47" t="n"/>
      <c r="G235" s="48" t="n"/>
      <c r="H235" s="49" t="n"/>
      <c r="I235" s="50">
        <f>IF(G235="","",ROUND(G235*H235,2))</f>
        <v/>
      </c>
      <c r="J235" s="50">
        <f>IF(G235="","",G235+N(I235))</f>
        <v/>
      </c>
      <c r="K235" s="45" t="n"/>
      <c r="L235" s="47" t="n"/>
      <c r="M235" s="48" t="n"/>
      <c r="N235" s="49" t="n"/>
      <c r="O235" s="50">
        <f>IF(M235="","",ROUND(M235*N235,2))</f>
        <v/>
      </c>
      <c r="P235" s="50">
        <f>IF(M235="","",M235+N(O235))</f>
        <v/>
      </c>
      <c r="Q235" s="45" t="n"/>
      <c r="R235" s="45" t="n"/>
      <c r="S235" s="51">
        <f>IF(L235="","",IF(COUNTIF(L$6:L235,L235)&gt;1,"",SUMIF(L$6:L$2000,L235,M$6:M$2000)-SUMIF(L$6:L$2000,L235,G$6:G$2000)))</f>
        <v/>
      </c>
      <c r="T235" s="46">
        <f>IF(AND(C235="",G235=""),"",IF(L235="","Nog factureren",IF(AND(G235&lt;&gt;"",OR(K235="",K235&gt;TODAY())),"Nog betalen",IF(OR(R235="",R235&gt;TODAY()),"Wacht op klant","Afgerond"))))</f>
        <v/>
      </c>
    </row>
    <row r="236">
      <c r="A236" s="45" t="n"/>
      <c r="B236" s="46">
        <f>IF(A236="","",YEAR(A236)&amp;" Q"&amp;ROUNDUP(MONTH(A236)/3,0))</f>
        <v/>
      </c>
      <c r="C236" s="47" t="n"/>
      <c r="D236" s="47" t="n"/>
      <c r="E236" s="47" t="n"/>
      <c r="F236" s="47" t="n"/>
      <c r="G236" s="48" t="n"/>
      <c r="H236" s="49" t="n"/>
      <c r="I236" s="50">
        <f>IF(G236="","",ROUND(G236*H236,2))</f>
        <v/>
      </c>
      <c r="J236" s="50">
        <f>IF(G236="","",G236+N(I236))</f>
        <v/>
      </c>
      <c r="K236" s="45" t="n"/>
      <c r="L236" s="47" t="n"/>
      <c r="M236" s="48" t="n"/>
      <c r="N236" s="49" t="n"/>
      <c r="O236" s="50">
        <f>IF(M236="","",ROUND(M236*N236,2))</f>
        <v/>
      </c>
      <c r="P236" s="50">
        <f>IF(M236="","",M236+N(O236))</f>
        <v/>
      </c>
      <c r="Q236" s="45" t="n"/>
      <c r="R236" s="45" t="n"/>
      <c r="S236" s="51">
        <f>IF(L236="","",IF(COUNTIF(L$6:L236,L236)&gt;1,"",SUMIF(L$6:L$2000,L236,M$6:M$2000)-SUMIF(L$6:L$2000,L236,G$6:G$2000)))</f>
        <v/>
      </c>
      <c r="T236" s="46">
        <f>IF(AND(C236="",G236=""),"",IF(L236="","Nog factureren",IF(AND(G236&lt;&gt;"",OR(K236="",K236&gt;TODAY())),"Nog betalen",IF(OR(R236="",R236&gt;TODAY()),"Wacht op klant","Afgerond"))))</f>
        <v/>
      </c>
    </row>
    <row r="237">
      <c r="A237" s="45" t="n"/>
      <c r="B237" s="46">
        <f>IF(A237="","",YEAR(A237)&amp;" Q"&amp;ROUNDUP(MONTH(A237)/3,0))</f>
        <v/>
      </c>
      <c r="C237" s="47" t="n"/>
      <c r="D237" s="47" t="n"/>
      <c r="E237" s="47" t="n"/>
      <c r="F237" s="47" t="n"/>
      <c r="G237" s="48" t="n"/>
      <c r="H237" s="49" t="n"/>
      <c r="I237" s="50">
        <f>IF(G237="","",ROUND(G237*H237,2))</f>
        <v/>
      </c>
      <c r="J237" s="50">
        <f>IF(G237="","",G237+N(I237))</f>
        <v/>
      </c>
      <c r="K237" s="45" t="n"/>
      <c r="L237" s="47" t="n"/>
      <c r="M237" s="48" t="n"/>
      <c r="N237" s="49" t="n"/>
      <c r="O237" s="50">
        <f>IF(M237="","",ROUND(M237*N237,2))</f>
        <v/>
      </c>
      <c r="P237" s="50">
        <f>IF(M237="","",M237+N(O237))</f>
        <v/>
      </c>
      <c r="Q237" s="45" t="n"/>
      <c r="R237" s="45" t="n"/>
      <c r="S237" s="51">
        <f>IF(L237="","",IF(COUNTIF(L$6:L237,L237)&gt;1,"",SUMIF(L$6:L$2000,L237,M$6:M$2000)-SUMIF(L$6:L$2000,L237,G$6:G$2000)))</f>
        <v/>
      </c>
      <c r="T237" s="46">
        <f>IF(AND(C237="",G237=""),"",IF(L237="","Nog factureren",IF(AND(G237&lt;&gt;"",OR(K237="",K237&gt;TODAY())),"Nog betalen",IF(OR(R237="",R237&gt;TODAY()),"Wacht op klant","Afgerond"))))</f>
        <v/>
      </c>
    </row>
    <row r="238">
      <c r="A238" s="45" t="n"/>
      <c r="B238" s="46">
        <f>IF(A238="","",YEAR(A238)&amp;" Q"&amp;ROUNDUP(MONTH(A238)/3,0))</f>
        <v/>
      </c>
      <c r="C238" s="47" t="n"/>
      <c r="D238" s="47" t="n"/>
      <c r="E238" s="47" t="n"/>
      <c r="F238" s="47" t="n"/>
      <c r="G238" s="48" t="n"/>
      <c r="H238" s="49" t="n"/>
      <c r="I238" s="50">
        <f>IF(G238="","",ROUND(G238*H238,2))</f>
        <v/>
      </c>
      <c r="J238" s="50">
        <f>IF(G238="","",G238+N(I238))</f>
        <v/>
      </c>
      <c r="K238" s="45" t="n"/>
      <c r="L238" s="47" t="n"/>
      <c r="M238" s="48" t="n"/>
      <c r="N238" s="49" t="n"/>
      <c r="O238" s="50">
        <f>IF(M238="","",ROUND(M238*N238,2))</f>
        <v/>
      </c>
      <c r="P238" s="50">
        <f>IF(M238="","",M238+N(O238))</f>
        <v/>
      </c>
      <c r="Q238" s="45" t="n"/>
      <c r="R238" s="45" t="n"/>
      <c r="S238" s="51">
        <f>IF(L238="","",IF(COUNTIF(L$6:L238,L238)&gt;1,"",SUMIF(L$6:L$2000,L238,M$6:M$2000)-SUMIF(L$6:L$2000,L238,G$6:G$2000)))</f>
        <v/>
      </c>
      <c r="T238" s="46">
        <f>IF(AND(C238="",G238=""),"",IF(L238="","Nog factureren",IF(AND(G238&lt;&gt;"",OR(K238="",K238&gt;TODAY())),"Nog betalen",IF(OR(R238="",R238&gt;TODAY()),"Wacht op klant","Afgerond"))))</f>
        <v/>
      </c>
    </row>
    <row r="239">
      <c r="A239" s="45" t="n"/>
      <c r="B239" s="46">
        <f>IF(A239="","",YEAR(A239)&amp;" Q"&amp;ROUNDUP(MONTH(A239)/3,0))</f>
        <v/>
      </c>
      <c r="C239" s="47" t="n"/>
      <c r="D239" s="47" t="n"/>
      <c r="E239" s="47" t="n"/>
      <c r="F239" s="47" t="n"/>
      <c r="G239" s="48" t="n"/>
      <c r="H239" s="49" t="n"/>
      <c r="I239" s="50">
        <f>IF(G239="","",ROUND(G239*H239,2))</f>
        <v/>
      </c>
      <c r="J239" s="50">
        <f>IF(G239="","",G239+N(I239))</f>
        <v/>
      </c>
      <c r="K239" s="45" t="n"/>
      <c r="L239" s="47" t="n"/>
      <c r="M239" s="48" t="n"/>
      <c r="N239" s="49" t="n"/>
      <c r="O239" s="50">
        <f>IF(M239="","",ROUND(M239*N239,2))</f>
        <v/>
      </c>
      <c r="P239" s="50">
        <f>IF(M239="","",M239+N(O239))</f>
        <v/>
      </c>
      <c r="Q239" s="45" t="n"/>
      <c r="R239" s="45" t="n"/>
      <c r="S239" s="51">
        <f>IF(L239="","",IF(COUNTIF(L$6:L239,L239)&gt;1,"",SUMIF(L$6:L$2000,L239,M$6:M$2000)-SUMIF(L$6:L$2000,L239,G$6:G$2000)))</f>
        <v/>
      </c>
      <c r="T239" s="46">
        <f>IF(AND(C239="",G239=""),"",IF(L239="","Nog factureren",IF(AND(G239&lt;&gt;"",OR(K239="",K239&gt;TODAY())),"Nog betalen",IF(OR(R239="",R239&gt;TODAY()),"Wacht op klant","Afgerond"))))</f>
        <v/>
      </c>
    </row>
    <row r="240">
      <c r="A240" s="45" t="n"/>
      <c r="B240" s="46">
        <f>IF(A240="","",YEAR(A240)&amp;" Q"&amp;ROUNDUP(MONTH(A240)/3,0))</f>
        <v/>
      </c>
      <c r="C240" s="47" t="n"/>
      <c r="D240" s="47" t="n"/>
      <c r="E240" s="47" t="n"/>
      <c r="F240" s="47" t="n"/>
      <c r="G240" s="48" t="n"/>
      <c r="H240" s="49" t="n"/>
      <c r="I240" s="50">
        <f>IF(G240="","",ROUND(G240*H240,2))</f>
        <v/>
      </c>
      <c r="J240" s="50">
        <f>IF(G240="","",G240+N(I240))</f>
        <v/>
      </c>
      <c r="K240" s="45" t="n"/>
      <c r="L240" s="47" t="n"/>
      <c r="M240" s="48" t="n"/>
      <c r="N240" s="49" t="n"/>
      <c r="O240" s="50">
        <f>IF(M240="","",ROUND(M240*N240,2))</f>
        <v/>
      </c>
      <c r="P240" s="50">
        <f>IF(M240="","",M240+N(O240))</f>
        <v/>
      </c>
      <c r="Q240" s="45" t="n"/>
      <c r="R240" s="45" t="n"/>
      <c r="S240" s="51">
        <f>IF(L240="","",IF(COUNTIF(L$6:L240,L240)&gt;1,"",SUMIF(L$6:L$2000,L240,M$6:M$2000)-SUMIF(L$6:L$2000,L240,G$6:G$2000)))</f>
        <v/>
      </c>
      <c r="T240" s="46">
        <f>IF(AND(C240="",G240=""),"",IF(L240="","Nog factureren",IF(AND(G240&lt;&gt;"",OR(K240="",K240&gt;TODAY())),"Nog betalen",IF(OR(R240="",R240&gt;TODAY()),"Wacht op klant","Afgerond"))))</f>
        <v/>
      </c>
    </row>
    <row r="241">
      <c r="A241" s="45" t="n"/>
      <c r="B241" s="46">
        <f>IF(A241="","",YEAR(A241)&amp;" Q"&amp;ROUNDUP(MONTH(A241)/3,0))</f>
        <v/>
      </c>
      <c r="C241" s="47" t="n"/>
      <c r="D241" s="47" t="n"/>
      <c r="E241" s="47" t="n"/>
      <c r="F241" s="47" t="n"/>
      <c r="G241" s="48" t="n"/>
      <c r="H241" s="49" t="n"/>
      <c r="I241" s="50">
        <f>IF(G241="","",ROUND(G241*H241,2))</f>
        <v/>
      </c>
      <c r="J241" s="50">
        <f>IF(G241="","",G241+N(I241))</f>
        <v/>
      </c>
      <c r="K241" s="45" t="n"/>
      <c r="L241" s="47" t="n"/>
      <c r="M241" s="48" t="n"/>
      <c r="N241" s="49" t="n"/>
      <c r="O241" s="50">
        <f>IF(M241="","",ROUND(M241*N241,2))</f>
        <v/>
      </c>
      <c r="P241" s="50">
        <f>IF(M241="","",M241+N(O241))</f>
        <v/>
      </c>
      <c r="Q241" s="45" t="n"/>
      <c r="R241" s="45" t="n"/>
      <c r="S241" s="51">
        <f>IF(L241="","",IF(COUNTIF(L$6:L241,L241)&gt;1,"",SUMIF(L$6:L$2000,L241,M$6:M$2000)-SUMIF(L$6:L$2000,L241,G$6:G$2000)))</f>
        <v/>
      </c>
      <c r="T241" s="46">
        <f>IF(AND(C241="",G241=""),"",IF(L241="","Nog factureren",IF(AND(G241&lt;&gt;"",OR(K241="",K241&gt;TODAY())),"Nog betalen",IF(OR(R241="",R241&gt;TODAY()),"Wacht op klant","Afgerond"))))</f>
        <v/>
      </c>
    </row>
    <row r="242">
      <c r="A242" s="45" t="n"/>
      <c r="B242" s="46">
        <f>IF(A242="","",YEAR(A242)&amp;" Q"&amp;ROUNDUP(MONTH(A242)/3,0))</f>
        <v/>
      </c>
      <c r="C242" s="47" t="n"/>
      <c r="D242" s="47" t="n"/>
      <c r="E242" s="47" t="n"/>
      <c r="F242" s="47" t="n"/>
      <c r="G242" s="48" t="n"/>
      <c r="H242" s="49" t="n"/>
      <c r="I242" s="50">
        <f>IF(G242="","",ROUND(G242*H242,2))</f>
        <v/>
      </c>
      <c r="J242" s="50">
        <f>IF(G242="","",G242+N(I242))</f>
        <v/>
      </c>
      <c r="K242" s="45" t="n"/>
      <c r="L242" s="47" t="n"/>
      <c r="M242" s="48" t="n"/>
      <c r="N242" s="49" t="n"/>
      <c r="O242" s="50">
        <f>IF(M242="","",ROUND(M242*N242,2))</f>
        <v/>
      </c>
      <c r="P242" s="50">
        <f>IF(M242="","",M242+N(O242))</f>
        <v/>
      </c>
      <c r="Q242" s="45" t="n"/>
      <c r="R242" s="45" t="n"/>
      <c r="S242" s="51">
        <f>IF(L242="","",IF(COUNTIF(L$6:L242,L242)&gt;1,"",SUMIF(L$6:L$2000,L242,M$6:M$2000)-SUMIF(L$6:L$2000,L242,G$6:G$2000)))</f>
        <v/>
      </c>
      <c r="T242" s="46">
        <f>IF(AND(C242="",G242=""),"",IF(L242="","Nog factureren",IF(AND(G242&lt;&gt;"",OR(K242="",K242&gt;TODAY())),"Nog betalen",IF(OR(R242="",R242&gt;TODAY()),"Wacht op klant","Afgerond"))))</f>
        <v/>
      </c>
    </row>
    <row r="243">
      <c r="A243" s="45" t="n"/>
      <c r="B243" s="46">
        <f>IF(A243="","",YEAR(A243)&amp;" Q"&amp;ROUNDUP(MONTH(A243)/3,0))</f>
        <v/>
      </c>
      <c r="C243" s="47" t="n"/>
      <c r="D243" s="47" t="n"/>
      <c r="E243" s="47" t="n"/>
      <c r="F243" s="47" t="n"/>
      <c r="G243" s="48" t="n"/>
      <c r="H243" s="49" t="n"/>
      <c r="I243" s="50">
        <f>IF(G243="","",ROUND(G243*H243,2))</f>
        <v/>
      </c>
      <c r="J243" s="50">
        <f>IF(G243="","",G243+N(I243))</f>
        <v/>
      </c>
      <c r="K243" s="45" t="n"/>
      <c r="L243" s="47" t="n"/>
      <c r="M243" s="48" t="n"/>
      <c r="N243" s="49" t="n"/>
      <c r="O243" s="50">
        <f>IF(M243="","",ROUND(M243*N243,2))</f>
        <v/>
      </c>
      <c r="P243" s="50">
        <f>IF(M243="","",M243+N(O243))</f>
        <v/>
      </c>
      <c r="Q243" s="45" t="n"/>
      <c r="R243" s="45" t="n"/>
      <c r="S243" s="51">
        <f>IF(L243="","",IF(COUNTIF(L$6:L243,L243)&gt;1,"",SUMIF(L$6:L$2000,L243,M$6:M$2000)-SUMIF(L$6:L$2000,L243,G$6:G$2000)))</f>
        <v/>
      </c>
      <c r="T243" s="46">
        <f>IF(AND(C243="",G243=""),"",IF(L243="","Nog factureren",IF(AND(G243&lt;&gt;"",OR(K243="",K243&gt;TODAY())),"Nog betalen",IF(OR(R243="",R243&gt;TODAY()),"Wacht op klant","Afgerond"))))</f>
        <v/>
      </c>
    </row>
    <row r="244">
      <c r="A244" s="45" t="n"/>
      <c r="B244" s="46">
        <f>IF(A244="","",YEAR(A244)&amp;" Q"&amp;ROUNDUP(MONTH(A244)/3,0))</f>
        <v/>
      </c>
      <c r="C244" s="47" t="n"/>
      <c r="D244" s="47" t="n"/>
      <c r="E244" s="47" t="n"/>
      <c r="F244" s="47" t="n"/>
      <c r="G244" s="48" t="n"/>
      <c r="H244" s="49" t="n"/>
      <c r="I244" s="50">
        <f>IF(G244="","",ROUND(G244*H244,2))</f>
        <v/>
      </c>
      <c r="J244" s="50">
        <f>IF(G244="","",G244+N(I244))</f>
        <v/>
      </c>
      <c r="K244" s="45" t="n"/>
      <c r="L244" s="47" t="n"/>
      <c r="M244" s="48" t="n"/>
      <c r="N244" s="49" t="n"/>
      <c r="O244" s="50">
        <f>IF(M244="","",ROUND(M244*N244,2))</f>
        <v/>
      </c>
      <c r="P244" s="50">
        <f>IF(M244="","",M244+N(O244))</f>
        <v/>
      </c>
      <c r="Q244" s="45" t="n"/>
      <c r="R244" s="45" t="n"/>
      <c r="S244" s="51">
        <f>IF(L244="","",IF(COUNTIF(L$6:L244,L244)&gt;1,"",SUMIF(L$6:L$2000,L244,M$6:M$2000)-SUMIF(L$6:L$2000,L244,G$6:G$2000)))</f>
        <v/>
      </c>
      <c r="T244" s="46">
        <f>IF(AND(C244="",G244=""),"",IF(L244="","Nog factureren",IF(AND(G244&lt;&gt;"",OR(K244="",K244&gt;TODAY())),"Nog betalen",IF(OR(R244="",R244&gt;TODAY()),"Wacht op klant","Afgerond"))))</f>
        <v/>
      </c>
    </row>
    <row r="245">
      <c r="A245" s="45" t="n"/>
      <c r="B245" s="46">
        <f>IF(A245="","",YEAR(A245)&amp;" Q"&amp;ROUNDUP(MONTH(A245)/3,0))</f>
        <v/>
      </c>
      <c r="C245" s="47" t="n"/>
      <c r="D245" s="47" t="n"/>
      <c r="E245" s="47" t="n"/>
      <c r="F245" s="47" t="n"/>
      <c r="G245" s="48" t="n"/>
      <c r="H245" s="49" t="n"/>
      <c r="I245" s="50">
        <f>IF(G245="","",ROUND(G245*H245,2))</f>
        <v/>
      </c>
      <c r="J245" s="50">
        <f>IF(G245="","",G245+N(I245))</f>
        <v/>
      </c>
      <c r="K245" s="45" t="n"/>
      <c r="L245" s="47" t="n"/>
      <c r="M245" s="48" t="n"/>
      <c r="N245" s="49" t="n"/>
      <c r="O245" s="50">
        <f>IF(M245="","",ROUND(M245*N245,2))</f>
        <v/>
      </c>
      <c r="P245" s="50">
        <f>IF(M245="","",M245+N(O245))</f>
        <v/>
      </c>
      <c r="Q245" s="45" t="n"/>
      <c r="R245" s="45" t="n"/>
      <c r="S245" s="51">
        <f>IF(L245="","",IF(COUNTIF(L$6:L245,L245)&gt;1,"",SUMIF(L$6:L$2000,L245,M$6:M$2000)-SUMIF(L$6:L$2000,L245,G$6:G$2000)))</f>
        <v/>
      </c>
      <c r="T245" s="46">
        <f>IF(AND(C245="",G245=""),"",IF(L245="","Nog factureren",IF(AND(G245&lt;&gt;"",OR(K245="",K245&gt;TODAY())),"Nog betalen",IF(OR(R245="",R245&gt;TODAY()),"Wacht op klant","Afgerond"))))</f>
        <v/>
      </c>
    </row>
    <row r="246">
      <c r="A246" s="45" t="n"/>
      <c r="B246" s="46">
        <f>IF(A246="","",YEAR(A246)&amp;" Q"&amp;ROUNDUP(MONTH(A246)/3,0))</f>
        <v/>
      </c>
      <c r="C246" s="47" t="n"/>
      <c r="D246" s="47" t="n"/>
      <c r="E246" s="47" t="n"/>
      <c r="F246" s="47" t="n"/>
      <c r="G246" s="48" t="n"/>
      <c r="H246" s="49" t="n"/>
      <c r="I246" s="50">
        <f>IF(G246="","",ROUND(G246*H246,2))</f>
        <v/>
      </c>
      <c r="J246" s="50">
        <f>IF(G246="","",G246+N(I246))</f>
        <v/>
      </c>
      <c r="K246" s="45" t="n"/>
      <c r="L246" s="47" t="n"/>
      <c r="M246" s="48" t="n"/>
      <c r="N246" s="49" t="n"/>
      <c r="O246" s="50">
        <f>IF(M246="","",ROUND(M246*N246,2))</f>
        <v/>
      </c>
      <c r="P246" s="50">
        <f>IF(M246="","",M246+N(O246))</f>
        <v/>
      </c>
      <c r="Q246" s="45" t="n"/>
      <c r="R246" s="45" t="n"/>
      <c r="S246" s="51">
        <f>IF(L246="","",IF(COUNTIF(L$6:L246,L246)&gt;1,"",SUMIF(L$6:L$2000,L246,M$6:M$2000)-SUMIF(L$6:L$2000,L246,G$6:G$2000)))</f>
        <v/>
      </c>
      <c r="T246" s="46">
        <f>IF(AND(C246="",G246=""),"",IF(L246="","Nog factureren",IF(AND(G246&lt;&gt;"",OR(K246="",K246&gt;TODAY())),"Nog betalen",IF(OR(R246="",R246&gt;TODAY()),"Wacht op klant","Afgerond"))))</f>
        <v/>
      </c>
    </row>
    <row r="247">
      <c r="A247" s="45" t="n"/>
      <c r="B247" s="46">
        <f>IF(A247="","",YEAR(A247)&amp;" Q"&amp;ROUNDUP(MONTH(A247)/3,0))</f>
        <v/>
      </c>
      <c r="C247" s="47" t="n"/>
      <c r="D247" s="47" t="n"/>
      <c r="E247" s="47" t="n"/>
      <c r="F247" s="47" t="n"/>
      <c r="G247" s="48" t="n"/>
      <c r="H247" s="49" t="n"/>
      <c r="I247" s="50">
        <f>IF(G247="","",ROUND(G247*H247,2))</f>
        <v/>
      </c>
      <c r="J247" s="50">
        <f>IF(G247="","",G247+N(I247))</f>
        <v/>
      </c>
      <c r="K247" s="45" t="n"/>
      <c r="L247" s="47" t="n"/>
      <c r="M247" s="48" t="n"/>
      <c r="N247" s="49" t="n"/>
      <c r="O247" s="50">
        <f>IF(M247="","",ROUND(M247*N247,2))</f>
        <v/>
      </c>
      <c r="P247" s="50">
        <f>IF(M247="","",M247+N(O247))</f>
        <v/>
      </c>
      <c r="Q247" s="45" t="n"/>
      <c r="R247" s="45" t="n"/>
      <c r="S247" s="51">
        <f>IF(L247="","",IF(COUNTIF(L$6:L247,L247)&gt;1,"",SUMIF(L$6:L$2000,L247,M$6:M$2000)-SUMIF(L$6:L$2000,L247,G$6:G$2000)))</f>
        <v/>
      </c>
      <c r="T247" s="46">
        <f>IF(AND(C247="",G247=""),"",IF(L247="","Nog factureren",IF(AND(G247&lt;&gt;"",OR(K247="",K247&gt;TODAY())),"Nog betalen",IF(OR(R247="",R247&gt;TODAY()),"Wacht op klant","Afgerond"))))</f>
        <v/>
      </c>
    </row>
    <row r="248">
      <c r="A248" s="45" t="n"/>
      <c r="B248" s="46">
        <f>IF(A248="","",YEAR(A248)&amp;" Q"&amp;ROUNDUP(MONTH(A248)/3,0))</f>
        <v/>
      </c>
      <c r="C248" s="47" t="n"/>
      <c r="D248" s="47" t="n"/>
      <c r="E248" s="47" t="n"/>
      <c r="F248" s="47" t="n"/>
      <c r="G248" s="48" t="n"/>
      <c r="H248" s="49" t="n"/>
      <c r="I248" s="50">
        <f>IF(G248="","",ROUND(G248*H248,2))</f>
        <v/>
      </c>
      <c r="J248" s="50">
        <f>IF(G248="","",G248+N(I248))</f>
        <v/>
      </c>
      <c r="K248" s="45" t="n"/>
      <c r="L248" s="47" t="n"/>
      <c r="M248" s="48" t="n"/>
      <c r="N248" s="49" t="n"/>
      <c r="O248" s="50">
        <f>IF(M248="","",ROUND(M248*N248,2))</f>
        <v/>
      </c>
      <c r="P248" s="50">
        <f>IF(M248="","",M248+N(O248))</f>
        <v/>
      </c>
      <c r="Q248" s="45" t="n"/>
      <c r="R248" s="45" t="n"/>
      <c r="S248" s="51">
        <f>IF(L248="","",IF(COUNTIF(L$6:L248,L248)&gt;1,"",SUMIF(L$6:L$2000,L248,M$6:M$2000)-SUMIF(L$6:L$2000,L248,G$6:G$2000)))</f>
        <v/>
      </c>
      <c r="T248" s="46">
        <f>IF(AND(C248="",G248=""),"",IF(L248="","Nog factureren",IF(AND(G248&lt;&gt;"",OR(K248="",K248&gt;TODAY())),"Nog betalen",IF(OR(R248="",R248&gt;TODAY()),"Wacht op klant","Afgerond"))))</f>
        <v/>
      </c>
    </row>
    <row r="249">
      <c r="A249" s="45" t="n"/>
      <c r="B249" s="46">
        <f>IF(A249="","",YEAR(A249)&amp;" Q"&amp;ROUNDUP(MONTH(A249)/3,0))</f>
        <v/>
      </c>
      <c r="C249" s="47" t="n"/>
      <c r="D249" s="47" t="n"/>
      <c r="E249" s="47" t="n"/>
      <c r="F249" s="47" t="n"/>
      <c r="G249" s="48" t="n"/>
      <c r="H249" s="49" t="n"/>
      <c r="I249" s="50">
        <f>IF(G249="","",ROUND(G249*H249,2))</f>
        <v/>
      </c>
      <c r="J249" s="50">
        <f>IF(G249="","",G249+N(I249))</f>
        <v/>
      </c>
      <c r="K249" s="45" t="n"/>
      <c r="L249" s="47" t="n"/>
      <c r="M249" s="48" t="n"/>
      <c r="N249" s="49" t="n"/>
      <c r="O249" s="50">
        <f>IF(M249="","",ROUND(M249*N249,2))</f>
        <v/>
      </c>
      <c r="P249" s="50">
        <f>IF(M249="","",M249+N(O249))</f>
        <v/>
      </c>
      <c r="Q249" s="45" t="n"/>
      <c r="R249" s="45" t="n"/>
      <c r="S249" s="51">
        <f>IF(L249="","",IF(COUNTIF(L$6:L249,L249)&gt;1,"",SUMIF(L$6:L$2000,L249,M$6:M$2000)-SUMIF(L$6:L$2000,L249,G$6:G$2000)))</f>
        <v/>
      </c>
      <c r="T249" s="46">
        <f>IF(AND(C249="",G249=""),"",IF(L249="","Nog factureren",IF(AND(G249&lt;&gt;"",OR(K249="",K249&gt;TODAY())),"Nog betalen",IF(OR(R249="",R249&gt;TODAY()),"Wacht op klant","Afgerond"))))</f>
        <v/>
      </c>
    </row>
    <row r="250">
      <c r="A250" s="45" t="n"/>
      <c r="B250" s="46">
        <f>IF(A250="","",YEAR(A250)&amp;" Q"&amp;ROUNDUP(MONTH(A250)/3,0))</f>
        <v/>
      </c>
      <c r="C250" s="47" t="n"/>
      <c r="D250" s="47" t="n"/>
      <c r="E250" s="47" t="n"/>
      <c r="F250" s="47" t="n"/>
      <c r="G250" s="48" t="n"/>
      <c r="H250" s="49" t="n"/>
      <c r="I250" s="50">
        <f>IF(G250="","",ROUND(G250*H250,2))</f>
        <v/>
      </c>
      <c r="J250" s="50">
        <f>IF(G250="","",G250+N(I250))</f>
        <v/>
      </c>
      <c r="K250" s="45" t="n"/>
      <c r="L250" s="47" t="n"/>
      <c r="M250" s="48" t="n"/>
      <c r="N250" s="49" t="n"/>
      <c r="O250" s="50">
        <f>IF(M250="","",ROUND(M250*N250,2))</f>
        <v/>
      </c>
      <c r="P250" s="50">
        <f>IF(M250="","",M250+N(O250))</f>
        <v/>
      </c>
      <c r="Q250" s="45" t="n"/>
      <c r="R250" s="45" t="n"/>
      <c r="S250" s="51">
        <f>IF(L250="","",IF(COUNTIF(L$6:L250,L250)&gt;1,"",SUMIF(L$6:L$2000,L250,M$6:M$2000)-SUMIF(L$6:L$2000,L250,G$6:G$2000)))</f>
        <v/>
      </c>
      <c r="T250" s="46">
        <f>IF(AND(C250="",G250=""),"",IF(L250="","Nog factureren",IF(AND(G250&lt;&gt;"",OR(K250="",K250&gt;TODAY())),"Nog betalen",IF(OR(R250="",R250&gt;TODAY()),"Wacht op klant","Afgerond"))))</f>
        <v/>
      </c>
    </row>
    <row r="251">
      <c r="A251" s="45" t="n"/>
      <c r="B251" s="46">
        <f>IF(A251="","",YEAR(A251)&amp;" Q"&amp;ROUNDUP(MONTH(A251)/3,0))</f>
        <v/>
      </c>
      <c r="C251" s="47" t="n"/>
      <c r="D251" s="47" t="n"/>
      <c r="E251" s="47" t="n"/>
      <c r="F251" s="47" t="n"/>
      <c r="G251" s="48" t="n"/>
      <c r="H251" s="49" t="n"/>
      <c r="I251" s="50">
        <f>IF(G251="","",ROUND(G251*H251,2))</f>
        <v/>
      </c>
      <c r="J251" s="50">
        <f>IF(G251="","",G251+N(I251))</f>
        <v/>
      </c>
      <c r="K251" s="45" t="n"/>
      <c r="L251" s="47" t="n"/>
      <c r="M251" s="48" t="n"/>
      <c r="N251" s="49" t="n"/>
      <c r="O251" s="50">
        <f>IF(M251="","",ROUND(M251*N251,2))</f>
        <v/>
      </c>
      <c r="P251" s="50">
        <f>IF(M251="","",M251+N(O251))</f>
        <v/>
      </c>
      <c r="Q251" s="45" t="n"/>
      <c r="R251" s="45" t="n"/>
      <c r="S251" s="51">
        <f>IF(L251="","",IF(COUNTIF(L$6:L251,L251)&gt;1,"",SUMIF(L$6:L$2000,L251,M$6:M$2000)-SUMIF(L$6:L$2000,L251,G$6:G$2000)))</f>
        <v/>
      </c>
      <c r="T251" s="46">
        <f>IF(AND(C251="",G251=""),"",IF(L251="","Nog factureren",IF(AND(G251&lt;&gt;"",OR(K251="",K251&gt;TODAY())),"Nog betalen",IF(OR(R251="",R251&gt;TODAY()),"Wacht op klant","Afgerond"))))</f>
        <v/>
      </c>
    </row>
    <row r="252">
      <c r="A252" s="45" t="n"/>
      <c r="B252" s="46">
        <f>IF(A252="","",YEAR(A252)&amp;" Q"&amp;ROUNDUP(MONTH(A252)/3,0))</f>
        <v/>
      </c>
      <c r="C252" s="47" t="n"/>
      <c r="D252" s="47" t="n"/>
      <c r="E252" s="47" t="n"/>
      <c r="F252" s="47" t="n"/>
      <c r="G252" s="48" t="n"/>
      <c r="H252" s="49" t="n"/>
      <c r="I252" s="50">
        <f>IF(G252="","",ROUND(G252*H252,2))</f>
        <v/>
      </c>
      <c r="J252" s="50">
        <f>IF(G252="","",G252+N(I252))</f>
        <v/>
      </c>
      <c r="K252" s="45" t="n"/>
      <c r="L252" s="47" t="n"/>
      <c r="M252" s="48" t="n"/>
      <c r="N252" s="49" t="n"/>
      <c r="O252" s="50">
        <f>IF(M252="","",ROUND(M252*N252,2))</f>
        <v/>
      </c>
      <c r="P252" s="50">
        <f>IF(M252="","",M252+N(O252))</f>
        <v/>
      </c>
      <c r="Q252" s="45" t="n"/>
      <c r="R252" s="45" t="n"/>
      <c r="S252" s="51">
        <f>IF(L252="","",IF(COUNTIF(L$6:L252,L252)&gt;1,"",SUMIF(L$6:L$2000,L252,M$6:M$2000)-SUMIF(L$6:L$2000,L252,G$6:G$2000)))</f>
        <v/>
      </c>
      <c r="T252" s="46">
        <f>IF(AND(C252="",G252=""),"",IF(L252="","Nog factureren",IF(AND(G252&lt;&gt;"",OR(K252="",K252&gt;TODAY())),"Nog betalen",IF(OR(R252="",R252&gt;TODAY()),"Wacht op klant","Afgerond"))))</f>
        <v/>
      </c>
    </row>
    <row r="253">
      <c r="A253" s="45" t="n"/>
      <c r="B253" s="46">
        <f>IF(A253="","",YEAR(A253)&amp;" Q"&amp;ROUNDUP(MONTH(A253)/3,0))</f>
        <v/>
      </c>
      <c r="C253" s="47" t="n"/>
      <c r="D253" s="47" t="n"/>
      <c r="E253" s="47" t="n"/>
      <c r="F253" s="47" t="n"/>
      <c r="G253" s="48" t="n"/>
      <c r="H253" s="49" t="n"/>
      <c r="I253" s="50">
        <f>IF(G253="","",ROUND(G253*H253,2))</f>
        <v/>
      </c>
      <c r="J253" s="50">
        <f>IF(G253="","",G253+N(I253))</f>
        <v/>
      </c>
      <c r="K253" s="45" t="n"/>
      <c r="L253" s="47" t="n"/>
      <c r="M253" s="48" t="n"/>
      <c r="N253" s="49" t="n"/>
      <c r="O253" s="50">
        <f>IF(M253="","",ROUND(M253*N253,2))</f>
        <v/>
      </c>
      <c r="P253" s="50">
        <f>IF(M253="","",M253+N(O253))</f>
        <v/>
      </c>
      <c r="Q253" s="45" t="n"/>
      <c r="R253" s="45" t="n"/>
      <c r="S253" s="51">
        <f>IF(L253="","",IF(COUNTIF(L$6:L253,L253)&gt;1,"",SUMIF(L$6:L$2000,L253,M$6:M$2000)-SUMIF(L$6:L$2000,L253,G$6:G$2000)))</f>
        <v/>
      </c>
      <c r="T253" s="46">
        <f>IF(AND(C253="",G253=""),"",IF(L253="","Nog factureren",IF(AND(G253&lt;&gt;"",OR(K253="",K253&gt;TODAY())),"Nog betalen",IF(OR(R253="",R253&gt;TODAY()),"Wacht op klant","Afgerond"))))</f>
        <v/>
      </c>
    </row>
    <row r="254">
      <c r="A254" s="45" t="n"/>
      <c r="B254" s="46">
        <f>IF(A254="","",YEAR(A254)&amp;" Q"&amp;ROUNDUP(MONTH(A254)/3,0))</f>
        <v/>
      </c>
      <c r="C254" s="47" t="n"/>
      <c r="D254" s="47" t="n"/>
      <c r="E254" s="47" t="n"/>
      <c r="F254" s="47" t="n"/>
      <c r="G254" s="48" t="n"/>
      <c r="H254" s="49" t="n"/>
      <c r="I254" s="50">
        <f>IF(G254="","",ROUND(G254*H254,2))</f>
        <v/>
      </c>
      <c r="J254" s="50">
        <f>IF(G254="","",G254+N(I254))</f>
        <v/>
      </c>
      <c r="K254" s="45" t="n"/>
      <c r="L254" s="47" t="n"/>
      <c r="M254" s="48" t="n"/>
      <c r="N254" s="49" t="n"/>
      <c r="O254" s="50">
        <f>IF(M254="","",ROUND(M254*N254,2))</f>
        <v/>
      </c>
      <c r="P254" s="50">
        <f>IF(M254="","",M254+N(O254))</f>
        <v/>
      </c>
      <c r="Q254" s="45" t="n"/>
      <c r="R254" s="45" t="n"/>
      <c r="S254" s="51">
        <f>IF(L254="","",IF(COUNTIF(L$6:L254,L254)&gt;1,"",SUMIF(L$6:L$2000,L254,M$6:M$2000)-SUMIF(L$6:L$2000,L254,G$6:G$2000)))</f>
        <v/>
      </c>
      <c r="T254" s="46">
        <f>IF(AND(C254="",G254=""),"",IF(L254="","Nog factureren",IF(AND(G254&lt;&gt;"",OR(K254="",K254&gt;TODAY())),"Nog betalen",IF(OR(R254="",R254&gt;TODAY()),"Wacht op klant","Afgerond"))))</f>
        <v/>
      </c>
    </row>
    <row r="255">
      <c r="A255" s="45" t="n"/>
      <c r="B255" s="46">
        <f>IF(A255="","",YEAR(A255)&amp;" Q"&amp;ROUNDUP(MONTH(A255)/3,0))</f>
        <v/>
      </c>
      <c r="C255" s="47" t="n"/>
      <c r="D255" s="47" t="n"/>
      <c r="E255" s="47" t="n"/>
      <c r="F255" s="47" t="n"/>
      <c r="G255" s="48" t="n"/>
      <c r="H255" s="49" t="n"/>
      <c r="I255" s="50">
        <f>IF(G255="","",ROUND(G255*H255,2))</f>
        <v/>
      </c>
      <c r="J255" s="50">
        <f>IF(G255="","",G255+N(I255))</f>
        <v/>
      </c>
      <c r="K255" s="45" t="n"/>
      <c r="L255" s="47" t="n"/>
      <c r="M255" s="48" t="n"/>
      <c r="N255" s="49" t="n"/>
      <c r="O255" s="50">
        <f>IF(M255="","",ROUND(M255*N255,2))</f>
        <v/>
      </c>
      <c r="P255" s="50">
        <f>IF(M255="","",M255+N(O255))</f>
        <v/>
      </c>
      <c r="Q255" s="45" t="n"/>
      <c r="R255" s="45" t="n"/>
      <c r="S255" s="51">
        <f>IF(L255="","",IF(COUNTIF(L$6:L255,L255)&gt;1,"",SUMIF(L$6:L$2000,L255,M$6:M$2000)-SUMIF(L$6:L$2000,L255,G$6:G$2000)))</f>
        <v/>
      </c>
      <c r="T255" s="46">
        <f>IF(AND(C255="",G255=""),"",IF(L255="","Nog factureren",IF(AND(G255&lt;&gt;"",OR(K255="",K255&gt;TODAY())),"Nog betalen",IF(OR(R255="",R255&gt;TODAY()),"Wacht op klant","Afgerond"))))</f>
        <v/>
      </c>
    </row>
    <row r="256">
      <c r="A256" s="45" t="n"/>
      <c r="B256" s="46">
        <f>IF(A256="","",YEAR(A256)&amp;" Q"&amp;ROUNDUP(MONTH(A256)/3,0))</f>
        <v/>
      </c>
      <c r="C256" s="47" t="n"/>
      <c r="D256" s="47" t="n"/>
      <c r="E256" s="47" t="n"/>
      <c r="F256" s="47" t="n"/>
      <c r="G256" s="48" t="n"/>
      <c r="H256" s="49" t="n"/>
      <c r="I256" s="50">
        <f>IF(G256="","",ROUND(G256*H256,2))</f>
        <v/>
      </c>
      <c r="J256" s="50">
        <f>IF(G256="","",G256+N(I256))</f>
        <v/>
      </c>
      <c r="K256" s="45" t="n"/>
      <c r="L256" s="47" t="n"/>
      <c r="M256" s="48" t="n"/>
      <c r="N256" s="49" t="n"/>
      <c r="O256" s="50">
        <f>IF(M256="","",ROUND(M256*N256,2))</f>
        <v/>
      </c>
      <c r="P256" s="50">
        <f>IF(M256="","",M256+N(O256))</f>
        <v/>
      </c>
      <c r="Q256" s="45" t="n"/>
      <c r="R256" s="45" t="n"/>
      <c r="S256" s="51">
        <f>IF(L256="","",IF(COUNTIF(L$6:L256,L256)&gt;1,"",SUMIF(L$6:L$2000,L256,M$6:M$2000)-SUMIF(L$6:L$2000,L256,G$6:G$2000)))</f>
        <v/>
      </c>
      <c r="T256" s="46">
        <f>IF(AND(C256="",G256=""),"",IF(L256="","Nog factureren",IF(AND(G256&lt;&gt;"",OR(K256="",K256&gt;TODAY())),"Nog betalen",IF(OR(R256="",R256&gt;TODAY()),"Wacht op klant","Afgerond"))))</f>
        <v/>
      </c>
    </row>
    <row r="257">
      <c r="A257" s="45" t="n"/>
      <c r="B257" s="46">
        <f>IF(A257="","",YEAR(A257)&amp;" Q"&amp;ROUNDUP(MONTH(A257)/3,0))</f>
        <v/>
      </c>
      <c r="C257" s="47" t="n"/>
      <c r="D257" s="47" t="n"/>
      <c r="E257" s="47" t="n"/>
      <c r="F257" s="47" t="n"/>
      <c r="G257" s="48" t="n"/>
      <c r="H257" s="49" t="n"/>
      <c r="I257" s="50">
        <f>IF(G257="","",ROUND(G257*H257,2))</f>
        <v/>
      </c>
      <c r="J257" s="50">
        <f>IF(G257="","",G257+N(I257))</f>
        <v/>
      </c>
      <c r="K257" s="45" t="n"/>
      <c r="L257" s="47" t="n"/>
      <c r="M257" s="48" t="n"/>
      <c r="N257" s="49" t="n"/>
      <c r="O257" s="50">
        <f>IF(M257="","",ROUND(M257*N257,2))</f>
        <v/>
      </c>
      <c r="P257" s="50">
        <f>IF(M257="","",M257+N(O257))</f>
        <v/>
      </c>
      <c r="Q257" s="45" t="n"/>
      <c r="R257" s="45" t="n"/>
      <c r="S257" s="51">
        <f>IF(L257="","",IF(COUNTIF(L$6:L257,L257)&gt;1,"",SUMIF(L$6:L$2000,L257,M$6:M$2000)-SUMIF(L$6:L$2000,L257,G$6:G$2000)))</f>
        <v/>
      </c>
      <c r="T257" s="46">
        <f>IF(AND(C257="",G257=""),"",IF(L257="","Nog factureren",IF(AND(G257&lt;&gt;"",OR(K257="",K257&gt;TODAY())),"Nog betalen",IF(OR(R257="",R257&gt;TODAY()),"Wacht op klant","Afgerond"))))</f>
        <v/>
      </c>
    </row>
    <row r="258">
      <c r="A258" s="45" t="n"/>
      <c r="B258" s="46">
        <f>IF(A258="","",YEAR(A258)&amp;" Q"&amp;ROUNDUP(MONTH(A258)/3,0))</f>
        <v/>
      </c>
      <c r="C258" s="47" t="n"/>
      <c r="D258" s="47" t="n"/>
      <c r="E258" s="47" t="n"/>
      <c r="F258" s="47" t="n"/>
      <c r="G258" s="48" t="n"/>
      <c r="H258" s="49" t="n"/>
      <c r="I258" s="50">
        <f>IF(G258="","",ROUND(G258*H258,2))</f>
        <v/>
      </c>
      <c r="J258" s="50">
        <f>IF(G258="","",G258+N(I258))</f>
        <v/>
      </c>
      <c r="K258" s="45" t="n"/>
      <c r="L258" s="47" t="n"/>
      <c r="M258" s="48" t="n"/>
      <c r="N258" s="49" t="n"/>
      <c r="O258" s="50">
        <f>IF(M258="","",ROUND(M258*N258,2))</f>
        <v/>
      </c>
      <c r="P258" s="50">
        <f>IF(M258="","",M258+N(O258))</f>
        <v/>
      </c>
      <c r="Q258" s="45" t="n"/>
      <c r="R258" s="45" t="n"/>
      <c r="S258" s="51">
        <f>IF(L258="","",IF(COUNTIF(L$6:L258,L258)&gt;1,"",SUMIF(L$6:L$2000,L258,M$6:M$2000)-SUMIF(L$6:L$2000,L258,G$6:G$2000)))</f>
        <v/>
      </c>
      <c r="T258" s="46">
        <f>IF(AND(C258="",G258=""),"",IF(L258="","Nog factureren",IF(AND(G258&lt;&gt;"",OR(K258="",K258&gt;TODAY())),"Nog betalen",IF(OR(R258="",R258&gt;TODAY()),"Wacht op klant","Afgerond"))))</f>
        <v/>
      </c>
    </row>
    <row r="259">
      <c r="A259" s="45" t="n"/>
      <c r="B259" s="46">
        <f>IF(A259="","",YEAR(A259)&amp;" Q"&amp;ROUNDUP(MONTH(A259)/3,0))</f>
        <v/>
      </c>
      <c r="C259" s="47" t="n"/>
      <c r="D259" s="47" t="n"/>
      <c r="E259" s="47" t="n"/>
      <c r="F259" s="47" t="n"/>
      <c r="G259" s="48" t="n"/>
      <c r="H259" s="49" t="n"/>
      <c r="I259" s="50">
        <f>IF(G259="","",ROUND(G259*H259,2))</f>
        <v/>
      </c>
      <c r="J259" s="50">
        <f>IF(G259="","",G259+N(I259))</f>
        <v/>
      </c>
      <c r="K259" s="45" t="n"/>
      <c r="L259" s="47" t="n"/>
      <c r="M259" s="48" t="n"/>
      <c r="N259" s="49" t="n"/>
      <c r="O259" s="50">
        <f>IF(M259="","",ROUND(M259*N259,2))</f>
        <v/>
      </c>
      <c r="P259" s="50">
        <f>IF(M259="","",M259+N(O259))</f>
        <v/>
      </c>
      <c r="Q259" s="45" t="n"/>
      <c r="R259" s="45" t="n"/>
      <c r="S259" s="51">
        <f>IF(L259="","",IF(COUNTIF(L$6:L259,L259)&gt;1,"",SUMIF(L$6:L$2000,L259,M$6:M$2000)-SUMIF(L$6:L$2000,L259,G$6:G$2000)))</f>
        <v/>
      </c>
      <c r="T259" s="46">
        <f>IF(AND(C259="",G259=""),"",IF(L259="","Nog factureren",IF(AND(G259&lt;&gt;"",OR(K259="",K259&gt;TODAY())),"Nog betalen",IF(OR(R259="",R259&gt;TODAY()),"Wacht op klant","Afgerond"))))</f>
        <v/>
      </c>
    </row>
    <row r="260">
      <c r="A260" s="45" t="n"/>
      <c r="B260" s="46">
        <f>IF(A260="","",YEAR(A260)&amp;" Q"&amp;ROUNDUP(MONTH(A260)/3,0))</f>
        <v/>
      </c>
      <c r="C260" s="47" t="n"/>
      <c r="D260" s="47" t="n"/>
      <c r="E260" s="47" t="n"/>
      <c r="F260" s="47" t="n"/>
      <c r="G260" s="48" t="n"/>
      <c r="H260" s="49" t="n"/>
      <c r="I260" s="50">
        <f>IF(G260="","",ROUND(G260*H260,2))</f>
        <v/>
      </c>
      <c r="J260" s="50">
        <f>IF(G260="","",G260+N(I260))</f>
        <v/>
      </c>
      <c r="K260" s="45" t="n"/>
      <c r="L260" s="47" t="n"/>
      <c r="M260" s="48" t="n"/>
      <c r="N260" s="49" t="n"/>
      <c r="O260" s="50">
        <f>IF(M260="","",ROUND(M260*N260,2))</f>
        <v/>
      </c>
      <c r="P260" s="50">
        <f>IF(M260="","",M260+N(O260))</f>
        <v/>
      </c>
      <c r="Q260" s="45" t="n"/>
      <c r="R260" s="45" t="n"/>
      <c r="S260" s="51">
        <f>IF(L260="","",IF(COUNTIF(L$6:L260,L260)&gt;1,"",SUMIF(L$6:L$2000,L260,M$6:M$2000)-SUMIF(L$6:L$2000,L260,G$6:G$2000)))</f>
        <v/>
      </c>
      <c r="T260" s="46">
        <f>IF(AND(C260="",G260=""),"",IF(L260="","Nog factureren",IF(AND(G260&lt;&gt;"",OR(K260="",K260&gt;TODAY())),"Nog betalen",IF(OR(R260="",R260&gt;TODAY()),"Wacht op klant","Afgerond"))))</f>
        <v/>
      </c>
    </row>
    <row r="261">
      <c r="A261" s="45" t="n"/>
      <c r="B261" s="46">
        <f>IF(A261="","",YEAR(A261)&amp;" Q"&amp;ROUNDUP(MONTH(A261)/3,0))</f>
        <v/>
      </c>
      <c r="C261" s="47" t="n"/>
      <c r="D261" s="47" t="n"/>
      <c r="E261" s="47" t="n"/>
      <c r="F261" s="47" t="n"/>
      <c r="G261" s="48" t="n"/>
      <c r="H261" s="49" t="n"/>
      <c r="I261" s="50">
        <f>IF(G261="","",ROUND(G261*H261,2))</f>
        <v/>
      </c>
      <c r="J261" s="50">
        <f>IF(G261="","",G261+N(I261))</f>
        <v/>
      </c>
      <c r="K261" s="45" t="n"/>
      <c r="L261" s="47" t="n"/>
      <c r="M261" s="48" t="n"/>
      <c r="N261" s="49" t="n"/>
      <c r="O261" s="50">
        <f>IF(M261="","",ROUND(M261*N261,2))</f>
        <v/>
      </c>
      <c r="P261" s="50">
        <f>IF(M261="","",M261+N(O261))</f>
        <v/>
      </c>
      <c r="Q261" s="45" t="n"/>
      <c r="R261" s="45" t="n"/>
      <c r="S261" s="51">
        <f>IF(L261="","",IF(COUNTIF(L$6:L261,L261)&gt;1,"",SUMIF(L$6:L$2000,L261,M$6:M$2000)-SUMIF(L$6:L$2000,L261,G$6:G$2000)))</f>
        <v/>
      </c>
      <c r="T261" s="46">
        <f>IF(AND(C261="",G261=""),"",IF(L261="","Nog factureren",IF(AND(G261&lt;&gt;"",OR(K261="",K261&gt;TODAY())),"Nog betalen",IF(OR(R261="",R261&gt;TODAY()),"Wacht op klant","Afgerond"))))</f>
        <v/>
      </c>
    </row>
    <row r="262">
      <c r="A262" s="45" t="n"/>
      <c r="B262" s="46">
        <f>IF(A262="","",YEAR(A262)&amp;" Q"&amp;ROUNDUP(MONTH(A262)/3,0))</f>
        <v/>
      </c>
      <c r="C262" s="47" t="n"/>
      <c r="D262" s="47" t="n"/>
      <c r="E262" s="47" t="n"/>
      <c r="F262" s="47" t="n"/>
      <c r="G262" s="48" t="n"/>
      <c r="H262" s="49" t="n"/>
      <c r="I262" s="50">
        <f>IF(G262="","",ROUND(G262*H262,2))</f>
        <v/>
      </c>
      <c r="J262" s="50">
        <f>IF(G262="","",G262+N(I262))</f>
        <v/>
      </c>
      <c r="K262" s="45" t="n"/>
      <c r="L262" s="47" t="n"/>
      <c r="M262" s="48" t="n"/>
      <c r="N262" s="49" t="n"/>
      <c r="O262" s="50">
        <f>IF(M262="","",ROUND(M262*N262,2))</f>
        <v/>
      </c>
      <c r="P262" s="50">
        <f>IF(M262="","",M262+N(O262))</f>
        <v/>
      </c>
      <c r="Q262" s="45" t="n"/>
      <c r="R262" s="45" t="n"/>
      <c r="S262" s="51">
        <f>IF(L262="","",IF(COUNTIF(L$6:L262,L262)&gt;1,"",SUMIF(L$6:L$2000,L262,M$6:M$2000)-SUMIF(L$6:L$2000,L262,G$6:G$2000)))</f>
        <v/>
      </c>
      <c r="T262" s="46">
        <f>IF(AND(C262="",G262=""),"",IF(L262="","Nog factureren",IF(AND(G262&lt;&gt;"",OR(K262="",K262&gt;TODAY())),"Nog betalen",IF(OR(R262="",R262&gt;TODAY()),"Wacht op klant","Afgerond"))))</f>
        <v/>
      </c>
    </row>
    <row r="263">
      <c r="A263" s="45" t="n"/>
      <c r="B263" s="46">
        <f>IF(A263="","",YEAR(A263)&amp;" Q"&amp;ROUNDUP(MONTH(A263)/3,0))</f>
        <v/>
      </c>
      <c r="C263" s="47" t="n"/>
      <c r="D263" s="47" t="n"/>
      <c r="E263" s="47" t="n"/>
      <c r="F263" s="47" t="n"/>
      <c r="G263" s="48" t="n"/>
      <c r="H263" s="49" t="n"/>
      <c r="I263" s="50">
        <f>IF(G263="","",ROUND(G263*H263,2))</f>
        <v/>
      </c>
      <c r="J263" s="50">
        <f>IF(G263="","",G263+N(I263))</f>
        <v/>
      </c>
      <c r="K263" s="45" t="n"/>
      <c r="L263" s="47" t="n"/>
      <c r="M263" s="48" t="n"/>
      <c r="N263" s="49" t="n"/>
      <c r="O263" s="50">
        <f>IF(M263="","",ROUND(M263*N263,2))</f>
        <v/>
      </c>
      <c r="P263" s="50">
        <f>IF(M263="","",M263+N(O263))</f>
        <v/>
      </c>
      <c r="Q263" s="45" t="n"/>
      <c r="R263" s="45" t="n"/>
      <c r="S263" s="51">
        <f>IF(L263="","",IF(COUNTIF(L$6:L263,L263)&gt;1,"",SUMIF(L$6:L$2000,L263,M$6:M$2000)-SUMIF(L$6:L$2000,L263,G$6:G$2000)))</f>
        <v/>
      </c>
      <c r="T263" s="46">
        <f>IF(AND(C263="",G263=""),"",IF(L263="","Nog factureren",IF(AND(G263&lt;&gt;"",OR(K263="",K263&gt;TODAY())),"Nog betalen",IF(OR(R263="",R263&gt;TODAY()),"Wacht op klant","Afgerond"))))</f>
        <v/>
      </c>
    </row>
    <row r="264">
      <c r="A264" s="45" t="n"/>
      <c r="B264" s="46">
        <f>IF(A264="","",YEAR(A264)&amp;" Q"&amp;ROUNDUP(MONTH(A264)/3,0))</f>
        <v/>
      </c>
      <c r="C264" s="47" t="n"/>
      <c r="D264" s="47" t="n"/>
      <c r="E264" s="47" t="n"/>
      <c r="F264" s="47" t="n"/>
      <c r="G264" s="48" t="n"/>
      <c r="H264" s="49" t="n"/>
      <c r="I264" s="50">
        <f>IF(G264="","",ROUND(G264*H264,2))</f>
        <v/>
      </c>
      <c r="J264" s="50">
        <f>IF(G264="","",G264+N(I264))</f>
        <v/>
      </c>
      <c r="K264" s="45" t="n"/>
      <c r="L264" s="47" t="n"/>
      <c r="M264" s="48" t="n"/>
      <c r="N264" s="49" t="n"/>
      <c r="O264" s="50">
        <f>IF(M264="","",ROUND(M264*N264,2))</f>
        <v/>
      </c>
      <c r="P264" s="50">
        <f>IF(M264="","",M264+N(O264))</f>
        <v/>
      </c>
      <c r="Q264" s="45" t="n"/>
      <c r="R264" s="45" t="n"/>
      <c r="S264" s="51">
        <f>IF(L264="","",IF(COUNTIF(L$6:L264,L264)&gt;1,"",SUMIF(L$6:L$2000,L264,M$6:M$2000)-SUMIF(L$6:L$2000,L264,G$6:G$2000)))</f>
        <v/>
      </c>
      <c r="T264" s="46">
        <f>IF(AND(C264="",G264=""),"",IF(L264="","Nog factureren",IF(AND(G264&lt;&gt;"",OR(K264="",K264&gt;TODAY())),"Nog betalen",IF(OR(R264="",R264&gt;TODAY()),"Wacht op klant","Afgerond"))))</f>
        <v/>
      </c>
    </row>
    <row r="265">
      <c r="A265" s="45" t="n"/>
      <c r="B265" s="46">
        <f>IF(A265="","",YEAR(A265)&amp;" Q"&amp;ROUNDUP(MONTH(A265)/3,0))</f>
        <v/>
      </c>
      <c r="C265" s="47" t="n"/>
      <c r="D265" s="47" t="n"/>
      <c r="E265" s="47" t="n"/>
      <c r="F265" s="47" t="n"/>
      <c r="G265" s="48" t="n"/>
      <c r="H265" s="49" t="n"/>
      <c r="I265" s="50">
        <f>IF(G265="","",ROUND(G265*H265,2))</f>
        <v/>
      </c>
      <c r="J265" s="50">
        <f>IF(G265="","",G265+N(I265))</f>
        <v/>
      </c>
      <c r="K265" s="45" t="n"/>
      <c r="L265" s="47" t="n"/>
      <c r="M265" s="48" t="n"/>
      <c r="N265" s="49" t="n"/>
      <c r="O265" s="50">
        <f>IF(M265="","",ROUND(M265*N265,2))</f>
        <v/>
      </c>
      <c r="P265" s="50">
        <f>IF(M265="","",M265+N(O265))</f>
        <v/>
      </c>
      <c r="Q265" s="45" t="n"/>
      <c r="R265" s="45" t="n"/>
      <c r="S265" s="51">
        <f>IF(L265="","",IF(COUNTIF(L$6:L265,L265)&gt;1,"",SUMIF(L$6:L$2000,L265,M$6:M$2000)-SUMIF(L$6:L$2000,L265,G$6:G$2000)))</f>
        <v/>
      </c>
      <c r="T265" s="46">
        <f>IF(AND(C265="",G265=""),"",IF(L265="","Nog factureren",IF(AND(G265&lt;&gt;"",OR(K265="",K265&gt;TODAY())),"Nog betalen",IF(OR(R265="",R265&gt;TODAY()),"Wacht op klant","Afgerond"))))</f>
        <v/>
      </c>
    </row>
    <row r="266">
      <c r="A266" s="45" t="n"/>
      <c r="B266" s="46">
        <f>IF(A266="","",YEAR(A266)&amp;" Q"&amp;ROUNDUP(MONTH(A266)/3,0))</f>
        <v/>
      </c>
      <c r="C266" s="47" t="n"/>
      <c r="D266" s="47" t="n"/>
      <c r="E266" s="47" t="n"/>
      <c r="F266" s="47" t="n"/>
      <c r="G266" s="48" t="n"/>
      <c r="H266" s="49" t="n"/>
      <c r="I266" s="50">
        <f>IF(G266="","",ROUND(G266*H266,2))</f>
        <v/>
      </c>
      <c r="J266" s="50">
        <f>IF(G266="","",G266+N(I266))</f>
        <v/>
      </c>
      <c r="K266" s="45" t="n"/>
      <c r="L266" s="47" t="n"/>
      <c r="M266" s="48" t="n"/>
      <c r="N266" s="49" t="n"/>
      <c r="O266" s="50">
        <f>IF(M266="","",ROUND(M266*N266,2))</f>
        <v/>
      </c>
      <c r="P266" s="50">
        <f>IF(M266="","",M266+N(O266))</f>
        <v/>
      </c>
      <c r="Q266" s="45" t="n"/>
      <c r="R266" s="45" t="n"/>
      <c r="S266" s="51">
        <f>IF(L266="","",IF(COUNTIF(L$6:L266,L266)&gt;1,"",SUMIF(L$6:L$2000,L266,M$6:M$2000)-SUMIF(L$6:L$2000,L266,G$6:G$2000)))</f>
        <v/>
      </c>
      <c r="T266" s="46">
        <f>IF(AND(C266="",G266=""),"",IF(L266="","Nog factureren",IF(AND(G266&lt;&gt;"",OR(K266="",K266&gt;TODAY())),"Nog betalen",IF(OR(R266="",R266&gt;TODAY()),"Wacht op klant","Afgerond"))))</f>
        <v/>
      </c>
    </row>
    <row r="267">
      <c r="A267" s="45" t="n"/>
      <c r="B267" s="46">
        <f>IF(A267="","",YEAR(A267)&amp;" Q"&amp;ROUNDUP(MONTH(A267)/3,0))</f>
        <v/>
      </c>
      <c r="C267" s="47" t="n"/>
      <c r="D267" s="47" t="n"/>
      <c r="E267" s="47" t="n"/>
      <c r="F267" s="47" t="n"/>
      <c r="G267" s="48" t="n"/>
      <c r="H267" s="49" t="n"/>
      <c r="I267" s="50">
        <f>IF(G267="","",ROUND(G267*H267,2))</f>
        <v/>
      </c>
      <c r="J267" s="50">
        <f>IF(G267="","",G267+N(I267))</f>
        <v/>
      </c>
      <c r="K267" s="45" t="n"/>
      <c r="L267" s="47" t="n"/>
      <c r="M267" s="48" t="n"/>
      <c r="N267" s="49" t="n"/>
      <c r="O267" s="50">
        <f>IF(M267="","",ROUND(M267*N267,2))</f>
        <v/>
      </c>
      <c r="P267" s="50">
        <f>IF(M267="","",M267+N(O267))</f>
        <v/>
      </c>
      <c r="Q267" s="45" t="n"/>
      <c r="R267" s="45" t="n"/>
      <c r="S267" s="51">
        <f>IF(L267="","",IF(COUNTIF(L$6:L267,L267)&gt;1,"",SUMIF(L$6:L$2000,L267,M$6:M$2000)-SUMIF(L$6:L$2000,L267,G$6:G$2000)))</f>
        <v/>
      </c>
      <c r="T267" s="46">
        <f>IF(AND(C267="",G267=""),"",IF(L267="","Nog factureren",IF(AND(G267&lt;&gt;"",OR(K267="",K267&gt;TODAY())),"Nog betalen",IF(OR(R267="",R267&gt;TODAY()),"Wacht op klant","Afgerond"))))</f>
        <v/>
      </c>
    </row>
    <row r="268">
      <c r="A268" s="45" t="n"/>
      <c r="B268" s="46">
        <f>IF(A268="","",YEAR(A268)&amp;" Q"&amp;ROUNDUP(MONTH(A268)/3,0))</f>
        <v/>
      </c>
      <c r="C268" s="47" t="n"/>
      <c r="D268" s="47" t="n"/>
      <c r="E268" s="47" t="n"/>
      <c r="F268" s="47" t="n"/>
      <c r="G268" s="48" t="n"/>
      <c r="H268" s="49" t="n"/>
      <c r="I268" s="50">
        <f>IF(G268="","",ROUND(G268*H268,2))</f>
        <v/>
      </c>
      <c r="J268" s="50">
        <f>IF(G268="","",G268+N(I268))</f>
        <v/>
      </c>
      <c r="K268" s="45" t="n"/>
      <c r="L268" s="47" t="n"/>
      <c r="M268" s="48" t="n"/>
      <c r="N268" s="49" t="n"/>
      <c r="O268" s="50">
        <f>IF(M268="","",ROUND(M268*N268,2))</f>
        <v/>
      </c>
      <c r="P268" s="50">
        <f>IF(M268="","",M268+N(O268))</f>
        <v/>
      </c>
      <c r="Q268" s="45" t="n"/>
      <c r="R268" s="45" t="n"/>
      <c r="S268" s="51">
        <f>IF(L268="","",IF(COUNTIF(L$6:L268,L268)&gt;1,"",SUMIF(L$6:L$2000,L268,M$6:M$2000)-SUMIF(L$6:L$2000,L268,G$6:G$2000)))</f>
        <v/>
      </c>
      <c r="T268" s="46">
        <f>IF(AND(C268="",G268=""),"",IF(L268="","Nog factureren",IF(AND(G268&lt;&gt;"",OR(K268="",K268&gt;TODAY())),"Nog betalen",IF(OR(R268="",R268&gt;TODAY()),"Wacht op klant","Afgerond"))))</f>
        <v/>
      </c>
    </row>
    <row r="269">
      <c r="A269" s="45" t="n"/>
      <c r="B269" s="46">
        <f>IF(A269="","",YEAR(A269)&amp;" Q"&amp;ROUNDUP(MONTH(A269)/3,0))</f>
        <v/>
      </c>
      <c r="C269" s="47" t="n"/>
      <c r="D269" s="47" t="n"/>
      <c r="E269" s="47" t="n"/>
      <c r="F269" s="47" t="n"/>
      <c r="G269" s="48" t="n"/>
      <c r="H269" s="49" t="n"/>
      <c r="I269" s="50">
        <f>IF(G269="","",ROUND(G269*H269,2))</f>
        <v/>
      </c>
      <c r="J269" s="50">
        <f>IF(G269="","",G269+N(I269))</f>
        <v/>
      </c>
      <c r="K269" s="45" t="n"/>
      <c r="L269" s="47" t="n"/>
      <c r="M269" s="48" t="n"/>
      <c r="N269" s="49" t="n"/>
      <c r="O269" s="50">
        <f>IF(M269="","",ROUND(M269*N269,2))</f>
        <v/>
      </c>
      <c r="P269" s="50">
        <f>IF(M269="","",M269+N(O269))</f>
        <v/>
      </c>
      <c r="Q269" s="45" t="n"/>
      <c r="R269" s="45" t="n"/>
      <c r="S269" s="51">
        <f>IF(L269="","",IF(COUNTIF(L$6:L269,L269)&gt;1,"",SUMIF(L$6:L$2000,L269,M$6:M$2000)-SUMIF(L$6:L$2000,L269,G$6:G$2000)))</f>
        <v/>
      </c>
      <c r="T269" s="46">
        <f>IF(AND(C269="",G269=""),"",IF(L269="","Nog factureren",IF(AND(G269&lt;&gt;"",OR(K269="",K269&gt;TODAY())),"Nog betalen",IF(OR(R269="",R269&gt;TODAY()),"Wacht op klant","Afgerond"))))</f>
        <v/>
      </c>
    </row>
    <row r="270">
      <c r="A270" s="45" t="n"/>
      <c r="B270" s="46">
        <f>IF(A270="","",YEAR(A270)&amp;" Q"&amp;ROUNDUP(MONTH(A270)/3,0))</f>
        <v/>
      </c>
      <c r="C270" s="47" t="n"/>
      <c r="D270" s="47" t="n"/>
      <c r="E270" s="47" t="n"/>
      <c r="F270" s="47" t="n"/>
      <c r="G270" s="48" t="n"/>
      <c r="H270" s="49" t="n"/>
      <c r="I270" s="50">
        <f>IF(G270="","",ROUND(G270*H270,2))</f>
        <v/>
      </c>
      <c r="J270" s="50">
        <f>IF(G270="","",G270+N(I270))</f>
        <v/>
      </c>
      <c r="K270" s="45" t="n"/>
      <c r="L270" s="47" t="n"/>
      <c r="M270" s="48" t="n"/>
      <c r="N270" s="49" t="n"/>
      <c r="O270" s="50">
        <f>IF(M270="","",ROUND(M270*N270,2))</f>
        <v/>
      </c>
      <c r="P270" s="50">
        <f>IF(M270="","",M270+N(O270))</f>
        <v/>
      </c>
      <c r="Q270" s="45" t="n"/>
      <c r="R270" s="45" t="n"/>
      <c r="S270" s="51">
        <f>IF(L270="","",IF(COUNTIF(L$6:L270,L270)&gt;1,"",SUMIF(L$6:L$2000,L270,M$6:M$2000)-SUMIF(L$6:L$2000,L270,G$6:G$2000)))</f>
        <v/>
      </c>
      <c r="T270" s="46">
        <f>IF(AND(C270="",G270=""),"",IF(L270="","Nog factureren",IF(AND(G270&lt;&gt;"",OR(K270="",K270&gt;TODAY())),"Nog betalen",IF(OR(R270="",R270&gt;TODAY()),"Wacht op klant","Afgerond"))))</f>
        <v/>
      </c>
    </row>
    <row r="271">
      <c r="A271" s="45" t="n"/>
      <c r="B271" s="46">
        <f>IF(A271="","",YEAR(A271)&amp;" Q"&amp;ROUNDUP(MONTH(A271)/3,0))</f>
        <v/>
      </c>
      <c r="C271" s="47" t="n"/>
      <c r="D271" s="47" t="n"/>
      <c r="E271" s="47" t="n"/>
      <c r="F271" s="47" t="n"/>
      <c r="G271" s="48" t="n"/>
      <c r="H271" s="49" t="n"/>
      <c r="I271" s="50">
        <f>IF(G271="","",ROUND(G271*H271,2))</f>
        <v/>
      </c>
      <c r="J271" s="50">
        <f>IF(G271="","",G271+N(I271))</f>
        <v/>
      </c>
      <c r="K271" s="45" t="n"/>
      <c r="L271" s="47" t="n"/>
      <c r="M271" s="48" t="n"/>
      <c r="N271" s="49" t="n"/>
      <c r="O271" s="50">
        <f>IF(M271="","",ROUND(M271*N271,2))</f>
        <v/>
      </c>
      <c r="P271" s="50">
        <f>IF(M271="","",M271+N(O271))</f>
        <v/>
      </c>
      <c r="Q271" s="45" t="n"/>
      <c r="R271" s="45" t="n"/>
      <c r="S271" s="51">
        <f>IF(L271="","",IF(COUNTIF(L$6:L271,L271)&gt;1,"",SUMIF(L$6:L$2000,L271,M$6:M$2000)-SUMIF(L$6:L$2000,L271,G$6:G$2000)))</f>
        <v/>
      </c>
      <c r="T271" s="46">
        <f>IF(AND(C271="",G271=""),"",IF(L271="","Nog factureren",IF(AND(G271&lt;&gt;"",OR(K271="",K271&gt;TODAY())),"Nog betalen",IF(OR(R271="",R271&gt;TODAY()),"Wacht op klant","Afgerond"))))</f>
        <v/>
      </c>
    </row>
    <row r="272">
      <c r="A272" s="45" t="n"/>
      <c r="B272" s="46">
        <f>IF(A272="","",YEAR(A272)&amp;" Q"&amp;ROUNDUP(MONTH(A272)/3,0))</f>
        <v/>
      </c>
      <c r="C272" s="47" t="n"/>
      <c r="D272" s="47" t="n"/>
      <c r="E272" s="47" t="n"/>
      <c r="F272" s="47" t="n"/>
      <c r="G272" s="48" t="n"/>
      <c r="H272" s="49" t="n"/>
      <c r="I272" s="50">
        <f>IF(G272="","",ROUND(G272*H272,2))</f>
        <v/>
      </c>
      <c r="J272" s="50">
        <f>IF(G272="","",G272+N(I272))</f>
        <v/>
      </c>
      <c r="K272" s="45" t="n"/>
      <c r="L272" s="47" t="n"/>
      <c r="M272" s="48" t="n"/>
      <c r="N272" s="49" t="n"/>
      <c r="O272" s="50">
        <f>IF(M272="","",ROUND(M272*N272,2))</f>
        <v/>
      </c>
      <c r="P272" s="50">
        <f>IF(M272="","",M272+N(O272))</f>
        <v/>
      </c>
      <c r="Q272" s="45" t="n"/>
      <c r="R272" s="45" t="n"/>
      <c r="S272" s="51">
        <f>IF(L272="","",IF(COUNTIF(L$6:L272,L272)&gt;1,"",SUMIF(L$6:L$2000,L272,M$6:M$2000)-SUMIF(L$6:L$2000,L272,G$6:G$2000)))</f>
        <v/>
      </c>
      <c r="T272" s="46">
        <f>IF(AND(C272="",G272=""),"",IF(L272="","Nog factureren",IF(AND(G272&lt;&gt;"",OR(K272="",K272&gt;TODAY())),"Nog betalen",IF(OR(R272="",R272&gt;TODAY()),"Wacht op klant","Afgerond"))))</f>
        <v/>
      </c>
    </row>
    <row r="273">
      <c r="A273" s="45" t="n"/>
      <c r="B273" s="46">
        <f>IF(A273="","",YEAR(A273)&amp;" Q"&amp;ROUNDUP(MONTH(A273)/3,0))</f>
        <v/>
      </c>
      <c r="C273" s="47" t="n"/>
      <c r="D273" s="47" t="n"/>
      <c r="E273" s="47" t="n"/>
      <c r="F273" s="47" t="n"/>
      <c r="G273" s="48" t="n"/>
      <c r="H273" s="49" t="n"/>
      <c r="I273" s="50">
        <f>IF(G273="","",ROUND(G273*H273,2))</f>
        <v/>
      </c>
      <c r="J273" s="50">
        <f>IF(G273="","",G273+N(I273))</f>
        <v/>
      </c>
      <c r="K273" s="45" t="n"/>
      <c r="L273" s="47" t="n"/>
      <c r="M273" s="48" t="n"/>
      <c r="N273" s="49" t="n"/>
      <c r="O273" s="50">
        <f>IF(M273="","",ROUND(M273*N273,2))</f>
        <v/>
      </c>
      <c r="P273" s="50">
        <f>IF(M273="","",M273+N(O273))</f>
        <v/>
      </c>
      <c r="Q273" s="45" t="n"/>
      <c r="R273" s="45" t="n"/>
      <c r="S273" s="51">
        <f>IF(L273="","",IF(COUNTIF(L$6:L273,L273)&gt;1,"",SUMIF(L$6:L$2000,L273,M$6:M$2000)-SUMIF(L$6:L$2000,L273,G$6:G$2000)))</f>
        <v/>
      </c>
      <c r="T273" s="46">
        <f>IF(AND(C273="",G273=""),"",IF(L273="","Nog factureren",IF(AND(G273&lt;&gt;"",OR(K273="",K273&gt;TODAY())),"Nog betalen",IF(OR(R273="",R273&gt;TODAY()),"Wacht op klant","Afgerond"))))</f>
        <v/>
      </c>
    </row>
    <row r="274">
      <c r="A274" s="45" t="n"/>
      <c r="B274" s="46">
        <f>IF(A274="","",YEAR(A274)&amp;" Q"&amp;ROUNDUP(MONTH(A274)/3,0))</f>
        <v/>
      </c>
      <c r="C274" s="47" t="n"/>
      <c r="D274" s="47" t="n"/>
      <c r="E274" s="47" t="n"/>
      <c r="F274" s="47" t="n"/>
      <c r="G274" s="48" t="n"/>
      <c r="H274" s="49" t="n"/>
      <c r="I274" s="50">
        <f>IF(G274="","",ROUND(G274*H274,2))</f>
        <v/>
      </c>
      <c r="J274" s="50">
        <f>IF(G274="","",G274+N(I274))</f>
        <v/>
      </c>
      <c r="K274" s="45" t="n"/>
      <c r="L274" s="47" t="n"/>
      <c r="M274" s="48" t="n"/>
      <c r="N274" s="49" t="n"/>
      <c r="O274" s="50">
        <f>IF(M274="","",ROUND(M274*N274,2))</f>
        <v/>
      </c>
      <c r="P274" s="50">
        <f>IF(M274="","",M274+N(O274))</f>
        <v/>
      </c>
      <c r="Q274" s="45" t="n"/>
      <c r="R274" s="45" t="n"/>
      <c r="S274" s="51">
        <f>IF(L274="","",IF(COUNTIF(L$6:L274,L274)&gt;1,"",SUMIF(L$6:L$2000,L274,M$6:M$2000)-SUMIF(L$6:L$2000,L274,G$6:G$2000)))</f>
        <v/>
      </c>
      <c r="T274" s="46">
        <f>IF(AND(C274="",G274=""),"",IF(L274="","Nog factureren",IF(AND(G274&lt;&gt;"",OR(K274="",K274&gt;TODAY())),"Nog betalen",IF(OR(R274="",R274&gt;TODAY()),"Wacht op klant","Afgerond"))))</f>
        <v/>
      </c>
    </row>
    <row r="275">
      <c r="A275" s="45" t="n"/>
      <c r="B275" s="46">
        <f>IF(A275="","",YEAR(A275)&amp;" Q"&amp;ROUNDUP(MONTH(A275)/3,0))</f>
        <v/>
      </c>
      <c r="C275" s="47" t="n"/>
      <c r="D275" s="47" t="n"/>
      <c r="E275" s="47" t="n"/>
      <c r="F275" s="47" t="n"/>
      <c r="G275" s="48" t="n"/>
      <c r="H275" s="49" t="n"/>
      <c r="I275" s="50">
        <f>IF(G275="","",ROUND(G275*H275,2))</f>
        <v/>
      </c>
      <c r="J275" s="50">
        <f>IF(G275="","",G275+N(I275))</f>
        <v/>
      </c>
      <c r="K275" s="45" t="n"/>
      <c r="L275" s="47" t="n"/>
      <c r="M275" s="48" t="n"/>
      <c r="N275" s="49" t="n"/>
      <c r="O275" s="50">
        <f>IF(M275="","",ROUND(M275*N275,2))</f>
        <v/>
      </c>
      <c r="P275" s="50">
        <f>IF(M275="","",M275+N(O275))</f>
        <v/>
      </c>
      <c r="Q275" s="45" t="n"/>
      <c r="R275" s="45" t="n"/>
      <c r="S275" s="51">
        <f>IF(L275="","",IF(COUNTIF(L$6:L275,L275)&gt;1,"",SUMIF(L$6:L$2000,L275,M$6:M$2000)-SUMIF(L$6:L$2000,L275,G$6:G$2000)))</f>
        <v/>
      </c>
      <c r="T275" s="46">
        <f>IF(AND(C275="",G275=""),"",IF(L275="","Nog factureren",IF(AND(G275&lt;&gt;"",OR(K275="",K275&gt;TODAY())),"Nog betalen",IF(OR(R275="",R275&gt;TODAY()),"Wacht op klant","Afgerond"))))</f>
        <v/>
      </c>
    </row>
    <row r="276">
      <c r="A276" s="45" t="n"/>
      <c r="B276" s="46">
        <f>IF(A276="","",YEAR(A276)&amp;" Q"&amp;ROUNDUP(MONTH(A276)/3,0))</f>
        <v/>
      </c>
      <c r="C276" s="47" t="n"/>
      <c r="D276" s="47" t="n"/>
      <c r="E276" s="47" t="n"/>
      <c r="F276" s="47" t="n"/>
      <c r="G276" s="48" t="n"/>
      <c r="H276" s="49" t="n"/>
      <c r="I276" s="50">
        <f>IF(G276="","",ROUND(G276*H276,2))</f>
        <v/>
      </c>
      <c r="J276" s="50">
        <f>IF(G276="","",G276+N(I276))</f>
        <v/>
      </c>
      <c r="K276" s="45" t="n"/>
      <c r="L276" s="47" t="n"/>
      <c r="M276" s="48" t="n"/>
      <c r="N276" s="49" t="n"/>
      <c r="O276" s="50">
        <f>IF(M276="","",ROUND(M276*N276,2))</f>
        <v/>
      </c>
      <c r="P276" s="50">
        <f>IF(M276="","",M276+N(O276))</f>
        <v/>
      </c>
      <c r="Q276" s="45" t="n"/>
      <c r="R276" s="45" t="n"/>
      <c r="S276" s="51">
        <f>IF(L276="","",IF(COUNTIF(L$6:L276,L276)&gt;1,"",SUMIF(L$6:L$2000,L276,M$6:M$2000)-SUMIF(L$6:L$2000,L276,G$6:G$2000)))</f>
        <v/>
      </c>
      <c r="T276" s="46">
        <f>IF(AND(C276="",G276=""),"",IF(L276="","Nog factureren",IF(AND(G276&lt;&gt;"",OR(K276="",K276&gt;TODAY())),"Nog betalen",IF(OR(R276="",R276&gt;TODAY()),"Wacht op klant","Afgerond"))))</f>
        <v/>
      </c>
    </row>
    <row r="277">
      <c r="A277" s="45" t="n"/>
      <c r="B277" s="46">
        <f>IF(A277="","",YEAR(A277)&amp;" Q"&amp;ROUNDUP(MONTH(A277)/3,0))</f>
        <v/>
      </c>
      <c r="C277" s="47" t="n"/>
      <c r="D277" s="47" t="n"/>
      <c r="E277" s="47" t="n"/>
      <c r="F277" s="47" t="n"/>
      <c r="G277" s="48" t="n"/>
      <c r="H277" s="49" t="n"/>
      <c r="I277" s="50">
        <f>IF(G277="","",ROUND(G277*H277,2))</f>
        <v/>
      </c>
      <c r="J277" s="50">
        <f>IF(G277="","",G277+N(I277))</f>
        <v/>
      </c>
      <c r="K277" s="45" t="n"/>
      <c r="L277" s="47" t="n"/>
      <c r="M277" s="48" t="n"/>
      <c r="N277" s="49" t="n"/>
      <c r="O277" s="50">
        <f>IF(M277="","",ROUND(M277*N277,2))</f>
        <v/>
      </c>
      <c r="P277" s="50">
        <f>IF(M277="","",M277+N(O277))</f>
        <v/>
      </c>
      <c r="Q277" s="45" t="n"/>
      <c r="R277" s="45" t="n"/>
      <c r="S277" s="51">
        <f>IF(L277="","",IF(COUNTIF(L$6:L277,L277)&gt;1,"",SUMIF(L$6:L$2000,L277,M$6:M$2000)-SUMIF(L$6:L$2000,L277,G$6:G$2000)))</f>
        <v/>
      </c>
      <c r="T277" s="46">
        <f>IF(AND(C277="",G277=""),"",IF(L277="","Nog factureren",IF(AND(G277&lt;&gt;"",OR(K277="",K277&gt;TODAY())),"Nog betalen",IF(OR(R277="",R277&gt;TODAY()),"Wacht op klant","Afgerond"))))</f>
        <v/>
      </c>
    </row>
    <row r="278">
      <c r="A278" s="45" t="n"/>
      <c r="B278" s="46">
        <f>IF(A278="","",YEAR(A278)&amp;" Q"&amp;ROUNDUP(MONTH(A278)/3,0))</f>
        <v/>
      </c>
      <c r="C278" s="47" t="n"/>
      <c r="D278" s="47" t="n"/>
      <c r="E278" s="47" t="n"/>
      <c r="F278" s="47" t="n"/>
      <c r="G278" s="48" t="n"/>
      <c r="H278" s="49" t="n"/>
      <c r="I278" s="50">
        <f>IF(G278="","",ROUND(G278*H278,2))</f>
        <v/>
      </c>
      <c r="J278" s="50">
        <f>IF(G278="","",G278+N(I278))</f>
        <v/>
      </c>
      <c r="K278" s="45" t="n"/>
      <c r="L278" s="47" t="n"/>
      <c r="M278" s="48" t="n"/>
      <c r="N278" s="49" t="n"/>
      <c r="O278" s="50">
        <f>IF(M278="","",ROUND(M278*N278,2))</f>
        <v/>
      </c>
      <c r="P278" s="50">
        <f>IF(M278="","",M278+N(O278))</f>
        <v/>
      </c>
      <c r="Q278" s="45" t="n"/>
      <c r="R278" s="45" t="n"/>
      <c r="S278" s="51">
        <f>IF(L278="","",IF(COUNTIF(L$6:L278,L278)&gt;1,"",SUMIF(L$6:L$2000,L278,M$6:M$2000)-SUMIF(L$6:L$2000,L278,G$6:G$2000)))</f>
        <v/>
      </c>
      <c r="T278" s="46">
        <f>IF(AND(C278="",G278=""),"",IF(L278="","Nog factureren",IF(AND(G278&lt;&gt;"",OR(K278="",K278&gt;TODAY())),"Nog betalen",IF(OR(R278="",R278&gt;TODAY()),"Wacht op klant","Afgerond"))))</f>
        <v/>
      </c>
    </row>
    <row r="279">
      <c r="A279" s="45" t="n"/>
      <c r="B279" s="46">
        <f>IF(A279="","",YEAR(A279)&amp;" Q"&amp;ROUNDUP(MONTH(A279)/3,0))</f>
        <v/>
      </c>
      <c r="C279" s="47" t="n"/>
      <c r="D279" s="47" t="n"/>
      <c r="E279" s="47" t="n"/>
      <c r="F279" s="47" t="n"/>
      <c r="G279" s="48" t="n"/>
      <c r="H279" s="49" t="n"/>
      <c r="I279" s="50">
        <f>IF(G279="","",ROUND(G279*H279,2))</f>
        <v/>
      </c>
      <c r="J279" s="50">
        <f>IF(G279="","",G279+N(I279))</f>
        <v/>
      </c>
      <c r="K279" s="45" t="n"/>
      <c r="L279" s="47" t="n"/>
      <c r="M279" s="48" t="n"/>
      <c r="N279" s="49" t="n"/>
      <c r="O279" s="50">
        <f>IF(M279="","",ROUND(M279*N279,2))</f>
        <v/>
      </c>
      <c r="P279" s="50">
        <f>IF(M279="","",M279+N(O279))</f>
        <v/>
      </c>
      <c r="Q279" s="45" t="n"/>
      <c r="R279" s="45" t="n"/>
      <c r="S279" s="51">
        <f>IF(L279="","",IF(COUNTIF(L$6:L279,L279)&gt;1,"",SUMIF(L$6:L$2000,L279,M$6:M$2000)-SUMIF(L$6:L$2000,L279,G$6:G$2000)))</f>
        <v/>
      </c>
      <c r="T279" s="46">
        <f>IF(AND(C279="",G279=""),"",IF(L279="","Nog factureren",IF(AND(G279&lt;&gt;"",OR(K279="",K279&gt;TODAY())),"Nog betalen",IF(OR(R279="",R279&gt;TODAY()),"Wacht op klant","Afgerond"))))</f>
        <v/>
      </c>
    </row>
    <row r="280">
      <c r="A280" s="45" t="n"/>
      <c r="B280" s="46">
        <f>IF(A280="","",YEAR(A280)&amp;" Q"&amp;ROUNDUP(MONTH(A280)/3,0))</f>
        <v/>
      </c>
      <c r="C280" s="47" t="n"/>
      <c r="D280" s="47" t="n"/>
      <c r="E280" s="47" t="n"/>
      <c r="F280" s="47" t="n"/>
      <c r="G280" s="48" t="n"/>
      <c r="H280" s="49" t="n"/>
      <c r="I280" s="50">
        <f>IF(G280="","",ROUND(G280*H280,2))</f>
        <v/>
      </c>
      <c r="J280" s="50">
        <f>IF(G280="","",G280+N(I280))</f>
        <v/>
      </c>
      <c r="K280" s="45" t="n"/>
      <c r="L280" s="47" t="n"/>
      <c r="M280" s="48" t="n"/>
      <c r="N280" s="49" t="n"/>
      <c r="O280" s="50">
        <f>IF(M280="","",ROUND(M280*N280,2))</f>
        <v/>
      </c>
      <c r="P280" s="50">
        <f>IF(M280="","",M280+N(O280))</f>
        <v/>
      </c>
      <c r="Q280" s="45" t="n"/>
      <c r="R280" s="45" t="n"/>
      <c r="S280" s="51">
        <f>IF(L280="","",IF(COUNTIF(L$6:L280,L280)&gt;1,"",SUMIF(L$6:L$2000,L280,M$6:M$2000)-SUMIF(L$6:L$2000,L280,G$6:G$2000)))</f>
        <v/>
      </c>
      <c r="T280" s="46">
        <f>IF(AND(C280="",G280=""),"",IF(L280="","Nog factureren",IF(AND(G280&lt;&gt;"",OR(K280="",K280&gt;TODAY())),"Nog betalen",IF(OR(R280="",R280&gt;TODAY()),"Wacht op klant","Afgerond"))))</f>
        <v/>
      </c>
    </row>
    <row r="281">
      <c r="A281" s="45" t="n"/>
      <c r="B281" s="46">
        <f>IF(A281="","",YEAR(A281)&amp;" Q"&amp;ROUNDUP(MONTH(A281)/3,0))</f>
        <v/>
      </c>
      <c r="C281" s="47" t="n"/>
      <c r="D281" s="47" t="n"/>
      <c r="E281" s="47" t="n"/>
      <c r="F281" s="47" t="n"/>
      <c r="G281" s="48" t="n"/>
      <c r="H281" s="49" t="n"/>
      <c r="I281" s="50">
        <f>IF(G281="","",ROUND(G281*H281,2))</f>
        <v/>
      </c>
      <c r="J281" s="50">
        <f>IF(G281="","",G281+N(I281))</f>
        <v/>
      </c>
      <c r="K281" s="45" t="n"/>
      <c r="L281" s="47" t="n"/>
      <c r="M281" s="48" t="n"/>
      <c r="N281" s="49" t="n"/>
      <c r="O281" s="50">
        <f>IF(M281="","",ROUND(M281*N281,2))</f>
        <v/>
      </c>
      <c r="P281" s="50">
        <f>IF(M281="","",M281+N(O281))</f>
        <v/>
      </c>
      <c r="Q281" s="45" t="n"/>
      <c r="R281" s="45" t="n"/>
      <c r="S281" s="51">
        <f>IF(L281="","",IF(COUNTIF(L$6:L281,L281)&gt;1,"",SUMIF(L$6:L$2000,L281,M$6:M$2000)-SUMIF(L$6:L$2000,L281,G$6:G$2000)))</f>
        <v/>
      </c>
      <c r="T281" s="46">
        <f>IF(AND(C281="",G281=""),"",IF(L281="","Nog factureren",IF(AND(G281&lt;&gt;"",OR(K281="",K281&gt;TODAY())),"Nog betalen",IF(OR(R281="",R281&gt;TODAY()),"Wacht op klant","Afgerond"))))</f>
        <v/>
      </c>
    </row>
    <row r="282">
      <c r="A282" s="45" t="n"/>
      <c r="B282" s="46">
        <f>IF(A282="","",YEAR(A282)&amp;" Q"&amp;ROUNDUP(MONTH(A282)/3,0))</f>
        <v/>
      </c>
      <c r="C282" s="47" t="n"/>
      <c r="D282" s="47" t="n"/>
      <c r="E282" s="47" t="n"/>
      <c r="F282" s="47" t="n"/>
      <c r="G282" s="48" t="n"/>
      <c r="H282" s="49" t="n"/>
      <c r="I282" s="50">
        <f>IF(G282="","",ROUND(G282*H282,2))</f>
        <v/>
      </c>
      <c r="J282" s="50">
        <f>IF(G282="","",G282+N(I282))</f>
        <v/>
      </c>
      <c r="K282" s="45" t="n"/>
      <c r="L282" s="47" t="n"/>
      <c r="M282" s="48" t="n"/>
      <c r="N282" s="49" t="n"/>
      <c r="O282" s="50">
        <f>IF(M282="","",ROUND(M282*N282,2))</f>
        <v/>
      </c>
      <c r="P282" s="50">
        <f>IF(M282="","",M282+N(O282))</f>
        <v/>
      </c>
      <c r="Q282" s="45" t="n"/>
      <c r="R282" s="45" t="n"/>
      <c r="S282" s="51">
        <f>IF(L282="","",IF(COUNTIF(L$6:L282,L282)&gt;1,"",SUMIF(L$6:L$2000,L282,M$6:M$2000)-SUMIF(L$6:L$2000,L282,G$6:G$2000)))</f>
        <v/>
      </c>
      <c r="T282" s="46">
        <f>IF(AND(C282="",G282=""),"",IF(L282="","Nog factureren",IF(AND(G282&lt;&gt;"",OR(K282="",K282&gt;TODAY())),"Nog betalen",IF(OR(R282="",R282&gt;TODAY()),"Wacht op klant","Afgerond"))))</f>
        <v/>
      </c>
    </row>
    <row r="283">
      <c r="A283" s="45" t="n"/>
      <c r="B283" s="46">
        <f>IF(A283="","",YEAR(A283)&amp;" Q"&amp;ROUNDUP(MONTH(A283)/3,0))</f>
        <v/>
      </c>
      <c r="C283" s="47" t="n"/>
      <c r="D283" s="47" t="n"/>
      <c r="E283" s="47" t="n"/>
      <c r="F283" s="47" t="n"/>
      <c r="G283" s="48" t="n"/>
      <c r="H283" s="49" t="n"/>
      <c r="I283" s="50">
        <f>IF(G283="","",ROUND(G283*H283,2))</f>
        <v/>
      </c>
      <c r="J283" s="50">
        <f>IF(G283="","",G283+N(I283))</f>
        <v/>
      </c>
      <c r="K283" s="45" t="n"/>
      <c r="L283" s="47" t="n"/>
      <c r="M283" s="48" t="n"/>
      <c r="N283" s="49" t="n"/>
      <c r="O283" s="50">
        <f>IF(M283="","",ROUND(M283*N283,2))</f>
        <v/>
      </c>
      <c r="P283" s="50">
        <f>IF(M283="","",M283+N(O283))</f>
        <v/>
      </c>
      <c r="Q283" s="45" t="n"/>
      <c r="R283" s="45" t="n"/>
      <c r="S283" s="51">
        <f>IF(L283="","",IF(COUNTIF(L$6:L283,L283)&gt;1,"",SUMIF(L$6:L$2000,L283,M$6:M$2000)-SUMIF(L$6:L$2000,L283,G$6:G$2000)))</f>
        <v/>
      </c>
      <c r="T283" s="46">
        <f>IF(AND(C283="",G283=""),"",IF(L283="","Nog factureren",IF(AND(G283&lt;&gt;"",OR(K283="",K283&gt;TODAY())),"Nog betalen",IF(OR(R283="",R283&gt;TODAY()),"Wacht op klant","Afgerond"))))</f>
        <v/>
      </c>
    </row>
    <row r="284">
      <c r="A284" s="45" t="n"/>
      <c r="B284" s="46">
        <f>IF(A284="","",YEAR(A284)&amp;" Q"&amp;ROUNDUP(MONTH(A284)/3,0))</f>
        <v/>
      </c>
      <c r="C284" s="47" t="n"/>
      <c r="D284" s="47" t="n"/>
      <c r="E284" s="47" t="n"/>
      <c r="F284" s="47" t="n"/>
      <c r="G284" s="48" t="n"/>
      <c r="H284" s="49" t="n"/>
      <c r="I284" s="50">
        <f>IF(G284="","",ROUND(G284*H284,2))</f>
        <v/>
      </c>
      <c r="J284" s="50">
        <f>IF(G284="","",G284+N(I284))</f>
        <v/>
      </c>
      <c r="K284" s="45" t="n"/>
      <c r="L284" s="47" t="n"/>
      <c r="M284" s="48" t="n"/>
      <c r="N284" s="49" t="n"/>
      <c r="O284" s="50">
        <f>IF(M284="","",ROUND(M284*N284,2))</f>
        <v/>
      </c>
      <c r="P284" s="50">
        <f>IF(M284="","",M284+N(O284))</f>
        <v/>
      </c>
      <c r="Q284" s="45" t="n"/>
      <c r="R284" s="45" t="n"/>
      <c r="S284" s="51">
        <f>IF(L284="","",IF(COUNTIF(L$6:L284,L284)&gt;1,"",SUMIF(L$6:L$2000,L284,M$6:M$2000)-SUMIF(L$6:L$2000,L284,G$6:G$2000)))</f>
        <v/>
      </c>
      <c r="T284" s="46">
        <f>IF(AND(C284="",G284=""),"",IF(L284="","Nog factureren",IF(AND(G284&lt;&gt;"",OR(K284="",K284&gt;TODAY())),"Nog betalen",IF(OR(R284="",R284&gt;TODAY()),"Wacht op klant","Afgerond"))))</f>
        <v/>
      </c>
    </row>
    <row r="285">
      <c r="A285" s="45" t="n"/>
      <c r="B285" s="46">
        <f>IF(A285="","",YEAR(A285)&amp;" Q"&amp;ROUNDUP(MONTH(A285)/3,0))</f>
        <v/>
      </c>
      <c r="C285" s="47" t="n"/>
      <c r="D285" s="47" t="n"/>
      <c r="E285" s="47" t="n"/>
      <c r="F285" s="47" t="n"/>
      <c r="G285" s="48" t="n"/>
      <c r="H285" s="49" t="n"/>
      <c r="I285" s="50">
        <f>IF(G285="","",ROUND(G285*H285,2))</f>
        <v/>
      </c>
      <c r="J285" s="50">
        <f>IF(G285="","",G285+N(I285))</f>
        <v/>
      </c>
      <c r="K285" s="45" t="n"/>
      <c r="L285" s="47" t="n"/>
      <c r="M285" s="48" t="n"/>
      <c r="N285" s="49" t="n"/>
      <c r="O285" s="50">
        <f>IF(M285="","",ROUND(M285*N285,2))</f>
        <v/>
      </c>
      <c r="P285" s="50">
        <f>IF(M285="","",M285+N(O285))</f>
        <v/>
      </c>
      <c r="Q285" s="45" t="n"/>
      <c r="R285" s="45" t="n"/>
      <c r="S285" s="51">
        <f>IF(L285="","",IF(COUNTIF(L$6:L285,L285)&gt;1,"",SUMIF(L$6:L$2000,L285,M$6:M$2000)-SUMIF(L$6:L$2000,L285,G$6:G$2000)))</f>
        <v/>
      </c>
      <c r="T285" s="46">
        <f>IF(AND(C285="",G285=""),"",IF(L285="","Nog factureren",IF(AND(G285&lt;&gt;"",OR(K285="",K285&gt;TODAY())),"Nog betalen",IF(OR(R285="",R285&gt;TODAY()),"Wacht op klant","Afgerond"))))</f>
        <v/>
      </c>
    </row>
    <row r="286">
      <c r="A286" s="45" t="n"/>
      <c r="B286" s="46">
        <f>IF(A286="","",YEAR(A286)&amp;" Q"&amp;ROUNDUP(MONTH(A286)/3,0))</f>
        <v/>
      </c>
      <c r="C286" s="47" t="n"/>
      <c r="D286" s="47" t="n"/>
      <c r="E286" s="47" t="n"/>
      <c r="F286" s="47" t="n"/>
      <c r="G286" s="48" t="n"/>
      <c r="H286" s="49" t="n"/>
      <c r="I286" s="50">
        <f>IF(G286="","",ROUND(G286*H286,2))</f>
        <v/>
      </c>
      <c r="J286" s="50">
        <f>IF(G286="","",G286+N(I286))</f>
        <v/>
      </c>
      <c r="K286" s="45" t="n"/>
      <c r="L286" s="47" t="n"/>
      <c r="M286" s="48" t="n"/>
      <c r="N286" s="49" t="n"/>
      <c r="O286" s="50">
        <f>IF(M286="","",ROUND(M286*N286,2))</f>
        <v/>
      </c>
      <c r="P286" s="50">
        <f>IF(M286="","",M286+N(O286))</f>
        <v/>
      </c>
      <c r="Q286" s="45" t="n"/>
      <c r="R286" s="45" t="n"/>
      <c r="S286" s="51">
        <f>IF(L286="","",IF(COUNTIF(L$6:L286,L286)&gt;1,"",SUMIF(L$6:L$2000,L286,M$6:M$2000)-SUMIF(L$6:L$2000,L286,G$6:G$2000)))</f>
        <v/>
      </c>
      <c r="T286" s="46">
        <f>IF(AND(C286="",G286=""),"",IF(L286="","Nog factureren",IF(AND(G286&lt;&gt;"",OR(K286="",K286&gt;TODAY())),"Nog betalen",IF(OR(R286="",R286&gt;TODAY()),"Wacht op klant","Afgerond"))))</f>
        <v/>
      </c>
    </row>
    <row r="287">
      <c r="A287" s="45" t="n"/>
      <c r="B287" s="46">
        <f>IF(A287="","",YEAR(A287)&amp;" Q"&amp;ROUNDUP(MONTH(A287)/3,0))</f>
        <v/>
      </c>
      <c r="C287" s="47" t="n"/>
      <c r="D287" s="47" t="n"/>
      <c r="E287" s="47" t="n"/>
      <c r="F287" s="47" t="n"/>
      <c r="G287" s="48" t="n"/>
      <c r="H287" s="49" t="n"/>
      <c r="I287" s="50">
        <f>IF(G287="","",ROUND(G287*H287,2))</f>
        <v/>
      </c>
      <c r="J287" s="50">
        <f>IF(G287="","",G287+N(I287))</f>
        <v/>
      </c>
      <c r="K287" s="45" t="n"/>
      <c r="L287" s="47" t="n"/>
      <c r="M287" s="48" t="n"/>
      <c r="N287" s="49" t="n"/>
      <c r="O287" s="50">
        <f>IF(M287="","",ROUND(M287*N287,2))</f>
        <v/>
      </c>
      <c r="P287" s="50">
        <f>IF(M287="","",M287+N(O287))</f>
        <v/>
      </c>
      <c r="Q287" s="45" t="n"/>
      <c r="R287" s="45" t="n"/>
      <c r="S287" s="51">
        <f>IF(L287="","",IF(COUNTIF(L$6:L287,L287)&gt;1,"",SUMIF(L$6:L$2000,L287,M$6:M$2000)-SUMIF(L$6:L$2000,L287,G$6:G$2000)))</f>
        <v/>
      </c>
      <c r="T287" s="46">
        <f>IF(AND(C287="",G287=""),"",IF(L287="","Nog factureren",IF(AND(G287&lt;&gt;"",OR(K287="",K287&gt;TODAY())),"Nog betalen",IF(OR(R287="",R287&gt;TODAY()),"Wacht op klant","Afgerond"))))</f>
        <v/>
      </c>
    </row>
    <row r="288">
      <c r="A288" s="45" t="n"/>
      <c r="B288" s="46">
        <f>IF(A288="","",YEAR(A288)&amp;" Q"&amp;ROUNDUP(MONTH(A288)/3,0))</f>
        <v/>
      </c>
      <c r="C288" s="47" t="n"/>
      <c r="D288" s="47" t="n"/>
      <c r="E288" s="47" t="n"/>
      <c r="F288" s="47" t="n"/>
      <c r="G288" s="48" t="n"/>
      <c r="H288" s="49" t="n"/>
      <c r="I288" s="50">
        <f>IF(G288="","",ROUND(G288*H288,2))</f>
        <v/>
      </c>
      <c r="J288" s="50">
        <f>IF(G288="","",G288+N(I288))</f>
        <v/>
      </c>
      <c r="K288" s="45" t="n"/>
      <c r="L288" s="47" t="n"/>
      <c r="M288" s="48" t="n"/>
      <c r="N288" s="49" t="n"/>
      <c r="O288" s="50">
        <f>IF(M288="","",ROUND(M288*N288,2))</f>
        <v/>
      </c>
      <c r="P288" s="50">
        <f>IF(M288="","",M288+N(O288))</f>
        <v/>
      </c>
      <c r="Q288" s="45" t="n"/>
      <c r="R288" s="45" t="n"/>
      <c r="S288" s="51">
        <f>IF(L288="","",IF(COUNTIF(L$6:L288,L288)&gt;1,"",SUMIF(L$6:L$2000,L288,M$6:M$2000)-SUMIF(L$6:L$2000,L288,G$6:G$2000)))</f>
        <v/>
      </c>
      <c r="T288" s="46">
        <f>IF(AND(C288="",G288=""),"",IF(L288="","Nog factureren",IF(AND(G288&lt;&gt;"",OR(K288="",K288&gt;TODAY())),"Nog betalen",IF(OR(R288="",R288&gt;TODAY()),"Wacht op klant","Afgerond"))))</f>
        <v/>
      </c>
    </row>
    <row r="289">
      <c r="A289" s="45" t="n"/>
      <c r="B289" s="46">
        <f>IF(A289="","",YEAR(A289)&amp;" Q"&amp;ROUNDUP(MONTH(A289)/3,0))</f>
        <v/>
      </c>
      <c r="C289" s="47" t="n"/>
      <c r="D289" s="47" t="n"/>
      <c r="E289" s="47" t="n"/>
      <c r="F289" s="47" t="n"/>
      <c r="G289" s="48" t="n"/>
      <c r="H289" s="49" t="n"/>
      <c r="I289" s="50">
        <f>IF(G289="","",ROUND(G289*H289,2))</f>
        <v/>
      </c>
      <c r="J289" s="50">
        <f>IF(G289="","",G289+N(I289))</f>
        <v/>
      </c>
      <c r="K289" s="45" t="n"/>
      <c r="L289" s="47" t="n"/>
      <c r="M289" s="48" t="n"/>
      <c r="N289" s="49" t="n"/>
      <c r="O289" s="50">
        <f>IF(M289="","",ROUND(M289*N289,2))</f>
        <v/>
      </c>
      <c r="P289" s="50">
        <f>IF(M289="","",M289+N(O289))</f>
        <v/>
      </c>
      <c r="Q289" s="45" t="n"/>
      <c r="R289" s="45" t="n"/>
      <c r="S289" s="51">
        <f>IF(L289="","",IF(COUNTIF(L$6:L289,L289)&gt;1,"",SUMIF(L$6:L$2000,L289,M$6:M$2000)-SUMIF(L$6:L$2000,L289,G$6:G$2000)))</f>
        <v/>
      </c>
      <c r="T289" s="46">
        <f>IF(AND(C289="",G289=""),"",IF(L289="","Nog factureren",IF(AND(G289&lt;&gt;"",OR(K289="",K289&gt;TODAY())),"Nog betalen",IF(OR(R289="",R289&gt;TODAY()),"Wacht op klant","Afgerond"))))</f>
        <v/>
      </c>
    </row>
    <row r="290">
      <c r="A290" s="45" t="n"/>
      <c r="B290" s="46">
        <f>IF(A290="","",YEAR(A290)&amp;" Q"&amp;ROUNDUP(MONTH(A290)/3,0))</f>
        <v/>
      </c>
      <c r="C290" s="47" t="n"/>
      <c r="D290" s="47" t="n"/>
      <c r="E290" s="47" t="n"/>
      <c r="F290" s="47" t="n"/>
      <c r="G290" s="48" t="n"/>
      <c r="H290" s="49" t="n"/>
      <c r="I290" s="50">
        <f>IF(G290="","",ROUND(G290*H290,2))</f>
        <v/>
      </c>
      <c r="J290" s="50">
        <f>IF(G290="","",G290+N(I290))</f>
        <v/>
      </c>
      <c r="K290" s="45" t="n"/>
      <c r="L290" s="47" t="n"/>
      <c r="M290" s="48" t="n"/>
      <c r="N290" s="49" t="n"/>
      <c r="O290" s="50">
        <f>IF(M290="","",ROUND(M290*N290,2))</f>
        <v/>
      </c>
      <c r="P290" s="50">
        <f>IF(M290="","",M290+N(O290))</f>
        <v/>
      </c>
      <c r="Q290" s="45" t="n"/>
      <c r="R290" s="45" t="n"/>
      <c r="S290" s="51">
        <f>IF(L290="","",IF(COUNTIF(L$6:L290,L290)&gt;1,"",SUMIF(L$6:L$2000,L290,M$6:M$2000)-SUMIF(L$6:L$2000,L290,G$6:G$2000)))</f>
        <v/>
      </c>
      <c r="T290" s="46">
        <f>IF(AND(C290="",G290=""),"",IF(L290="","Nog factureren",IF(AND(G290&lt;&gt;"",OR(K290="",K290&gt;TODAY())),"Nog betalen",IF(OR(R290="",R290&gt;TODAY()),"Wacht op klant","Afgerond"))))</f>
        <v/>
      </c>
    </row>
    <row r="291">
      <c r="A291" s="45" t="n"/>
      <c r="B291" s="46">
        <f>IF(A291="","",YEAR(A291)&amp;" Q"&amp;ROUNDUP(MONTH(A291)/3,0))</f>
        <v/>
      </c>
      <c r="C291" s="47" t="n"/>
      <c r="D291" s="47" t="n"/>
      <c r="E291" s="47" t="n"/>
      <c r="F291" s="47" t="n"/>
      <c r="G291" s="48" t="n"/>
      <c r="H291" s="49" t="n"/>
      <c r="I291" s="50">
        <f>IF(G291="","",ROUND(G291*H291,2))</f>
        <v/>
      </c>
      <c r="J291" s="50">
        <f>IF(G291="","",G291+N(I291))</f>
        <v/>
      </c>
      <c r="K291" s="45" t="n"/>
      <c r="L291" s="47" t="n"/>
      <c r="M291" s="48" t="n"/>
      <c r="N291" s="49" t="n"/>
      <c r="O291" s="50">
        <f>IF(M291="","",ROUND(M291*N291,2))</f>
        <v/>
      </c>
      <c r="P291" s="50">
        <f>IF(M291="","",M291+N(O291))</f>
        <v/>
      </c>
      <c r="Q291" s="45" t="n"/>
      <c r="R291" s="45" t="n"/>
      <c r="S291" s="51">
        <f>IF(L291="","",IF(COUNTIF(L$6:L291,L291)&gt;1,"",SUMIF(L$6:L$2000,L291,M$6:M$2000)-SUMIF(L$6:L$2000,L291,G$6:G$2000)))</f>
        <v/>
      </c>
      <c r="T291" s="46">
        <f>IF(AND(C291="",G291=""),"",IF(L291="","Nog factureren",IF(AND(G291&lt;&gt;"",OR(K291="",K291&gt;TODAY())),"Nog betalen",IF(OR(R291="",R291&gt;TODAY()),"Wacht op klant","Afgerond"))))</f>
        <v/>
      </c>
    </row>
    <row r="292">
      <c r="A292" s="45" t="n"/>
      <c r="B292" s="46">
        <f>IF(A292="","",YEAR(A292)&amp;" Q"&amp;ROUNDUP(MONTH(A292)/3,0))</f>
        <v/>
      </c>
      <c r="C292" s="47" t="n"/>
      <c r="D292" s="47" t="n"/>
      <c r="E292" s="47" t="n"/>
      <c r="F292" s="47" t="n"/>
      <c r="G292" s="48" t="n"/>
      <c r="H292" s="49" t="n"/>
      <c r="I292" s="50">
        <f>IF(G292="","",ROUND(G292*H292,2))</f>
        <v/>
      </c>
      <c r="J292" s="50">
        <f>IF(G292="","",G292+N(I292))</f>
        <v/>
      </c>
      <c r="K292" s="45" t="n"/>
      <c r="L292" s="47" t="n"/>
      <c r="M292" s="48" t="n"/>
      <c r="N292" s="49" t="n"/>
      <c r="O292" s="50">
        <f>IF(M292="","",ROUND(M292*N292,2))</f>
        <v/>
      </c>
      <c r="P292" s="50">
        <f>IF(M292="","",M292+N(O292))</f>
        <v/>
      </c>
      <c r="Q292" s="45" t="n"/>
      <c r="R292" s="45" t="n"/>
      <c r="S292" s="51">
        <f>IF(L292="","",IF(COUNTIF(L$6:L292,L292)&gt;1,"",SUMIF(L$6:L$2000,L292,M$6:M$2000)-SUMIF(L$6:L$2000,L292,G$6:G$2000)))</f>
        <v/>
      </c>
      <c r="T292" s="46">
        <f>IF(AND(C292="",G292=""),"",IF(L292="","Nog factureren",IF(AND(G292&lt;&gt;"",OR(K292="",K292&gt;TODAY())),"Nog betalen",IF(OR(R292="",R292&gt;TODAY()),"Wacht op klant","Afgerond"))))</f>
        <v/>
      </c>
    </row>
    <row r="293">
      <c r="A293" s="45" t="n"/>
      <c r="B293" s="46">
        <f>IF(A293="","",YEAR(A293)&amp;" Q"&amp;ROUNDUP(MONTH(A293)/3,0))</f>
        <v/>
      </c>
      <c r="C293" s="47" t="n"/>
      <c r="D293" s="47" t="n"/>
      <c r="E293" s="47" t="n"/>
      <c r="F293" s="47" t="n"/>
      <c r="G293" s="48" t="n"/>
      <c r="H293" s="49" t="n"/>
      <c r="I293" s="50">
        <f>IF(G293="","",ROUND(G293*H293,2))</f>
        <v/>
      </c>
      <c r="J293" s="50">
        <f>IF(G293="","",G293+N(I293))</f>
        <v/>
      </c>
      <c r="K293" s="45" t="n"/>
      <c r="L293" s="47" t="n"/>
      <c r="M293" s="48" t="n"/>
      <c r="N293" s="49" t="n"/>
      <c r="O293" s="50">
        <f>IF(M293="","",ROUND(M293*N293,2))</f>
        <v/>
      </c>
      <c r="P293" s="50">
        <f>IF(M293="","",M293+N(O293))</f>
        <v/>
      </c>
      <c r="Q293" s="45" t="n"/>
      <c r="R293" s="45" t="n"/>
      <c r="S293" s="51">
        <f>IF(L293="","",IF(COUNTIF(L$6:L293,L293)&gt;1,"",SUMIF(L$6:L$2000,L293,M$6:M$2000)-SUMIF(L$6:L$2000,L293,G$6:G$2000)))</f>
        <v/>
      </c>
      <c r="T293" s="46">
        <f>IF(AND(C293="",G293=""),"",IF(L293="","Nog factureren",IF(AND(G293&lt;&gt;"",OR(K293="",K293&gt;TODAY())),"Nog betalen",IF(OR(R293="",R293&gt;TODAY()),"Wacht op klant","Afgerond"))))</f>
        <v/>
      </c>
    </row>
    <row r="294">
      <c r="A294" s="45" t="n"/>
      <c r="B294" s="46">
        <f>IF(A294="","",YEAR(A294)&amp;" Q"&amp;ROUNDUP(MONTH(A294)/3,0))</f>
        <v/>
      </c>
      <c r="C294" s="47" t="n"/>
      <c r="D294" s="47" t="n"/>
      <c r="E294" s="47" t="n"/>
      <c r="F294" s="47" t="n"/>
      <c r="G294" s="48" t="n"/>
      <c r="H294" s="49" t="n"/>
      <c r="I294" s="50">
        <f>IF(G294="","",ROUND(G294*H294,2))</f>
        <v/>
      </c>
      <c r="J294" s="50">
        <f>IF(G294="","",G294+N(I294))</f>
        <v/>
      </c>
      <c r="K294" s="45" t="n"/>
      <c r="L294" s="47" t="n"/>
      <c r="M294" s="48" t="n"/>
      <c r="N294" s="49" t="n"/>
      <c r="O294" s="50">
        <f>IF(M294="","",ROUND(M294*N294,2))</f>
        <v/>
      </c>
      <c r="P294" s="50">
        <f>IF(M294="","",M294+N(O294))</f>
        <v/>
      </c>
      <c r="Q294" s="45" t="n"/>
      <c r="R294" s="45" t="n"/>
      <c r="S294" s="51">
        <f>IF(L294="","",IF(COUNTIF(L$6:L294,L294)&gt;1,"",SUMIF(L$6:L$2000,L294,M$6:M$2000)-SUMIF(L$6:L$2000,L294,G$6:G$2000)))</f>
        <v/>
      </c>
      <c r="T294" s="46">
        <f>IF(AND(C294="",G294=""),"",IF(L294="","Nog factureren",IF(AND(G294&lt;&gt;"",OR(K294="",K294&gt;TODAY())),"Nog betalen",IF(OR(R294="",R294&gt;TODAY()),"Wacht op klant","Afgerond"))))</f>
        <v/>
      </c>
    </row>
    <row r="295">
      <c r="A295" s="45" t="n"/>
      <c r="B295" s="46">
        <f>IF(A295="","",YEAR(A295)&amp;" Q"&amp;ROUNDUP(MONTH(A295)/3,0))</f>
        <v/>
      </c>
      <c r="C295" s="47" t="n"/>
      <c r="D295" s="47" t="n"/>
      <c r="E295" s="47" t="n"/>
      <c r="F295" s="47" t="n"/>
      <c r="G295" s="48" t="n"/>
      <c r="H295" s="49" t="n"/>
      <c r="I295" s="50">
        <f>IF(G295="","",ROUND(G295*H295,2))</f>
        <v/>
      </c>
      <c r="J295" s="50">
        <f>IF(G295="","",G295+N(I295))</f>
        <v/>
      </c>
      <c r="K295" s="45" t="n"/>
      <c r="L295" s="47" t="n"/>
      <c r="M295" s="48" t="n"/>
      <c r="N295" s="49" t="n"/>
      <c r="O295" s="50">
        <f>IF(M295="","",ROUND(M295*N295,2))</f>
        <v/>
      </c>
      <c r="P295" s="50">
        <f>IF(M295="","",M295+N(O295))</f>
        <v/>
      </c>
      <c r="Q295" s="45" t="n"/>
      <c r="R295" s="45" t="n"/>
      <c r="S295" s="51">
        <f>IF(L295="","",IF(COUNTIF(L$6:L295,L295)&gt;1,"",SUMIF(L$6:L$2000,L295,M$6:M$2000)-SUMIF(L$6:L$2000,L295,G$6:G$2000)))</f>
        <v/>
      </c>
      <c r="T295" s="46">
        <f>IF(AND(C295="",G295=""),"",IF(L295="","Nog factureren",IF(AND(G295&lt;&gt;"",OR(K295="",K295&gt;TODAY())),"Nog betalen",IF(OR(R295="",R295&gt;TODAY()),"Wacht op klant","Afgerond"))))</f>
        <v/>
      </c>
    </row>
    <row r="296">
      <c r="A296" s="45" t="n"/>
      <c r="B296" s="46">
        <f>IF(A296="","",YEAR(A296)&amp;" Q"&amp;ROUNDUP(MONTH(A296)/3,0))</f>
        <v/>
      </c>
      <c r="C296" s="47" t="n"/>
      <c r="D296" s="47" t="n"/>
      <c r="E296" s="47" t="n"/>
      <c r="F296" s="47" t="n"/>
      <c r="G296" s="48" t="n"/>
      <c r="H296" s="49" t="n"/>
      <c r="I296" s="50">
        <f>IF(G296="","",ROUND(G296*H296,2))</f>
        <v/>
      </c>
      <c r="J296" s="50">
        <f>IF(G296="","",G296+N(I296))</f>
        <v/>
      </c>
      <c r="K296" s="45" t="n"/>
      <c r="L296" s="47" t="n"/>
      <c r="M296" s="48" t="n"/>
      <c r="N296" s="49" t="n"/>
      <c r="O296" s="50">
        <f>IF(M296="","",ROUND(M296*N296,2))</f>
        <v/>
      </c>
      <c r="P296" s="50">
        <f>IF(M296="","",M296+N(O296))</f>
        <v/>
      </c>
      <c r="Q296" s="45" t="n"/>
      <c r="R296" s="45" t="n"/>
      <c r="S296" s="51">
        <f>IF(L296="","",IF(COUNTIF(L$6:L296,L296)&gt;1,"",SUMIF(L$6:L$2000,L296,M$6:M$2000)-SUMIF(L$6:L$2000,L296,G$6:G$2000)))</f>
        <v/>
      </c>
      <c r="T296" s="46">
        <f>IF(AND(C296="",G296=""),"",IF(L296="","Nog factureren",IF(AND(G296&lt;&gt;"",OR(K296="",K296&gt;TODAY())),"Nog betalen",IF(OR(R296="",R296&gt;TODAY()),"Wacht op klant","Afgerond"))))</f>
        <v/>
      </c>
    </row>
    <row r="297">
      <c r="A297" s="45" t="n"/>
      <c r="B297" s="46">
        <f>IF(A297="","",YEAR(A297)&amp;" Q"&amp;ROUNDUP(MONTH(A297)/3,0))</f>
        <v/>
      </c>
      <c r="C297" s="47" t="n"/>
      <c r="D297" s="47" t="n"/>
      <c r="E297" s="47" t="n"/>
      <c r="F297" s="47" t="n"/>
      <c r="G297" s="48" t="n"/>
      <c r="H297" s="49" t="n"/>
      <c r="I297" s="50">
        <f>IF(G297="","",ROUND(G297*H297,2))</f>
        <v/>
      </c>
      <c r="J297" s="50">
        <f>IF(G297="","",G297+N(I297))</f>
        <v/>
      </c>
      <c r="K297" s="45" t="n"/>
      <c r="L297" s="47" t="n"/>
      <c r="M297" s="48" t="n"/>
      <c r="N297" s="49" t="n"/>
      <c r="O297" s="50">
        <f>IF(M297="","",ROUND(M297*N297,2))</f>
        <v/>
      </c>
      <c r="P297" s="50">
        <f>IF(M297="","",M297+N(O297))</f>
        <v/>
      </c>
      <c r="Q297" s="45" t="n"/>
      <c r="R297" s="45" t="n"/>
      <c r="S297" s="51">
        <f>IF(L297="","",IF(COUNTIF(L$6:L297,L297)&gt;1,"",SUMIF(L$6:L$2000,L297,M$6:M$2000)-SUMIF(L$6:L$2000,L297,G$6:G$2000)))</f>
        <v/>
      </c>
      <c r="T297" s="46">
        <f>IF(AND(C297="",G297=""),"",IF(L297="","Nog factureren",IF(AND(G297&lt;&gt;"",OR(K297="",K297&gt;TODAY())),"Nog betalen",IF(OR(R297="",R297&gt;TODAY()),"Wacht op klant","Afgerond"))))</f>
        <v/>
      </c>
    </row>
    <row r="298">
      <c r="A298" s="45" t="n"/>
      <c r="B298" s="46">
        <f>IF(A298="","",YEAR(A298)&amp;" Q"&amp;ROUNDUP(MONTH(A298)/3,0))</f>
        <v/>
      </c>
      <c r="C298" s="47" t="n"/>
      <c r="D298" s="47" t="n"/>
      <c r="E298" s="47" t="n"/>
      <c r="F298" s="47" t="n"/>
      <c r="G298" s="48" t="n"/>
      <c r="H298" s="49" t="n"/>
      <c r="I298" s="50">
        <f>IF(G298="","",ROUND(G298*H298,2))</f>
        <v/>
      </c>
      <c r="J298" s="50">
        <f>IF(G298="","",G298+N(I298))</f>
        <v/>
      </c>
      <c r="K298" s="45" t="n"/>
      <c r="L298" s="47" t="n"/>
      <c r="M298" s="48" t="n"/>
      <c r="N298" s="49" t="n"/>
      <c r="O298" s="50">
        <f>IF(M298="","",ROUND(M298*N298,2))</f>
        <v/>
      </c>
      <c r="P298" s="50">
        <f>IF(M298="","",M298+N(O298))</f>
        <v/>
      </c>
      <c r="Q298" s="45" t="n"/>
      <c r="R298" s="45" t="n"/>
      <c r="S298" s="51">
        <f>IF(L298="","",IF(COUNTIF(L$6:L298,L298)&gt;1,"",SUMIF(L$6:L$2000,L298,M$6:M$2000)-SUMIF(L$6:L$2000,L298,G$6:G$2000)))</f>
        <v/>
      </c>
      <c r="T298" s="46">
        <f>IF(AND(C298="",G298=""),"",IF(L298="","Nog factureren",IF(AND(G298&lt;&gt;"",OR(K298="",K298&gt;TODAY())),"Nog betalen",IF(OR(R298="",R298&gt;TODAY()),"Wacht op klant","Afgerond"))))</f>
        <v/>
      </c>
    </row>
    <row r="299">
      <c r="A299" s="45" t="n"/>
      <c r="B299" s="46">
        <f>IF(A299="","",YEAR(A299)&amp;" Q"&amp;ROUNDUP(MONTH(A299)/3,0))</f>
        <v/>
      </c>
      <c r="C299" s="47" t="n"/>
      <c r="D299" s="47" t="n"/>
      <c r="E299" s="47" t="n"/>
      <c r="F299" s="47" t="n"/>
      <c r="G299" s="48" t="n"/>
      <c r="H299" s="49" t="n"/>
      <c r="I299" s="50">
        <f>IF(G299="","",ROUND(G299*H299,2))</f>
        <v/>
      </c>
      <c r="J299" s="50">
        <f>IF(G299="","",G299+N(I299))</f>
        <v/>
      </c>
      <c r="K299" s="45" t="n"/>
      <c r="L299" s="47" t="n"/>
      <c r="M299" s="48" t="n"/>
      <c r="N299" s="49" t="n"/>
      <c r="O299" s="50">
        <f>IF(M299="","",ROUND(M299*N299,2))</f>
        <v/>
      </c>
      <c r="P299" s="50">
        <f>IF(M299="","",M299+N(O299))</f>
        <v/>
      </c>
      <c r="Q299" s="45" t="n"/>
      <c r="R299" s="45" t="n"/>
      <c r="S299" s="51">
        <f>IF(L299="","",IF(COUNTIF(L$6:L299,L299)&gt;1,"",SUMIF(L$6:L$2000,L299,M$6:M$2000)-SUMIF(L$6:L$2000,L299,G$6:G$2000)))</f>
        <v/>
      </c>
      <c r="T299" s="46">
        <f>IF(AND(C299="",G299=""),"",IF(L299="","Nog factureren",IF(AND(G299&lt;&gt;"",OR(K299="",K299&gt;TODAY())),"Nog betalen",IF(OR(R299="",R299&gt;TODAY()),"Wacht op klant","Afgerond"))))</f>
        <v/>
      </c>
    </row>
    <row r="300">
      <c r="A300" s="45" t="n"/>
      <c r="B300" s="46">
        <f>IF(A300="","",YEAR(A300)&amp;" Q"&amp;ROUNDUP(MONTH(A300)/3,0))</f>
        <v/>
      </c>
      <c r="C300" s="47" t="n"/>
      <c r="D300" s="47" t="n"/>
      <c r="E300" s="47" t="n"/>
      <c r="F300" s="47" t="n"/>
      <c r="G300" s="48" t="n"/>
      <c r="H300" s="49" t="n"/>
      <c r="I300" s="50">
        <f>IF(G300="","",ROUND(G300*H300,2))</f>
        <v/>
      </c>
      <c r="J300" s="50">
        <f>IF(G300="","",G300+N(I300))</f>
        <v/>
      </c>
      <c r="K300" s="45" t="n"/>
      <c r="L300" s="47" t="n"/>
      <c r="M300" s="48" t="n"/>
      <c r="N300" s="49" t="n"/>
      <c r="O300" s="50">
        <f>IF(M300="","",ROUND(M300*N300,2))</f>
        <v/>
      </c>
      <c r="P300" s="50">
        <f>IF(M300="","",M300+N(O300))</f>
        <v/>
      </c>
      <c r="Q300" s="45" t="n"/>
      <c r="R300" s="45" t="n"/>
      <c r="S300" s="51">
        <f>IF(L300="","",IF(COUNTIF(L$6:L300,L300)&gt;1,"",SUMIF(L$6:L$2000,L300,M$6:M$2000)-SUMIF(L$6:L$2000,L300,G$6:G$2000)))</f>
        <v/>
      </c>
      <c r="T300" s="46">
        <f>IF(AND(C300="",G300=""),"",IF(L300="","Nog factureren",IF(AND(G300&lt;&gt;"",OR(K300="",K300&gt;TODAY())),"Nog betalen",IF(OR(R300="",R300&gt;TODAY()),"Wacht op klant","Afgerond"))))</f>
        <v/>
      </c>
    </row>
    <row r="301">
      <c r="A301" s="45" t="n"/>
      <c r="B301" s="46">
        <f>IF(A301="","",YEAR(A301)&amp;" Q"&amp;ROUNDUP(MONTH(A301)/3,0))</f>
        <v/>
      </c>
      <c r="C301" s="47" t="n"/>
      <c r="D301" s="47" t="n"/>
      <c r="E301" s="47" t="n"/>
      <c r="F301" s="47" t="n"/>
      <c r="G301" s="48" t="n"/>
      <c r="H301" s="49" t="n"/>
      <c r="I301" s="50">
        <f>IF(G301="","",ROUND(G301*H301,2))</f>
        <v/>
      </c>
      <c r="J301" s="50">
        <f>IF(G301="","",G301+N(I301))</f>
        <v/>
      </c>
      <c r="K301" s="45" t="n"/>
      <c r="L301" s="47" t="n"/>
      <c r="M301" s="48" t="n"/>
      <c r="N301" s="49" t="n"/>
      <c r="O301" s="50">
        <f>IF(M301="","",ROUND(M301*N301,2))</f>
        <v/>
      </c>
      <c r="P301" s="50">
        <f>IF(M301="","",M301+N(O301))</f>
        <v/>
      </c>
      <c r="Q301" s="45" t="n"/>
      <c r="R301" s="45" t="n"/>
      <c r="S301" s="51">
        <f>IF(L301="","",IF(COUNTIF(L$6:L301,L301)&gt;1,"",SUMIF(L$6:L$2000,L301,M$6:M$2000)-SUMIF(L$6:L$2000,L301,G$6:G$2000)))</f>
        <v/>
      </c>
      <c r="T301" s="46">
        <f>IF(AND(C301="",G301=""),"",IF(L301="","Nog factureren",IF(AND(G301&lt;&gt;"",OR(K301="",K301&gt;TODAY())),"Nog betalen",IF(OR(R301="",R301&gt;TODAY()),"Wacht op klant","Afgerond"))))</f>
        <v/>
      </c>
    </row>
    <row r="302">
      <c r="A302" s="45" t="n"/>
      <c r="B302" s="46">
        <f>IF(A302="","",YEAR(A302)&amp;" Q"&amp;ROUNDUP(MONTH(A302)/3,0))</f>
        <v/>
      </c>
      <c r="C302" s="47" t="n"/>
      <c r="D302" s="47" t="n"/>
      <c r="E302" s="47" t="n"/>
      <c r="F302" s="47" t="n"/>
      <c r="G302" s="48" t="n"/>
      <c r="H302" s="49" t="n"/>
      <c r="I302" s="50">
        <f>IF(G302="","",ROUND(G302*H302,2))</f>
        <v/>
      </c>
      <c r="J302" s="50">
        <f>IF(G302="","",G302+N(I302))</f>
        <v/>
      </c>
      <c r="K302" s="45" t="n"/>
      <c r="L302" s="47" t="n"/>
      <c r="M302" s="48" t="n"/>
      <c r="N302" s="49" t="n"/>
      <c r="O302" s="50">
        <f>IF(M302="","",ROUND(M302*N302,2))</f>
        <v/>
      </c>
      <c r="P302" s="50">
        <f>IF(M302="","",M302+N(O302))</f>
        <v/>
      </c>
      <c r="Q302" s="45" t="n"/>
      <c r="R302" s="45" t="n"/>
      <c r="S302" s="51">
        <f>IF(L302="","",IF(COUNTIF(L$6:L302,L302)&gt;1,"",SUMIF(L$6:L$2000,L302,M$6:M$2000)-SUMIF(L$6:L$2000,L302,G$6:G$2000)))</f>
        <v/>
      </c>
      <c r="T302" s="46">
        <f>IF(AND(C302="",G302=""),"",IF(L302="","Nog factureren",IF(AND(G302&lt;&gt;"",OR(K302="",K302&gt;TODAY())),"Nog betalen",IF(OR(R302="",R302&gt;TODAY()),"Wacht op klant","Afgerond"))))</f>
        <v/>
      </c>
    </row>
    <row r="303">
      <c r="A303" s="45" t="n"/>
      <c r="B303" s="46">
        <f>IF(A303="","",YEAR(A303)&amp;" Q"&amp;ROUNDUP(MONTH(A303)/3,0))</f>
        <v/>
      </c>
      <c r="C303" s="47" t="n"/>
      <c r="D303" s="47" t="n"/>
      <c r="E303" s="47" t="n"/>
      <c r="F303" s="47" t="n"/>
      <c r="G303" s="48" t="n"/>
      <c r="H303" s="49" t="n"/>
      <c r="I303" s="50">
        <f>IF(G303="","",ROUND(G303*H303,2))</f>
        <v/>
      </c>
      <c r="J303" s="50">
        <f>IF(G303="","",G303+N(I303))</f>
        <v/>
      </c>
      <c r="K303" s="45" t="n"/>
      <c r="L303" s="47" t="n"/>
      <c r="M303" s="48" t="n"/>
      <c r="N303" s="49" t="n"/>
      <c r="O303" s="50">
        <f>IF(M303="","",ROUND(M303*N303,2))</f>
        <v/>
      </c>
      <c r="P303" s="50">
        <f>IF(M303="","",M303+N(O303))</f>
        <v/>
      </c>
      <c r="Q303" s="45" t="n"/>
      <c r="R303" s="45" t="n"/>
      <c r="S303" s="51">
        <f>IF(L303="","",IF(COUNTIF(L$6:L303,L303)&gt;1,"",SUMIF(L$6:L$2000,L303,M$6:M$2000)-SUMIF(L$6:L$2000,L303,G$6:G$2000)))</f>
        <v/>
      </c>
      <c r="T303" s="46">
        <f>IF(AND(C303="",G303=""),"",IF(L303="","Nog factureren",IF(AND(G303&lt;&gt;"",OR(K303="",K303&gt;TODAY())),"Nog betalen",IF(OR(R303="",R303&gt;TODAY()),"Wacht op klant","Afgerond"))))</f>
        <v/>
      </c>
    </row>
    <row r="304">
      <c r="A304" s="45" t="n"/>
      <c r="B304" s="46">
        <f>IF(A304="","",YEAR(A304)&amp;" Q"&amp;ROUNDUP(MONTH(A304)/3,0))</f>
        <v/>
      </c>
      <c r="C304" s="47" t="n"/>
      <c r="D304" s="47" t="n"/>
      <c r="E304" s="47" t="n"/>
      <c r="F304" s="47" t="n"/>
      <c r="G304" s="48" t="n"/>
      <c r="H304" s="49" t="n"/>
      <c r="I304" s="50">
        <f>IF(G304="","",ROUND(G304*H304,2))</f>
        <v/>
      </c>
      <c r="J304" s="50">
        <f>IF(G304="","",G304+N(I304))</f>
        <v/>
      </c>
      <c r="K304" s="45" t="n"/>
      <c r="L304" s="47" t="n"/>
      <c r="M304" s="48" t="n"/>
      <c r="N304" s="49" t="n"/>
      <c r="O304" s="50">
        <f>IF(M304="","",ROUND(M304*N304,2))</f>
        <v/>
      </c>
      <c r="P304" s="50">
        <f>IF(M304="","",M304+N(O304))</f>
        <v/>
      </c>
      <c r="Q304" s="45" t="n"/>
      <c r="R304" s="45" t="n"/>
      <c r="S304" s="51">
        <f>IF(L304="","",IF(COUNTIF(L$6:L304,L304)&gt;1,"",SUMIF(L$6:L$2000,L304,M$6:M$2000)-SUMIF(L$6:L$2000,L304,G$6:G$2000)))</f>
        <v/>
      </c>
      <c r="T304" s="46">
        <f>IF(AND(C304="",G304=""),"",IF(L304="","Nog factureren",IF(AND(G304&lt;&gt;"",OR(K304="",K304&gt;TODAY())),"Nog betalen",IF(OR(R304="",R304&gt;TODAY()),"Wacht op klant","Afgerond"))))</f>
        <v/>
      </c>
    </row>
    <row r="305">
      <c r="A305" s="45" t="n"/>
      <c r="B305" s="46">
        <f>IF(A305="","",YEAR(A305)&amp;" Q"&amp;ROUNDUP(MONTH(A305)/3,0))</f>
        <v/>
      </c>
      <c r="C305" s="47" t="n"/>
      <c r="D305" s="47" t="n"/>
      <c r="E305" s="47" t="n"/>
      <c r="F305" s="47" t="n"/>
      <c r="G305" s="48" t="n"/>
      <c r="H305" s="49" t="n"/>
      <c r="I305" s="50">
        <f>IF(G305="","",ROUND(G305*H305,2))</f>
        <v/>
      </c>
      <c r="J305" s="50">
        <f>IF(G305="","",G305+N(I305))</f>
        <v/>
      </c>
      <c r="K305" s="45" t="n"/>
      <c r="L305" s="47" t="n"/>
      <c r="M305" s="48" t="n"/>
      <c r="N305" s="49" t="n"/>
      <c r="O305" s="50">
        <f>IF(M305="","",ROUND(M305*N305,2))</f>
        <v/>
      </c>
      <c r="P305" s="50">
        <f>IF(M305="","",M305+N(O305))</f>
        <v/>
      </c>
      <c r="Q305" s="45" t="n"/>
      <c r="R305" s="45" t="n"/>
      <c r="S305" s="51">
        <f>IF(L305="","",IF(COUNTIF(L$6:L305,L305)&gt;1,"",SUMIF(L$6:L$2000,L305,M$6:M$2000)-SUMIF(L$6:L$2000,L305,G$6:G$2000)))</f>
        <v/>
      </c>
      <c r="T305" s="46">
        <f>IF(AND(C305="",G305=""),"",IF(L305="","Nog factureren",IF(AND(G305&lt;&gt;"",OR(K305="",K305&gt;TODAY())),"Nog betalen",IF(OR(R305="",R305&gt;TODAY()),"Wacht op klant","Afgerond"))))</f>
        <v/>
      </c>
    </row>
    <row r="306">
      <c r="A306" s="45" t="n"/>
      <c r="B306" s="46">
        <f>IF(A306="","",YEAR(A306)&amp;" Q"&amp;ROUNDUP(MONTH(A306)/3,0))</f>
        <v/>
      </c>
      <c r="C306" s="47" t="n"/>
      <c r="D306" s="47" t="n"/>
      <c r="E306" s="47" t="n"/>
      <c r="F306" s="47" t="n"/>
      <c r="G306" s="48" t="n"/>
      <c r="H306" s="49" t="n"/>
      <c r="I306" s="50">
        <f>IF(G306="","",ROUND(G306*H306,2))</f>
        <v/>
      </c>
      <c r="J306" s="50">
        <f>IF(G306="","",G306+N(I306))</f>
        <v/>
      </c>
      <c r="K306" s="45" t="n"/>
      <c r="L306" s="47" t="n"/>
      <c r="M306" s="48" t="n"/>
      <c r="N306" s="49" t="n"/>
      <c r="O306" s="50">
        <f>IF(M306="","",ROUND(M306*N306,2))</f>
        <v/>
      </c>
      <c r="P306" s="50">
        <f>IF(M306="","",M306+N(O306))</f>
        <v/>
      </c>
      <c r="Q306" s="45" t="n"/>
      <c r="R306" s="45" t="n"/>
      <c r="S306" s="51">
        <f>IF(L306="","",IF(COUNTIF(L$6:L306,L306)&gt;1,"",SUMIF(L$6:L$2000,L306,M$6:M$2000)-SUMIF(L$6:L$2000,L306,G$6:G$2000)))</f>
        <v/>
      </c>
      <c r="T306" s="46">
        <f>IF(AND(C306="",G306=""),"",IF(L306="","Nog factureren",IF(AND(G306&lt;&gt;"",OR(K306="",K306&gt;TODAY())),"Nog betalen",IF(OR(R306="",R306&gt;TODAY()),"Wacht op klant","Afgerond"))))</f>
        <v/>
      </c>
    </row>
    <row r="307">
      <c r="A307" s="45" t="n"/>
      <c r="B307" s="46">
        <f>IF(A307="","",YEAR(A307)&amp;" Q"&amp;ROUNDUP(MONTH(A307)/3,0))</f>
        <v/>
      </c>
      <c r="C307" s="47" t="n"/>
      <c r="D307" s="47" t="n"/>
      <c r="E307" s="47" t="n"/>
      <c r="F307" s="47" t="n"/>
      <c r="G307" s="48" t="n"/>
      <c r="H307" s="49" t="n"/>
      <c r="I307" s="50">
        <f>IF(G307="","",ROUND(G307*H307,2))</f>
        <v/>
      </c>
      <c r="J307" s="50">
        <f>IF(G307="","",G307+N(I307))</f>
        <v/>
      </c>
      <c r="K307" s="45" t="n"/>
      <c r="L307" s="47" t="n"/>
      <c r="M307" s="48" t="n"/>
      <c r="N307" s="49" t="n"/>
      <c r="O307" s="50">
        <f>IF(M307="","",ROUND(M307*N307,2))</f>
        <v/>
      </c>
      <c r="P307" s="50">
        <f>IF(M307="","",M307+N(O307))</f>
        <v/>
      </c>
      <c r="Q307" s="45" t="n"/>
      <c r="R307" s="45" t="n"/>
      <c r="S307" s="51">
        <f>IF(L307="","",IF(COUNTIF(L$6:L307,L307)&gt;1,"",SUMIF(L$6:L$2000,L307,M$6:M$2000)-SUMIF(L$6:L$2000,L307,G$6:G$2000)))</f>
        <v/>
      </c>
      <c r="T307" s="46">
        <f>IF(AND(C307="",G307=""),"",IF(L307="","Nog factureren",IF(AND(G307&lt;&gt;"",OR(K307="",K307&gt;TODAY())),"Nog betalen",IF(OR(R307="",R307&gt;TODAY()),"Wacht op klant","Afgerond"))))</f>
        <v/>
      </c>
    </row>
    <row r="308">
      <c r="A308" s="45" t="n"/>
      <c r="B308" s="46">
        <f>IF(A308="","",YEAR(A308)&amp;" Q"&amp;ROUNDUP(MONTH(A308)/3,0))</f>
        <v/>
      </c>
      <c r="C308" s="47" t="n"/>
      <c r="D308" s="47" t="n"/>
      <c r="E308" s="47" t="n"/>
      <c r="F308" s="47" t="n"/>
      <c r="G308" s="48" t="n"/>
      <c r="H308" s="49" t="n"/>
      <c r="I308" s="50">
        <f>IF(G308="","",ROUND(G308*H308,2))</f>
        <v/>
      </c>
      <c r="J308" s="50">
        <f>IF(G308="","",G308+N(I308))</f>
        <v/>
      </c>
      <c r="K308" s="45" t="n"/>
      <c r="L308" s="47" t="n"/>
      <c r="M308" s="48" t="n"/>
      <c r="N308" s="49" t="n"/>
      <c r="O308" s="50">
        <f>IF(M308="","",ROUND(M308*N308,2))</f>
        <v/>
      </c>
      <c r="P308" s="50">
        <f>IF(M308="","",M308+N(O308))</f>
        <v/>
      </c>
      <c r="Q308" s="45" t="n"/>
      <c r="R308" s="45" t="n"/>
      <c r="S308" s="51">
        <f>IF(L308="","",IF(COUNTIF(L$6:L308,L308)&gt;1,"",SUMIF(L$6:L$2000,L308,M$6:M$2000)-SUMIF(L$6:L$2000,L308,G$6:G$2000)))</f>
        <v/>
      </c>
      <c r="T308" s="46">
        <f>IF(AND(C308="",G308=""),"",IF(L308="","Nog factureren",IF(AND(G308&lt;&gt;"",OR(K308="",K308&gt;TODAY())),"Nog betalen",IF(OR(R308="",R308&gt;TODAY()),"Wacht op klant","Afgerond"))))</f>
        <v/>
      </c>
    </row>
    <row r="309">
      <c r="A309" s="45" t="n"/>
      <c r="B309" s="46">
        <f>IF(A309="","",YEAR(A309)&amp;" Q"&amp;ROUNDUP(MONTH(A309)/3,0))</f>
        <v/>
      </c>
      <c r="C309" s="47" t="n"/>
      <c r="D309" s="47" t="n"/>
      <c r="E309" s="47" t="n"/>
      <c r="F309" s="47" t="n"/>
      <c r="G309" s="48" t="n"/>
      <c r="H309" s="49" t="n"/>
      <c r="I309" s="50">
        <f>IF(G309="","",ROUND(G309*H309,2))</f>
        <v/>
      </c>
      <c r="J309" s="50">
        <f>IF(G309="","",G309+N(I309))</f>
        <v/>
      </c>
      <c r="K309" s="45" t="n"/>
      <c r="L309" s="47" t="n"/>
      <c r="M309" s="48" t="n"/>
      <c r="N309" s="49" t="n"/>
      <c r="O309" s="50">
        <f>IF(M309="","",ROUND(M309*N309,2))</f>
        <v/>
      </c>
      <c r="P309" s="50">
        <f>IF(M309="","",M309+N(O309))</f>
        <v/>
      </c>
      <c r="Q309" s="45" t="n"/>
      <c r="R309" s="45" t="n"/>
      <c r="S309" s="51">
        <f>IF(L309="","",IF(COUNTIF(L$6:L309,L309)&gt;1,"",SUMIF(L$6:L$2000,L309,M$6:M$2000)-SUMIF(L$6:L$2000,L309,G$6:G$2000)))</f>
        <v/>
      </c>
      <c r="T309" s="46">
        <f>IF(AND(C309="",G309=""),"",IF(L309="","Nog factureren",IF(AND(G309&lt;&gt;"",OR(K309="",K309&gt;TODAY())),"Nog betalen",IF(OR(R309="",R309&gt;TODAY()),"Wacht op klant","Afgerond"))))</f>
        <v/>
      </c>
    </row>
    <row r="310">
      <c r="A310" s="45" t="n"/>
      <c r="B310" s="46">
        <f>IF(A310="","",YEAR(A310)&amp;" Q"&amp;ROUNDUP(MONTH(A310)/3,0))</f>
        <v/>
      </c>
      <c r="C310" s="47" t="n"/>
      <c r="D310" s="47" t="n"/>
      <c r="E310" s="47" t="n"/>
      <c r="F310" s="47" t="n"/>
      <c r="G310" s="48" t="n"/>
      <c r="H310" s="49" t="n"/>
      <c r="I310" s="50">
        <f>IF(G310="","",ROUND(G310*H310,2))</f>
        <v/>
      </c>
      <c r="J310" s="50">
        <f>IF(G310="","",G310+N(I310))</f>
        <v/>
      </c>
      <c r="K310" s="45" t="n"/>
      <c r="L310" s="47" t="n"/>
      <c r="M310" s="48" t="n"/>
      <c r="N310" s="49" t="n"/>
      <c r="O310" s="50">
        <f>IF(M310="","",ROUND(M310*N310,2))</f>
        <v/>
      </c>
      <c r="P310" s="50">
        <f>IF(M310="","",M310+N(O310))</f>
        <v/>
      </c>
      <c r="Q310" s="45" t="n"/>
      <c r="R310" s="45" t="n"/>
      <c r="S310" s="51">
        <f>IF(L310="","",IF(COUNTIF(L$6:L310,L310)&gt;1,"",SUMIF(L$6:L$2000,L310,M$6:M$2000)-SUMIF(L$6:L$2000,L310,G$6:G$2000)))</f>
        <v/>
      </c>
      <c r="T310" s="46">
        <f>IF(AND(C310="",G310=""),"",IF(L310="","Nog factureren",IF(AND(G310&lt;&gt;"",OR(K310="",K310&gt;TODAY())),"Nog betalen",IF(OR(R310="",R310&gt;TODAY()),"Wacht op klant","Afgerond"))))</f>
        <v/>
      </c>
    </row>
    <row r="311">
      <c r="A311" s="45" t="n"/>
      <c r="B311" s="46">
        <f>IF(A311="","",YEAR(A311)&amp;" Q"&amp;ROUNDUP(MONTH(A311)/3,0))</f>
        <v/>
      </c>
      <c r="C311" s="47" t="n"/>
      <c r="D311" s="47" t="n"/>
      <c r="E311" s="47" t="n"/>
      <c r="F311" s="47" t="n"/>
      <c r="G311" s="48" t="n"/>
      <c r="H311" s="49" t="n"/>
      <c r="I311" s="50">
        <f>IF(G311="","",ROUND(G311*H311,2))</f>
        <v/>
      </c>
      <c r="J311" s="50">
        <f>IF(G311="","",G311+N(I311))</f>
        <v/>
      </c>
      <c r="K311" s="45" t="n"/>
      <c r="L311" s="47" t="n"/>
      <c r="M311" s="48" t="n"/>
      <c r="N311" s="49" t="n"/>
      <c r="O311" s="50">
        <f>IF(M311="","",ROUND(M311*N311,2))</f>
        <v/>
      </c>
      <c r="P311" s="50">
        <f>IF(M311="","",M311+N(O311))</f>
        <v/>
      </c>
      <c r="Q311" s="45" t="n"/>
      <c r="R311" s="45" t="n"/>
      <c r="S311" s="51">
        <f>IF(L311="","",IF(COUNTIF(L$6:L311,L311)&gt;1,"",SUMIF(L$6:L$2000,L311,M$6:M$2000)-SUMIF(L$6:L$2000,L311,G$6:G$2000)))</f>
        <v/>
      </c>
      <c r="T311" s="46">
        <f>IF(AND(C311="",G311=""),"",IF(L311="","Nog factureren",IF(AND(G311&lt;&gt;"",OR(K311="",K311&gt;TODAY())),"Nog betalen",IF(OR(R311="",R311&gt;TODAY()),"Wacht op klant","Afgerond"))))</f>
        <v/>
      </c>
    </row>
    <row r="312">
      <c r="A312" s="45" t="n"/>
      <c r="B312" s="46">
        <f>IF(A312="","",YEAR(A312)&amp;" Q"&amp;ROUNDUP(MONTH(A312)/3,0))</f>
        <v/>
      </c>
      <c r="C312" s="47" t="n"/>
      <c r="D312" s="47" t="n"/>
      <c r="E312" s="47" t="n"/>
      <c r="F312" s="47" t="n"/>
      <c r="G312" s="48" t="n"/>
      <c r="H312" s="49" t="n"/>
      <c r="I312" s="50">
        <f>IF(G312="","",ROUND(G312*H312,2))</f>
        <v/>
      </c>
      <c r="J312" s="50">
        <f>IF(G312="","",G312+N(I312))</f>
        <v/>
      </c>
      <c r="K312" s="45" t="n"/>
      <c r="L312" s="47" t="n"/>
      <c r="M312" s="48" t="n"/>
      <c r="N312" s="49" t="n"/>
      <c r="O312" s="50">
        <f>IF(M312="","",ROUND(M312*N312,2))</f>
        <v/>
      </c>
      <c r="P312" s="50">
        <f>IF(M312="","",M312+N(O312))</f>
        <v/>
      </c>
      <c r="Q312" s="45" t="n"/>
      <c r="R312" s="45" t="n"/>
      <c r="S312" s="51">
        <f>IF(L312="","",IF(COUNTIF(L$6:L312,L312)&gt;1,"",SUMIF(L$6:L$2000,L312,M$6:M$2000)-SUMIF(L$6:L$2000,L312,G$6:G$2000)))</f>
        <v/>
      </c>
      <c r="T312" s="46">
        <f>IF(AND(C312="",G312=""),"",IF(L312="","Nog factureren",IF(AND(G312&lt;&gt;"",OR(K312="",K312&gt;TODAY())),"Nog betalen",IF(OR(R312="",R312&gt;TODAY()),"Wacht op klant","Afgerond"))))</f>
        <v/>
      </c>
    </row>
    <row r="313">
      <c r="A313" s="45" t="n"/>
      <c r="B313" s="46">
        <f>IF(A313="","",YEAR(A313)&amp;" Q"&amp;ROUNDUP(MONTH(A313)/3,0))</f>
        <v/>
      </c>
      <c r="C313" s="47" t="n"/>
      <c r="D313" s="47" t="n"/>
      <c r="E313" s="47" t="n"/>
      <c r="F313" s="47" t="n"/>
      <c r="G313" s="48" t="n"/>
      <c r="H313" s="49" t="n"/>
      <c r="I313" s="50">
        <f>IF(G313="","",ROUND(G313*H313,2))</f>
        <v/>
      </c>
      <c r="J313" s="50">
        <f>IF(G313="","",G313+N(I313))</f>
        <v/>
      </c>
      <c r="K313" s="45" t="n"/>
      <c r="L313" s="47" t="n"/>
      <c r="M313" s="48" t="n"/>
      <c r="N313" s="49" t="n"/>
      <c r="O313" s="50">
        <f>IF(M313="","",ROUND(M313*N313,2))</f>
        <v/>
      </c>
      <c r="P313" s="50">
        <f>IF(M313="","",M313+N(O313))</f>
        <v/>
      </c>
      <c r="Q313" s="45" t="n"/>
      <c r="R313" s="45" t="n"/>
      <c r="S313" s="51">
        <f>IF(L313="","",IF(COUNTIF(L$6:L313,L313)&gt;1,"",SUMIF(L$6:L$2000,L313,M$6:M$2000)-SUMIF(L$6:L$2000,L313,G$6:G$2000)))</f>
        <v/>
      </c>
      <c r="T313" s="46">
        <f>IF(AND(C313="",G313=""),"",IF(L313="","Nog factureren",IF(AND(G313&lt;&gt;"",OR(K313="",K313&gt;TODAY())),"Nog betalen",IF(OR(R313="",R313&gt;TODAY()),"Wacht op klant","Afgerond"))))</f>
        <v/>
      </c>
    </row>
    <row r="314">
      <c r="A314" s="45" t="n"/>
      <c r="B314" s="46">
        <f>IF(A314="","",YEAR(A314)&amp;" Q"&amp;ROUNDUP(MONTH(A314)/3,0))</f>
        <v/>
      </c>
      <c r="C314" s="47" t="n"/>
      <c r="D314" s="47" t="n"/>
      <c r="E314" s="47" t="n"/>
      <c r="F314" s="47" t="n"/>
      <c r="G314" s="48" t="n"/>
      <c r="H314" s="49" t="n"/>
      <c r="I314" s="50">
        <f>IF(G314="","",ROUND(G314*H314,2))</f>
        <v/>
      </c>
      <c r="J314" s="50">
        <f>IF(G314="","",G314+N(I314))</f>
        <v/>
      </c>
      <c r="K314" s="45" t="n"/>
      <c r="L314" s="47" t="n"/>
      <c r="M314" s="48" t="n"/>
      <c r="N314" s="49" t="n"/>
      <c r="O314" s="50">
        <f>IF(M314="","",ROUND(M314*N314,2))</f>
        <v/>
      </c>
      <c r="P314" s="50">
        <f>IF(M314="","",M314+N(O314))</f>
        <v/>
      </c>
      <c r="Q314" s="45" t="n"/>
      <c r="R314" s="45" t="n"/>
      <c r="S314" s="51">
        <f>IF(L314="","",IF(COUNTIF(L$6:L314,L314)&gt;1,"",SUMIF(L$6:L$2000,L314,M$6:M$2000)-SUMIF(L$6:L$2000,L314,G$6:G$2000)))</f>
        <v/>
      </c>
      <c r="T314" s="46">
        <f>IF(AND(C314="",G314=""),"",IF(L314="","Nog factureren",IF(AND(G314&lt;&gt;"",OR(K314="",K314&gt;TODAY())),"Nog betalen",IF(OR(R314="",R314&gt;TODAY()),"Wacht op klant","Afgerond"))))</f>
        <v/>
      </c>
    </row>
    <row r="315">
      <c r="A315" s="45" t="n"/>
      <c r="B315" s="46">
        <f>IF(A315="","",YEAR(A315)&amp;" Q"&amp;ROUNDUP(MONTH(A315)/3,0))</f>
        <v/>
      </c>
      <c r="C315" s="47" t="n"/>
      <c r="D315" s="47" t="n"/>
      <c r="E315" s="47" t="n"/>
      <c r="F315" s="47" t="n"/>
      <c r="G315" s="48" t="n"/>
      <c r="H315" s="49" t="n"/>
      <c r="I315" s="50">
        <f>IF(G315="","",ROUND(G315*H315,2))</f>
        <v/>
      </c>
      <c r="J315" s="50">
        <f>IF(G315="","",G315+N(I315))</f>
        <v/>
      </c>
      <c r="K315" s="45" t="n"/>
      <c r="L315" s="47" t="n"/>
      <c r="M315" s="48" t="n"/>
      <c r="N315" s="49" t="n"/>
      <c r="O315" s="50">
        <f>IF(M315="","",ROUND(M315*N315,2))</f>
        <v/>
      </c>
      <c r="P315" s="50">
        <f>IF(M315="","",M315+N(O315))</f>
        <v/>
      </c>
      <c r="Q315" s="45" t="n"/>
      <c r="R315" s="45" t="n"/>
      <c r="S315" s="51">
        <f>IF(L315="","",IF(COUNTIF(L$6:L315,L315)&gt;1,"",SUMIF(L$6:L$2000,L315,M$6:M$2000)-SUMIF(L$6:L$2000,L315,G$6:G$2000)))</f>
        <v/>
      </c>
      <c r="T315" s="46">
        <f>IF(AND(C315="",G315=""),"",IF(L315="","Nog factureren",IF(AND(G315&lt;&gt;"",OR(K315="",K315&gt;TODAY())),"Nog betalen",IF(OR(R315="",R315&gt;TODAY()),"Wacht op klant","Afgerond"))))</f>
        <v/>
      </c>
    </row>
    <row r="316">
      <c r="A316" s="45" t="n"/>
      <c r="B316" s="46">
        <f>IF(A316="","",YEAR(A316)&amp;" Q"&amp;ROUNDUP(MONTH(A316)/3,0))</f>
        <v/>
      </c>
      <c r="C316" s="47" t="n"/>
      <c r="D316" s="47" t="n"/>
      <c r="E316" s="47" t="n"/>
      <c r="F316" s="47" t="n"/>
      <c r="G316" s="48" t="n"/>
      <c r="H316" s="49" t="n"/>
      <c r="I316" s="50">
        <f>IF(G316="","",ROUND(G316*H316,2))</f>
        <v/>
      </c>
      <c r="J316" s="50">
        <f>IF(G316="","",G316+N(I316))</f>
        <v/>
      </c>
      <c r="K316" s="45" t="n"/>
      <c r="L316" s="47" t="n"/>
      <c r="M316" s="48" t="n"/>
      <c r="N316" s="49" t="n"/>
      <c r="O316" s="50">
        <f>IF(M316="","",ROUND(M316*N316,2))</f>
        <v/>
      </c>
      <c r="P316" s="50">
        <f>IF(M316="","",M316+N(O316))</f>
        <v/>
      </c>
      <c r="Q316" s="45" t="n"/>
      <c r="R316" s="45" t="n"/>
      <c r="S316" s="51">
        <f>IF(L316="","",IF(COUNTIF(L$6:L316,L316)&gt;1,"",SUMIF(L$6:L$2000,L316,M$6:M$2000)-SUMIF(L$6:L$2000,L316,G$6:G$2000)))</f>
        <v/>
      </c>
      <c r="T316" s="46">
        <f>IF(AND(C316="",G316=""),"",IF(L316="","Nog factureren",IF(AND(G316&lt;&gt;"",OR(K316="",K316&gt;TODAY())),"Nog betalen",IF(OR(R316="",R316&gt;TODAY()),"Wacht op klant","Afgerond"))))</f>
        <v/>
      </c>
    </row>
    <row r="317">
      <c r="A317" s="45" t="n"/>
      <c r="B317" s="46">
        <f>IF(A317="","",YEAR(A317)&amp;" Q"&amp;ROUNDUP(MONTH(A317)/3,0))</f>
        <v/>
      </c>
      <c r="C317" s="47" t="n"/>
      <c r="D317" s="47" t="n"/>
      <c r="E317" s="47" t="n"/>
      <c r="F317" s="47" t="n"/>
      <c r="G317" s="48" t="n"/>
      <c r="H317" s="49" t="n"/>
      <c r="I317" s="50">
        <f>IF(G317="","",ROUND(G317*H317,2))</f>
        <v/>
      </c>
      <c r="J317" s="50">
        <f>IF(G317="","",G317+N(I317))</f>
        <v/>
      </c>
      <c r="K317" s="45" t="n"/>
      <c r="L317" s="47" t="n"/>
      <c r="M317" s="48" t="n"/>
      <c r="N317" s="49" t="n"/>
      <c r="O317" s="50">
        <f>IF(M317="","",ROUND(M317*N317,2))</f>
        <v/>
      </c>
      <c r="P317" s="50">
        <f>IF(M317="","",M317+N(O317))</f>
        <v/>
      </c>
      <c r="Q317" s="45" t="n"/>
      <c r="R317" s="45" t="n"/>
      <c r="S317" s="51">
        <f>IF(L317="","",IF(COUNTIF(L$6:L317,L317)&gt;1,"",SUMIF(L$6:L$2000,L317,M$6:M$2000)-SUMIF(L$6:L$2000,L317,G$6:G$2000)))</f>
        <v/>
      </c>
      <c r="T317" s="46">
        <f>IF(AND(C317="",G317=""),"",IF(L317="","Nog factureren",IF(AND(G317&lt;&gt;"",OR(K317="",K317&gt;TODAY())),"Nog betalen",IF(OR(R317="",R317&gt;TODAY()),"Wacht op klant","Afgerond"))))</f>
        <v/>
      </c>
    </row>
    <row r="318">
      <c r="A318" s="45" t="n"/>
      <c r="B318" s="46">
        <f>IF(A318="","",YEAR(A318)&amp;" Q"&amp;ROUNDUP(MONTH(A318)/3,0))</f>
        <v/>
      </c>
      <c r="C318" s="47" t="n"/>
      <c r="D318" s="47" t="n"/>
      <c r="E318" s="47" t="n"/>
      <c r="F318" s="47" t="n"/>
      <c r="G318" s="48" t="n"/>
      <c r="H318" s="49" t="n"/>
      <c r="I318" s="50">
        <f>IF(G318="","",ROUND(G318*H318,2))</f>
        <v/>
      </c>
      <c r="J318" s="50">
        <f>IF(G318="","",G318+N(I318))</f>
        <v/>
      </c>
      <c r="K318" s="45" t="n"/>
      <c r="L318" s="47" t="n"/>
      <c r="M318" s="48" t="n"/>
      <c r="N318" s="49" t="n"/>
      <c r="O318" s="50">
        <f>IF(M318="","",ROUND(M318*N318,2))</f>
        <v/>
      </c>
      <c r="P318" s="50">
        <f>IF(M318="","",M318+N(O318))</f>
        <v/>
      </c>
      <c r="Q318" s="45" t="n"/>
      <c r="R318" s="45" t="n"/>
      <c r="S318" s="51">
        <f>IF(L318="","",IF(COUNTIF(L$6:L318,L318)&gt;1,"",SUMIF(L$6:L$2000,L318,M$6:M$2000)-SUMIF(L$6:L$2000,L318,G$6:G$2000)))</f>
        <v/>
      </c>
      <c r="T318" s="46">
        <f>IF(AND(C318="",G318=""),"",IF(L318="","Nog factureren",IF(AND(G318&lt;&gt;"",OR(K318="",K318&gt;TODAY())),"Nog betalen",IF(OR(R318="",R318&gt;TODAY()),"Wacht op klant","Afgerond"))))</f>
        <v/>
      </c>
    </row>
    <row r="319">
      <c r="A319" s="45" t="n"/>
      <c r="B319" s="46">
        <f>IF(A319="","",YEAR(A319)&amp;" Q"&amp;ROUNDUP(MONTH(A319)/3,0))</f>
        <v/>
      </c>
      <c r="C319" s="47" t="n"/>
      <c r="D319" s="47" t="n"/>
      <c r="E319" s="47" t="n"/>
      <c r="F319" s="47" t="n"/>
      <c r="G319" s="48" t="n"/>
      <c r="H319" s="49" t="n"/>
      <c r="I319" s="50">
        <f>IF(G319="","",ROUND(G319*H319,2))</f>
        <v/>
      </c>
      <c r="J319" s="50">
        <f>IF(G319="","",G319+N(I319))</f>
        <v/>
      </c>
      <c r="K319" s="45" t="n"/>
      <c r="L319" s="47" t="n"/>
      <c r="M319" s="48" t="n"/>
      <c r="N319" s="49" t="n"/>
      <c r="O319" s="50">
        <f>IF(M319="","",ROUND(M319*N319,2))</f>
        <v/>
      </c>
      <c r="P319" s="50">
        <f>IF(M319="","",M319+N(O319))</f>
        <v/>
      </c>
      <c r="Q319" s="45" t="n"/>
      <c r="R319" s="45" t="n"/>
      <c r="S319" s="51">
        <f>IF(L319="","",IF(COUNTIF(L$6:L319,L319)&gt;1,"",SUMIF(L$6:L$2000,L319,M$6:M$2000)-SUMIF(L$6:L$2000,L319,G$6:G$2000)))</f>
        <v/>
      </c>
      <c r="T319" s="46">
        <f>IF(AND(C319="",G319=""),"",IF(L319="","Nog factureren",IF(AND(G319&lt;&gt;"",OR(K319="",K319&gt;TODAY())),"Nog betalen",IF(OR(R319="",R319&gt;TODAY()),"Wacht op klant","Afgerond"))))</f>
        <v/>
      </c>
    </row>
    <row r="320">
      <c r="A320" s="45" t="n"/>
      <c r="B320" s="46">
        <f>IF(A320="","",YEAR(A320)&amp;" Q"&amp;ROUNDUP(MONTH(A320)/3,0))</f>
        <v/>
      </c>
      <c r="C320" s="47" t="n"/>
      <c r="D320" s="47" t="n"/>
      <c r="E320" s="47" t="n"/>
      <c r="F320" s="47" t="n"/>
      <c r="G320" s="48" t="n"/>
      <c r="H320" s="49" t="n"/>
      <c r="I320" s="50">
        <f>IF(G320="","",ROUND(G320*H320,2))</f>
        <v/>
      </c>
      <c r="J320" s="50">
        <f>IF(G320="","",G320+N(I320))</f>
        <v/>
      </c>
      <c r="K320" s="45" t="n"/>
      <c r="L320" s="47" t="n"/>
      <c r="M320" s="48" t="n"/>
      <c r="N320" s="49" t="n"/>
      <c r="O320" s="50">
        <f>IF(M320="","",ROUND(M320*N320,2))</f>
        <v/>
      </c>
      <c r="P320" s="50">
        <f>IF(M320="","",M320+N(O320))</f>
        <v/>
      </c>
      <c r="Q320" s="45" t="n"/>
      <c r="R320" s="45" t="n"/>
      <c r="S320" s="51">
        <f>IF(L320="","",IF(COUNTIF(L$6:L320,L320)&gt;1,"",SUMIF(L$6:L$2000,L320,M$6:M$2000)-SUMIF(L$6:L$2000,L320,G$6:G$2000)))</f>
        <v/>
      </c>
      <c r="T320" s="46">
        <f>IF(AND(C320="",G320=""),"",IF(L320="","Nog factureren",IF(AND(G320&lt;&gt;"",OR(K320="",K320&gt;TODAY())),"Nog betalen",IF(OR(R320="",R320&gt;TODAY()),"Wacht op klant","Afgerond"))))</f>
        <v/>
      </c>
    </row>
    <row r="321">
      <c r="A321" s="45" t="n"/>
      <c r="B321" s="46">
        <f>IF(A321="","",YEAR(A321)&amp;" Q"&amp;ROUNDUP(MONTH(A321)/3,0))</f>
        <v/>
      </c>
      <c r="C321" s="47" t="n"/>
      <c r="D321" s="47" t="n"/>
      <c r="E321" s="47" t="n"/>
      <c r="F321" s="47" t="n"/>
      <c r="G321" s="48" t="n"/>
      <c r="H321" s="49" t="n"/>
      <c r="I321" s="50">
        <f>IF(G321="","",ROUND(G321*H321,2))</f>
        <v/>
      </c>
      <c r="J321" s="50">
        <f>IF(G321="","",G321+N(I321))</f>
        <v/>
      </c>
      <c r="K321" s="45" t="n"/>
      <c r="L321" s="47" t="n"/>
      <c r="M321" s="48" t="n"/>
      <c r="N321" s="49" t="n"/>
      <c r="O321" s="50">
        <f>IF(M321="","",ROUND(M321*N321,2))</f>
        <v/>
      </c>
      <c r="P321" s="50">
        <f>IF(M321="","",M321+N(O321))</f>
        <v/>
      </c>
      <c r="Q321" s="45" t="n"/>
      <c r="R321" s="45" t="n"/>
      <c r="S321" s="51">
        <f>IF(L321="","",IF(COUNTIF(L$6:L321,L321)&gt;1,"",SUMIF(L$6:L$2000,L321,M$6:M$2000)-SUMIF(L$6:L$2000,L321,G$6:G$2000)))</f>
        <v/>
      </c>
      <c r="T321" s="46">
        <f>IF(AND(C321="",G321=""),"",IF(L321="","Nog factureren",IF(AND(G321&lt;&gt;"",OR(K321="",K321&gt;TODAY())),"Nog betalen",IF(OR(R321="",R321&gt;TODAY()),"Wacht op klant","Afgerond"))))</f>
        <v/>
      </c>
    </row>
    <row r="322">
      <c r="A322" s="45" t="n"/>
      <c r="B322" s="46">
        <f>IF(A322="","",YEAR(A322)&amp;" Q"&amp;ROUNDUP(MONTH(A322)/3,0))</f>
        <v/>
      </c>
      <c r="C322" s="47" t="n"/>
      <c r="D322" s="47" t="n"/>
      <c r="E322" s="47" t="n"/>
      <c r="F322" s="47" t="n"/>
      <c r="G322" s="48" t="n"/>
      <c r="H322" s="49" t="n"/>
      <c r="I322" s="50">
        <f>IF(G322="","",ROUND(G322*H322,2))</f>
        <v/>
      </c>
      <c r="J322" s="50">
        <f>IF(G322="","",G322+N(I322))</f>
        <v/>
      </c>
      <c r="K322" s="45" t="n"/>
      <c r="L322" s="47" t="n"/>
      <c r="M322" s="48" t="n"/>
      <c r="N322" s="49" t="n"/>
      <c r="O322" s="50">
        <f>IF(M322="","",ROUND(M322*N322,2))</f>
        <v/>
      </c>
      <c r="P322" s="50">
        <f>IF(M322="","",M322+N(O322))</f>
        <v/>
      </c>
      <c r="Q322" s="45" t="n"/>
      <c r="R322" s="45" t="n"/>
      <c r="S322" s="51">
        <f>IF(L322="","",IF(COUNTIF(L$6:L322,L322)&gt;1,"",SUMIF(L$6:L$2000,L322,M$6:M$2000)-SUMIF(L$6:L$2000,L322,G$6:G$2000)))</f>
        <v/>
      </c>
      <c r="T322" s="46">
        <f>IF(AND(C322="",G322=""),"",IF(L322="","Nog factureren",IF(AND(G322&lt;&gt;"",OR(K322="",K322&gt;TODAY())),"Nog betalen",IF(OR(R322="",R322&gt;TODAY()),"Wacht op klant","Afgerond"))))</f>
        <v/>
      </c>
    </row>
    <row r="323">
      <c r="A323" s="45" t="n"/>
      <c r="B323" s="46">
        <f>IF(A323="","",YEAR(A323)&amp;" Q"&amp;ROUNDUP(MONTH(A323)/3,0))</f>
        <v/>
      </c>
      <c r="C323" s="47" t="n"/>
      <c r="D323" s="47" t="n"/>
      <c r="E323" s="47" t="n"/>
      <c r="F323" s="47" t="n"/>
      <c r="G323" s="48" t="n"/>
      <c r="H323" s="49" t="n"/>
      <c r="I323" s="50">
        <f>IF(G323="","",ROUND(G323*H323,2))</f>
        <v/>
      </c>
      <c r="J323" s="50">
        <f>IF(G323="","",G323+N(I323))</f>
        <v/>
      </c>
      <c r="K323" s="45" t="n"/>
      <c r="L323" s="47" t="n"/>
      <c r="M323" s="48" t="n"/>
      <c r="N323" s="49" t="n"/>
      <c r="O323" s="50">
        <f>IF(M323="","",ROUND(M323*N323,2))</f>
        <v/>
      </c>
      <c r="P323" s="50">
        <f>IF(M323="","",M323+N(O323))</f>
        <v/>
      </c>
      <c r="Q323" s="45" t="n"/>
      <c r="R323" s="45" t="n"/>
      <c r="S323" s="51">
        <f>IF(L323="","",IF(COUNTIF(L$6:L323,L323)&gt;1,"",SUMIF(L$6:L$2000,L323,M$6:M$2000)-SUMIF(L$6:L$2000,L323,G$6:G$2000)))</f>
        <v/>
      </c>
      <c r="T323" s="46">
        <f>IF(AND(C323="",G323=""),"",IF(L323="","Nog factureren",IF(AND(G323&lt;&gt;"",OR(K323="",K323&gt;TODAY())),"Nog betalen",IF(OR(R323="",R323&gt;TODAY()),"Wacht op klant","Afgerond"))))</f>
        <v/>
      </c>
    </row>
    <row r="324">
      <c r="A324" s="45" t="n"/>
      <c r="B324" s="46">
        <f>IF(A324="","",YEAR(A324)&amp;" Q"&amp;ROUNDUP(MONTH(A324)/3,0))</f>
        <v/>
      </c>
      <c r="C324" s="47" t="n"/>
      <c r="D324" s="47" t="n"/>
      <c r="E324" s="47" t="n"/>
      <c r="F324" s="47" t="n"/>
      <c r="G324" s="48" t="n"/>
      <c r="H324" s="49" t="n"/>
      <c r="I324" s="50">
        <f>IF(G324="","",ROUND(G324*H324,2))</f>
        <v/>
      </c>
      <c r="J324" s="50">
        <f>IF(G324="","",G324+N(I324))</f>
        <v/>
      </c>
      <c r="K324" s="45" t="n"/>
      <c r="L324" s="47" t="n"/>
      <c r="M324" s="48" t="n"/>
      <c r="N324" s="49" t="n"/>
      <c r="O324" s="50">
        <f>IF(M324="","",ROUND(M324*N324,2))</f>
        <v/>
      </c>
      <c r="P324" s="50">
        <f>IF(M324="","",M324+N(O324))</f>
        <v/>
      </c>
      <c r="Q324" s="45" t="n"/>
      <c r="R324" s="45" t="n"/>
      <c r="S324" s="51">
        <f>IF(L324="","",IF(COUNTIF(L$6:L324,L324)&gt;1,"",SUMIF(L$6:L$2000,L324,M$6:M$2000)-SUMIF(L$6:L$2000,L324,G$6:G$2000)))</f>
        <v/>
      </c>
      <c r="T324" s="46">
        <f>IF(AND(C324="",G324=""),"",IF(L324="","Nog factureren",IF(AND(G324&lt;&gt;"",OR(K324="",K324&gt;TODAY())),"Nog betalen",IF(OR(R324="",R324&gt;TODAY()),"Wacht op klant","Afgerond"))))</f>
        <v/>
      </c>
    </row>
    <row r="325">
      <c r="A325" s="45" t="n"/>
      <c r="B325" s="46">
        <f>IF(A325="","",YEAR(A325)&amp;" Q"&amp;ROUNDUP(MONTH(A325)/3,0))</f>
        <v/>
      </c>
      <c r="C325" s="47" t="n"/>
      <c r="D325" s="47" t="n"/>
      <c r="E325" s="47" t="n"/>
      <c r="F325" s="47" t="n"/>
      <c r="G325" s="48" t="n"/>
      <c r="H325" s="49" t="n"/>
      <c r="I325" s="50">
        <f>IF(G325="","",ROUND(G325*H325,2))</f>
        <v/>
      </c>
      <c r="J325" s="50">
        <f>IF(G325="","",G325+N(I325))</f>
        <v/>
      </c>
      <c r="K325" s="45" t="n"/>
      <c r="L325" s="47" t="n"/>
      <c r="M325" s="48" t="n"/>
      <c r="N325" s="49" t="n"/>
      <c r="O325" s="50">
        <f>IF(M325="","",ROUND(M325*N325,2))</f>
        <v/>
      </c>
      <c r="P325" s="50">
        <f>IF(M325="","",M325+N(O325))</f>
        <v/>
      </c>
      <c r="Q325" s="45" t="n"/>
      <c r="R325" s="45" t="n"/>
      <c r="S325" s="51">
        <f>IF(L325="","",IF(COUNTIF(L$6:L325,L325)&gt;1,"",SUMIF(L$6:L$2000,L325,M$6:M$2000)-SUMIF(L$6:L$2000,L325,G$6:G$2000)))</f>
        <v/>
      </c>
      <c r="T325" s="46">
        <f>IF(AND(C325="",G325=""),"",IF(L325="","Nog factureren",IF(AND(G325&lt;&gt;"",OR(K325="",K325&gt;TODAY())),"Nog betalen",IF(OR(R325="",R325&gt;TODAY()),"Wacht op klant","Afgerond"))))</f>
        <v/>
      </c>
    </row>
    <row r="326">
      <c r="A326" s="45" t="n"/>
      <c r="B326" s="46">
        <f>IF(A326="","",YEAR(A326)&amp;" Q"&amp;ROUNDUP(MONTH(A326)/3,0))</f>
        <v/>
      </c>
      <c r="C326" s="47" t="n"/>
      <c r="D326" s="47" t="n"/>
      <c r="E326" s="47" t="n"/>
      <c r="F326" s="47" t="n"/>
      <c r="G326" s="48" t="n"/>
      <c r="H326" s="49" t="n"/>
      <c r="I326" s="50">
        <f>IF(G326="","",ROUND(G326*H326,2))</f>
        <v/>
      </c>
      <c r="J326" s="50">
        <f>IF(G326="","",G326+N(I326))</f>
        <v/>
      </c>
      <c r="K326" s="45" t="n"/>
      <c r="L326" s="47" t="n"/>
      <c r="M326" s="48" t="n"/>
      <c r="N326" s="49" t="n"/>
      <c r="O326" s="50">
        <f>IF(M326="","",ROUND(M326*N326,2))</f>
        <v/>
      </c>
      <c r="P326" s="50">
        <f>IF(M326="","",M326+N(O326))</f>
        <v/>
      </c>
      <c r="Q326" s="45" t="n"/>
      <c r="R326" s="45" t="n"/>
      <c r="S326" s="51">
        <f>IF(L326="","",IF(COUNTIF(L$6:L326,L326)&gt;1,"",SUMIF(L$6:L$2000,L326,M$6:M$2000)-SUMIF(L$6:L$2000,L326,G$6:G$2000)))</f>
        <v/>
      </c>
      <c r="T326" s="46">
        <f>IF(AND(C326="",G326=""),"",IF(L326="","Nog factureren",IF(AND(G326&lt;&gt;"",OR(K326="",K326&gt;TODAY())),"Nog betalen",IF(OR(R326="",R326&gt;TODAY()),"Wacht op klant","Afgerond"))))</f>
        <v/>
      </c>
    </row>
    <row r="327">
      <c r="A327" s="45" t="n"/>
      <c r="B327" s="46">
        <f>IF(A327="","",YEAR(A327)&amp;" Q"&amp;ROUNDUP(MONTH(A327)/3,0))</f>
        <v/>
      </c>
      <c r="C327" s="47" t="n"/>
      <c r="D327" s="47" t="n"/>
      <c r="E327" s="47" t="n"/>
      <c r="F327" s="47" t="n"/>
      <c r="G327" s="48" t="n"/>
      <c r="H327" s="49" t="n"/>
      <c r="I327" s="50">
        <f>IF(G327="","",ROUND(G327*H327,2))</f>
        <v/>
      </c>
      <c r="J327" s="50">
        <f>IF(G327="","",G327+N(I327))</f>
        <v/>
      </c>
      <c r="K327" s="45" t="n"/>
      <c r="L327" s="47" t="n"/>
      <c r="M327" s="48" t="n"/>
      <c r="N327" s="49" t="n"/>
      <c r="O327" s="50">
        <f>IF(M327="","",ROUND(M327*N327,2))</f>
        <v/>
      </c>
      <c r="P327" s="50">
        <f>IF(M327="","",M327+N(O327))</f>
        <v/>
      </c>
      <c r="Q327" s="45" t="n"/>
      <c r="R327" s="45" t="n"/>
      <c r="S327" s="51">
        <f>IF(L327="","",IF(COUNTIF(L$6:L327,L327)&gt;1,"",SUMIF(L$6:L$2000,L327,M$6:M$2000)-SUMIF(L$6:L$2000,L327,G$6:G$2000)))</f>
        <v/>
      </c>
      <c r="T327" s="46">
        <f>IF(AND(C327="",G327=""),"",IF(L327="","Nog factureren",IF(AND(G327&lt;&gt;"",OR(K327="",K327&gt;TODAY())),"Nog betalen",IF(OR(R327="",R327&gt;TODAY()),"Wacht op klant","Afgerond"))))</f>
        <v/>
      </c>
    </row>
    <row r="328">
      <c r="A328" s="45" t="n"/>
      <c r="B328" s="46">
        <f>IF(A328="","",YEAR(A328)&amp;" Q"&amp;ROUNDUP(MONTH(A328)/3,0))</f>
        <v/>
      </c>
      <c r="C328" s="47" t="n"/>
      <c r="D328" s="47" t="n"/>
      <c r="E328" s="47" t="n"/>
      <c r="F328" s="47" t="n"/>
      <c r="G328" s="48" t="n"/>
      <c r="H328" s="49" t="n"/>
      <c r="I328" s="50">
        <f>IF(G328="","",ROUND(G328*H328,2))</f>
        <v/>
      </c>
      <c r="J328" s="50">
        <f>IF(G328="","",G328+N(I328))</f>
        <v/>
      </c>
      <c r="K328" s="45" t="n"/>
      <c r="L328" s="47" t="n"/>
      <c r="M328" s="48" t="n"/>
      <c r="N328" s="49" t="n"/>
      <c r="O328" s="50">
        <f>IF(M328="","",ROUND(M328*N328,2))</f>
        <v/>
      </c>
      <c r="P328" s="50">
        <f>IF(M328="","",M328+N(O328))</f>
        <v/>
      </c>
      <c r="Q328" s="45" t="n"/>
      <c r="R328" s="45" t="n"/>
      <c r="S328" s="51">
        <f>IF(L328="","",IF(COUNTIF(L$6:L328,L328)&gt;1,"",SUMIF(L$6:L$2000,L328,M$6:M$2000)-SUMIF(L$6:L$2000,L328,G$6:G$2000)))</f>
        <v/>
      </c>
      <c r="T328" s="46">
        <f>IF(AND(C328="",G328=""),"",IF(L328="","Nog factureren",IF(AND(G328&lt;&gt;"",OR(K328="",K328&gt;TODAY())),"Nog betalen",IF(OR(R328="",R328&gt;TODAY()),"Wacht op klant","Afgerond"))))</f>
        <v/>
      </c>
    </row>
    <row r="329">
      <c r="A329" s="45" t="n"/>
      <c r="B329" s="46">
        <f>IF(A329="","",YEAR(A329)&amp;" Q"&amp;ROUNDUP(MONTH(A329)/3,0))</f>
        <v/>
      </c>
      <c r="C329" s="47" t="n"/>
      <c r="D329" s="47" t="n"/>
      <c r="E329" s="47" t="n"/>
      <c r="F329" s="47" t="n"/>
      <c r="G329" s="48" t="n"/>
      <c r="H329" s="49" t="n"/>
      <c r="I329" s="50">
        <f>IF(G329="","",ROUND(G329*H329,2))</f>
        <v/>
      </c>
      <c r="J329" s="50">
        <f>IF(G329="","",G329+N(I329))</f>
        <v/>
      </c>
      <c r="K329" s="45" t="n"/>
      <c r="L329" s="47" t="n"/>
      <c r="M329" s="48" t="n"/>
      <c r="N329" s="49" t="n"/>
      <c r="O329" s="50">
        <f>IF(M329="","",ROUND(M329*N329,2))</f>
        <v/>
      </c>
      <c r="P329" s="50">
        <f>IF(M329="","",M329+N(O329))</f>
        <v/>
      </c>
      <c r="Q329" s="45" t="n"/>
      <c r="R329" s="45" t="n"/>
      <c r="S329" s="51">
        <f>IF(L329="","",IF(COUNTIF(L$6:L329,L329)&gt;1,"",SUMIF(L$6:L$2000,L329,M$6:M$2000)-SUMIF(L$6:L$2000,L329,G$6:G$2000)))</f>
        <v/>
      </c>
      <c r="T329" s="46">
        <f>IF(AND(C329="",G329=""),"",IF(L329="","Nog factureren",IF(AND(G329&lt;&gt;"",OR(K329="",K329&gt;TODAY())),"Nog betalen",IF(OR(R329="",R329&gt;TODAY()),"Wacht op klant","Afgerond"))))</f>
        <v/>
      </c>
    </row>
    <row r="330">
      <c r="A330" s="45" t="n"/>
      <c r="B330" s="46">
        <f>IF(A330="","",YEAR(A330)&amp;" Q"&amp;ROUNDUP(MONTH(A330)/3,0))</f>
        <v/>
      </c>
      <c r="C330" s="47" t="n"/>
      <c r="D330" s="47" t="n"/>
      <c r="E330" s="47" t="n"/>
      <c r="F330" s="47" t="n"/>
      <c r="G330" s="48" t="n"/>
      <c r="H330" s="49" t="n"/>
      <c r="I330" s="50">
        <f>IF(G330="","",ROUND(G330*H330,2))</f>
        <v/>
      </c>
      <c r="J330" s="50">
        <f>IF(G330="","",G330+N(I330))</f>
        <v/>
      </c>
      <c r="K330" s="45" t="n"/>
      <c r="L330" s="47" t="n"/>
      <c r="M330" s="48" t="n"/>
      <c r="N330" s="49" t="n"/>
      <c r="O330" s="50">
        <f>IF(M330="","",ROUND(M330*N330,2))</f>
        <v/>
      </c>
      <c r="P330" s="50">
        <f>IF(M330="","",M330+N(O330))</f>
        <v/>
      </c>
      <c r="Q330" s="45" t="n"/>
      <c r="R330" s="45" t="n"/>
      <c r="S330" s="51">
        <f>IF(L330="","",IF(COUNTIF(L$6:L330,L330)&gt;1,"",SUMIF(L$6:L$2000,L330,M$6:M$2000)-SUMIF(L$6:L$2000,L330,G$6:G$2000)))</f>
        <v/>
      </c>
      <c r="T330" s="46">
        <f>IF(AND(C330="",G330=""),"",IF(L330="","Nog factureren",IF(AND(G330&lt;&gt;"",OR(K330="",K330&gt;TODAY())),"Nog betalen",IF(OR(R330="",R330&gt;TODAY()),"Wacht op klant","Afgerond"))))</f>
        <v/>
      </c>
    </row>
    <row r="331">
      <c r="A331" s="45" t="n"/>
      <c r="B331" s="46">
        <f>IF(A331="","",YEAR(A331)&amp;" Q"&amp;ROUNDUP(MONTH(A331)/3,0))</f>
        <v/>
      </c>
      <c r="C331" s="47" t="n"/>
      <c r="D331" s="47" t="n"/>
      <c r="E331" s="47" t="n"/>
      <c r="F331" s="47" t="n"/>
      <c r="G331" s="48" t="n"/>
      <c r="H331" s="49" t="n"/>
      <c r="I331" s="50">
        <f>IF(G331="","",ROUND(G331*H331,2))</f>
        <v/>
      </c>
      <c r="J331" s="50">
        <f>IF(G331="","",G331+N(I331))</f>
        <v/>
      </c>
      <c r="K331" s="45" t="n"/>
      <c r="L331" s="47" t="n"/>
      <c r="M331" s="48" t="n"/>
      <c r="N331" s="49" t="n"/>
      <c r="O331" s="50">
        <f>IF(M331="","",ROUND(M331*N331,2))</f>
        <v/>
      </c>
      <c r="P331" s="50">
        <f>IF(M331="","",M331+N(O331))</f>
        <v/>
      </c>
      <c r="Q331" s="45" t="n"/>
      <c r="R331" s="45" t="n"/>
      <c r="S331" s="51">
        <f>IF(L331="","",IF(COUNTIF(L$6:L331,L331)&gt;1,"",SUMIF(L$6:L$2000,L331,M$6:M$2000)-SUMIF(L$6:L$2000,L331,G$6:G$2000)))</f>
        <v/>
      </c>
      <c r="T331" s="46">
        <f>IF(AND(C331="",G331=""),"",IF(L331="","Nog factureren",IF(AND(G331&lt;&gt;"",OR(K331="",K331&gt;TODAY())),"Nog betalen",IF(OR(R331="",R331&gt;TODAY()),"Wacht op klant","Afgerond"))))</f>
        <v/>
      </c>
    </row>
    <row r="332">
      <c r="A332" s="45" t="n"/>
      <c r="B332" s="46">
        <f>IF(A332="","",YEAR(A332)&amp;" Q"&amp;ROUNDUP(MONTH(A332)/3,0))</f>
        <v/>
      </c>
      <c r="C332" s="47" t="n"/>
      <c r="D332" s="47" t="n"/>
      <c r="E332" s="47" t="n"/>
      <c r="F332" s="47" t="n"/>
      <c r="G332" s="48" t="n"/>
      <c r="H332" s="49" t="n"/>
      <c r="I332" s="50">
        <f>IF(G332="","",ROUND(G332*H332,2))</f>
        <v/>
      </c>
      <c r="J332" s="50">
        <f>IF(G332="","",G332+N(I332))</f>
        <v/>
      </c>
      <c r="K332" s="45" t="n"/>
      <c r="L332" s="47" t="n"/>
      <c r="M332" s="48" t="n"/>
      <c r="N332" s="49" t="n"/>
      <c r="O332" s="50">
        <f>IF(M332="","",ROUND(M332*N332,2))</f>
        <v/>
      </c>
      <c r="P332" s="50">
        <f>IF(M332="","",M332+N(O332))</f>
        <v/>
      </c>
      <c r="Q332" s="45" t="n"/>
      <c r="R332" s="45" t="n"/>
      <c r="S332" s="51">
        <f>IF(L332="","",IF(COUNTIF(L$6:L332,L332)&gt;1,"",SUMIF(L$6:L$2000,L332,M$6:M$2000)-SUMIF(L$6:L$2000,L332,G$6:G$2000)))</f>
        <v/>
      </c>
      <c r="T332" s="46">
        <f>IF(AND(C332="",G332=""),"",IF(L332="","Nog factureren",IF(AND(G332&lt;&gt;"",OR(K332="",K332&gt;TODAY())),"Nog betalen",IF(OR(R332="",R332&gt;TODAY()),"Wacht op klant","Afgerond"))))</f>
        <v/>
      </c>
    </row>
    <row r="333">
      <c r="A333" s="45" t="n"/>
      <c r="B333" s="46">
        <f>IF(A333="","",YEAR(A333)&amp;" Q"&amp;ROUNDUP(MONTH(A333)/3,0))</f>
        <v/>
      </c>
      <c r="C333" s="47" t="n"/>
      <c r="D333" s="47" t="n"/>
      <c r="E333" s="47" t="n"/>
      <c r="F333" s="47" t="n"/>
      <c r="G333" s="48" t="n"/>
      <c r="H333" s="49" t="n"/>
      <c r="I333" s="50">
        <f>IF(G333="","",ROUND(G333*H333,2))</f>
        <v/>
      </c>
      <c r="J333" s="50">
        <f>IF(G333="","",G333+N(I333))</f>
        <v/>
      </c>
      <c r="K333" s="45" t="n"/>
      <c r="L333" s="47" t="n"/>
      <c r="M333" s="48" t="n"/>
      <c r="N333" s="49" t="n"/>
      <c r="O333" s="50">
        <f>IF(M333="","",ROUND(M333*N333,2))</f>
        <v/>
      </c>
      <c r="P333" s="50">
        <f>IF(M333="","",M333+N(O333))</f>
        <v/>
      </c>
      <c r="Q333" s="45" t="n"/>
      <c r="R333" s="45" t="n"/>
      <c r="S333" s="51">
        <f>IF(L333="","",IF(COUNTIF(L$6:L333,L333)&gt;1,"",SUMIF(L$6:L$2000,L333,M$6:M$2000)-SUMIF(L$6:L$2000,L333,G$6:G$2000)))</f>
        <v/>
      </c>
      <c r="T333" s="46">
        <f>IF(AND(C333="",G333=""),"",IF(L333="","Nog factureren",IF(AND(G333&lt;&gt;"",OR(K333="",K333&gt;TODAY())),"Nog betalen",IF(OR(R333="",R333&gt;TODAY()),"Wacht op klant","Afgerond"))))</f>
        <v/>
      </c>
    </row>
    <row r="334">
      <c r="A334" s="45" t="n"/>
      <c r="B334" s="46">
        <f>IF(A334="","",YEAR(A334)&amp;" Q"&amp;ROUNDUP(MONTH(A334)/3,0))</f>
        <v/>
      </c>
      <c r="C334" s="47" t="n"/>
      <c r="D334" s="47" t="n"/>
      <c r="E334" s="47" t="n"/>
      <c r="F334" s="47" t="n"/>
      <c r="G334" s="48" t="n"/>
      <c r="H334" s="49" t="n"/>
      <c r="I334" s="50">
        <f>IF(G334="","",ROUND(G334*H334,2))</f>
        <v/>
      </c>
      <c r="J334" s="50">
        <f>IF(G334="","",G334+N(I334))</f>
        <v/>
      </c>
      <c r="K334" s="45" t="n"/>
      <c r="L334" s="47" t="n"/>
      <c r="M334" s="48" t="n"/>
      <c r="N334" s="49" t="n"/>
      <c r="O334" s="50">
        <f>IF(M334="","",ROUND(M334*N334,2))</f>
        <v/>
      </c>
      <c r="P334" s="50">
        <f>IF(M334="","",M334+N(O334))</f>
        <v/>
      </c>
      <c r="Q334" s="45" t="n"/>
      <c r="R334" s="45" t="n"/>
      <c r="S334" s="51">
        <f>IF(L334="","",IF(COUNTIF(L$6:L334,L334)&gt;1,"",SUMIF(L$6:L$2000,L334,M$6:M$2000)-SUMIF(L$6:L$2000,L334,G$6:G$2000)))</f>
        <v/>
      </c>
      <c r="T334" s="46">
        <f>IF(AND(C334="",G334=""),"",IF(L334="","Nog factureren",IF(AND(G334&lt;&gt;"",OR(K334="",K334&gt;TODAY())),"Nog betalen",IF(OR(R334="",R334&gt;TODAY()),"Wacht op klant","Afgerond"))))</f>
        <v/>
      </c>
    </row>
    <row r="335">
      <c r="A335" s="45" t="n"/>
      <c r="B335" s="46">
        <f>IF(A335="","",YEAR(A335)&amp;" Q"&amp;ROUNDUP(MONTH(A335)/3,0))</f>
        <v/>
      </c>
      <c r="C335" s="47" t="n"/>
      <c r="D335" s="47" t="n"/>
      <c r="E335" s="47" t="n"/>
      <c r="F335" s="47" t="n"/>
      <c r="G335" s="48" t="n"/>
      <c r="H335" s="49" t="n"/>
      <c r="I335" s="50">
        <f>IF(G335="","",ROUND(G335*H335,2))</f>
        <v/>
      </c>
      <c r="J335" s="50">
        <f>IF(G335="","",G335+N(I335))</f>
        <v/>
      </c>
      <c r="K335" s="45" t="n"/>
      <c r="L335" s="47" t="n"/>
      <c r="M335" s="48" t="n"/>
      <c r="N335" s="49" t="n"/>
      <c r="O335" s="50">
        <f>IF(M335="","",ROUND(M335*N335,2))</f>
        <v/>
      </c>
      <c r="P335" s="50">
        <f>IF(M335="","",M335+N(O335))</f>
        <v/>
      </c>
      <c r="Q335" s="45" t="n"/>
      <c r="R335" s="45" t="n"/>
      <c r="S335" s="51">
        <f>IF(L335="","",IF(COUNTIF(L$6:L335,L335)&gt;1,"",SUMIF(L$6:L$2000,L335,M$6:M$2000)-SUMIF(L$6:L$2000,L335,G$6:G$2000)))</f>
        <v/>
      </c>
      <c r="T335" s="46">
        <f>IF(AND(C335="",G335=""),"",IF(L335="","Nog factureren",IF(AND(G335&lt;&gt;"",OR(K335="",K335&gt;TODAY())),"Nog betalen",IF(OR(R335="",R335&gt;TODAY()),"Wacht op klant","Afgerond"))))</f>
        <v/>
      </c>
    </row>
    <row r="336">
      <c r="A336" s="45" t="n"/>
      <c r="B336" s="46">
        <f>IF(A336="","",YEAR(A336)&amp;" Q"&amp;ROUNDUP(MONTH(A336)/3,0))</f>
        <v/>
      </c>
      <c r="C336" s="47" t="n"/>
      <c r="D336" s="47" t="n"/>
      <c r="E336" s="47" t="n"/>
      <c r="F336" s="47" t="n"/>
      <c r="G336" s="48" t="n"/>
      <c r="H336" s="49" t="n"/>
      <c r="I336" s="50">
        <f>IF(G336="","",ROUND(G336*H336,2))</f>
        <v/>
      </c>
      <c r="J336" s="50">
        <f>IF(G336="","",G336+N(I336))</f>
        <v/>
      </c>
      <c r="K336" s="45" t="n"/>
      <c r="L336" s="47" t="n"/>
      <c r="M336" s="48" t="n"/>
      <c r="N336" s="49" t="n"/>
      <c r="O336" s="50">
        <f>IF(M336="","",ROUND(M336*N336,2))</f>
        <v/>
      </c>
      <c r="P336" s="50">
        <f>IF(M336="","",M336+N(O336))</f>
        <v/>
      </c>
      <c r="Q336" s="45" t="n"/>
      <c r="R336" s="45" t="n"/>
      <c r="S336" s="51">
        <f>IF(L336="","",IF(COUNTIF(L$6:L336,L336)&gt;1,"",SUMIF(L$6:L$2000,L336,M$6:M$2000)-SUMIF(L$6:L$2000,L336,G$6:G$2000)))</f>
        <v/>
      </c>
      <c r="T336" s="46">
        <f>IF(AND(C336="",G336=""),"",IF(L336="","Nog factureren",IF(AND(G336&lt;&gt;"",OR(K336="",K336&gt;TODAY())),"Nog betalen",IF(OR(R336="",R336&gt;TODAY()),"Wacht op klant","Afgerond"))))</f>
        <v/>
      </c>
    </row>
    <row r="337">
      <c r="A337" s="45" t="n"/>
      <c r="B337" s="46">
        <f>IF(A337="","",YEAR(A337)&amp;" Q"&amp;ROUNDUP(MONTH(A337)/3,0))</f>
        <v/>
      </c>
      <c r="C337" s="47" t="n"/>
      <c r="D337" s="47" t="n"/>
      <c r="E337" s="47" t="n"/>
      <c r="F337" s="47" t="n"/>
      <c r="G337" s="48" t="n"/>
      <c r="H337" s="49" t="n"/>
      <c r="I337" s="50">
        <f>IF(G337="","",ROUND(G337*H337,2))</f>
        <v/>
      </c>
      <c r="J337" s="50">
        <f>IF(G337="","",G337+N(I337))</f>
        <v/>
      </c>
      <c r="K337" s="45" t="n"/>
      <c r="L337" s="47" t="n"/>
      <c r="M337" s="48" t="n"/>
      <c r="N337" s="49" t="n"/>
      <c r="O337" s="50">
        <f>IF(M337="","",ROUND(M337*N337,2))</f>
        <v/>
      </c>
      <c r="P337" s="50">
        <f>IF(M337="","",M337+N(O337))</f>
        <v/>
      </c>
      <c r="Q337" s="45" t="n"/>
      <c r="R337" s="45" t="n"/>
      <c r="S337" s="51">
        <f>IF(L337="","",IF(COUNTIF(L$6:L337,L337)&gt;1,"",SUMIF(L$6:L$2000,L337,M$6:M$2000)-SUMIF(L$6:L$2000,L337,G$6:G$2000)))</f>
        <v/>
      </c>
      <c r="T337" s="46">
        <f>IF(AND(C337="",G337=""),"",IF(L337="","Nog factureren",IF(AND(G337&lt;&gt;"",OR(K337="",K337&gt;TODAY())),"Nog betalen",IF(OR(R337="",R337&gt;TODAY()),"Wacht op klant","Afgerond"))))</f>
        <v/>
      </c>
    </row>
    <row r="338">
      <c r="A338" s="45" t="n"/>
      <c r="B338" s="46">
        <f>IF(A338="","",YEAR(A338)&amp;" Q"&amp;ROUNDUP(MONTH(A338)/3,0))</f>
        <v/>
      </c>
      <c r="C338" s="47" t="n"/>
      <c r="D338" s="47" t="n"/>
      <c r="E338" s="47" t="n"/>
      <c r="F338" s="47" t="n"/>
      <c r="G338" s="48" t="n"/>
      <c r="H338" s="49" t="n"/>
      <c r="I338" s="50">
        <f>IF(G338="","",ROUND(G338*H338,2))</f>
        <v/>
      </c>
      <c r="J338" s="50">
        <f>IF(G338="","",G338+N(I338))</f>
        <v/>
      </c>
      <c r="K338" s="45" t="n"/>
      <c r="L338" s="47" t="n"/>
      <c r="M338" s="48" t="n"/>
      <c r="N338" s="49" t="n"/>
      <c r="O338" s="50">
        <f>IF(M338="","",ROUND(M338*N338,2))</f>
        <v/>
      </c>
      <c r="P338" s="50">
        <f>IF(M338="","",M338+N(O338))</f>
        <v/>
      </c>
      <c r="Q338" s="45" t="n"/>
      <c r="R338" s="45" t="n"/>
      <c r="S338" s="51">
        <f>IF(L338="","",IF(COUNTIF(L$6:L338,L338)&gt;1,"",SUMIF(L$6:L$2000,L338,M$6:M$2000)-SUMIF(L$6:L$2000,L338,G$6:G$2000)))</f>
        <v/>
      </c>
      <c r="T338" s="46">
        <f>IF(AND(C338="",G338=""),"",IF(L338="","Nog factureren",IF(AND(G338&lt;&gt;"",OR(K338="",K338&gt;TODAY())),"Nog betalen",IF(OR(R338="",R338&gt;TODAY()),"Wacht op klant","Afgerond"))))</f>
        <v/>
      </c>
    </row>
    <row r="339">
      <c r="A339" s="45" t="n"/>
      <c r="B339" s="46">
        <f>IF(A339="","",YEAR(A339)&amp;" Q"&amp;ROUNDUP(MONTH(A339)/3,0))</f>
        <v/>
      </c>
      <c r="C339" s="47" t="n"/>
      <c r="D339" s="47" t="n"/>
      <c r="E339" s="47" t="n"/>
      <c r="F339" s="47" t="n"/>
      <c r="G339" s="48" t="n"/>
      <c r="H339" s="49" t="n"/>
      <c r="I339" s="50">
        <f>IF(G339="","",ROUND(G339*H339,2))</f>
        <v/>
      </c>
      <c r="J339" s="50">
        <f>IF(G339="","",G339+N(I339))</f>
        <v/>
      </c>
      <c r="K339" s="45" t="n"/>
      <c r="L339" s="47" t="n"/>
      <c r="M339" s="48" t="n"/>
      <c r="N339" s="49" t="n"/>
      <c r="O339" s="50">
        <f>IF(M339="","",ROUND(M339*N339,2))</f>
        <v/>
      </c>
      <c r="P339" s="50">
        <f>IF(M339="","",M339+N(O339))</f>
        <v/>
      </c>
      <c r="Q339" s="45" t="n"/>
      <c r="R339" s="45" t="n"/>
      <c r="S339" s="51">
        <f>IF(L339="","",IF(COUNTIF(L$6:L339,L339)&gt;1,"",SUMIF(L$6:L$2000,L339,M$6:M$2000)-SUMIF(L$6:L$2000,L339,G$6:G$2000)))</f>
        <v/>
      </c>
      <c r="T339" s="46">
        <f>IF(AND(C339="",G339=""),"",IF(L339="","Nog factureren",IF(AND(G339&lt;&gt;"",OR(K339="",K339&gt;TODAY())),"Nog betalen",IF(OR(R339="",R339&gt;TODAY()),"Wacht op klant","Afgerond"))))</f>
        <v/>
      </c>
    </row>
    <row r="340">
      <c r="A340" s="45" t="n"/>
      <c r="B340" s="46">
        <f>IF(A340="","",YEAR(A340)&amp;" Q"&amp;ROUNDUP(MONTH(A340)/3,0))</f>
        <v/>
      </c>
      <c r="C340" s="47" t="n"/>
      <c r="D340" s="47" t="n"/>
      <c r="E340" s="47" t="n"/>
      <c r="F340" s="47" t="n"/>
      <c r="G340" s="48" t="n"/>
      <c r="H340" s="49" t="n"/>
      <c r="I340" s="50">
        <f>IF(G340="","",ROUND(G340*H340,2))</f>
        <v/>
      </c>
      <c r="J340" s="50">
        <f>IF(G340="","",G340+N(I340))</f>
        <v/>
      </c>
      <c r="K340" s="45" t="n"/>
      <c r="L340" s="47" t="n"/>
      <c r="M340" s="48" t="n"/>
      <c r="N340" s="49" t="n"/>
      <c r="O340" s="50">
        <f>IF(M340="","",ROUND(M340*N340,2))</f>
        <v/>
      </c>
      <c r="P340" s="50">
        <f>IF(M340="","",M340+N(O340))</f>
        <v/>
      </c>
      <c r="Q340" s="45" t="n"/>
      <c r="R340" s="45" t="n"/>
      <c r="S340" s="51">
        <f>IF(L340="","",IF(COUNTIF(L$6:L340,L340)&gt;1,"",SUMIF(L$6:L$2000,L340,M$6:M$2000)-SUMIF(L$6:L$2000,L340,G$6:G$2000)))</f>
        <v/>
      </c>
      <c r="T340" s="46">
        <f>IF(AND(C340="",G340=""),"",IF(L340="","Nog factureren",IF(AND(G340&lt;&gt;"",OR(K340="",K340&gt;TODAY())),"Nog betalen",IF(OR(R340="",R340&gt;TODAY()),"Wacht op klant","Afgerond"))))</f>
        <v/>
      </c>
    </row>
    <row r="341">
      <c r="A341" s="45" t="n"/>
      <c r="B341" s="46">
        <f>IF(A341="","",YEAR(A341)&amp;" Q"&amp;ROUNDUP(MONTH(A341)/3,0))</f>
        <v/>
      </c>
      <c r="C341" s="47" t="n"/>
      <c r="D341" s="47" t="n"/>
      <c r="E341" s="47" t="n"/>
      <c r="F341" s="47" t="n"/>
      <c r="G341" s="48" t="n"/>
      <c r="H341" s="49" t="n"/>
      <c r="I341" s="50">
        <f>IF(G341="","",ROUND(G341*H341,2))</f>
        <v/>
      </c>
      <c r="J341" s="50">
        <f>IF(G341="","",G341+N(I341))</f>
        <v/>
      </c>
      <c r="K341" s="45" t="n"/>
      <c r="L341" s="47" t="n"/>
      <c r="M341" s="48" t="n"/>
      <c r="N341" s="49" t="n"/>
      <c r="O341" s="50">
        <f>IF(M341="","",ROUND(M341*N341,2))</f>
        <v/>
      </c>
      <c r="P341" s="50">
        <f>IF(M341="","",M341+N(O341))</f>
        <v/>
      </c>
      <c r="Q341" s="45" t="n"/>
      <c r="R341" s="45" t="n"/>
      <c r="S341" s="51">
        <f>IF(L341="","",IF(COUNTIF(L$6:L341,L341)&gt;1,"",SUMIF(L$6:L$2000,L341,M$6:M$2000)-SUMIF(L$6:L$2000,L341,G$6:G$2000)))</f>
        <v/>
      </c>
      <c r="T341" s="46">
        <f>IF(AND(C341="",G341=""),"",IF(L341="","Nog factureren",IF(AND(G341&lt;&gt;"",OR(K341="",K341&gt;TODAY())),"Nog betalen",IF(OR(R341="",R341&gt;TODAY()),"Wacht op klant","Afgerond"))))</f>
        <v/>
      </c>
    </row>
    <row r="342">
      <c r="A342" s="45" t="n"/>
      <c r="B342" s="46">
        <f>IF(A342="","",YEAR(A342)&amp;" Q"&amp;ROUNDUP(MONTH(A342)/3,0))</f>
        <v/>
      </c>
      <c r="C342" s="47" t="n"/>
      <c r="D342" s="47" t="n"/>
      <c r="E342" s="47" t="n"/>
      <c r="F342" s="47" t="n"/>
      <c r="G342" s="48" t="n"/>
      <c r="H342" s="49" t="n"/>
      <c r="I342" s="50">
        <f>IF(G342="","",ROUND(G342*H342,2))</f>
        <v/>
      </c>
      <c r="J342" s="50">
        <f>IF(G342="","",G342+N(I342))</f>
        <v/>
      </c>
      <c r="K342" s="45" t="n"/>
      <c r="L342" s="47" t="n"/>
      <c r="M342" s="48" t="n"/>
      <c r="N342" s="49" t="n"/>
      <c r="O342" s="50">
        <f>IF(M342="","",ROUND(M342*N342,2))</f>
        <v/>
      </c>
      <c r="P342" s="50">
        <f>IF(M342="","",M342+N(O342))</f>
        <v/>
      </c>
      <c r="Q342" s="45" t="n"/>
      <c r="R342" s="45" t="n"/>
      <c r="S342" s="51">
        <f>IF(L342="","",IF(COUNTIF(L$6:L342,L342)&gt;1,"",SUMIF(L$6:L$2000,L342,M$6:M$2000)-SUMIF(L$6:L$2000,L342,G$6:G$2000)))</f>
        <v/>
      </c>
      <c r="T342" s="46">
        <f>IF(AND(C342="",G342=""),"",IF(L342="","Nog factureren",IF(AND(G342&lt;&gt;"",OR(K342="",K342&gt;TODAY())),"Nog betalen",IF(OR(R342="",R342&gt;TODAY()),"Wacht op klant","Afgerond"))))</f>
        <v/>
      </c>
    </row>
    <row r="343">
      <c r="A343" s="45" t="n"/>
      <c r="B343" s="46">
        <f>IF(A343="","",YEAR(A343)&amp;" Q"&amp;ROUNDUP(MONTH(A343)/3,0))</f>
        <v/>
      </c>
      <c r="C343" s="47" t="n"/>
      <c r="D343" s="47" t="n"/>
      <c r="E343" s="47" t="n"/>
      <c r="F343" s="47" t="n"/>
      <c r="G343" s="48" t="n"/>
      <c r="H343" s="49" t="n"/>
      <c r="I343" s="50">
        <f>IF(G343="","",ROUND(G343*H343,2))</f>
        <v/>
      </c>
      <c r="J343" s="50">
        <f>IF(G343="","",G343+N(I343))</f>
        <v/>
      </c>
      <c r="K343" s="45" t="n"/>
      <c r="L343" s="47" t="n"/>
      <c r="M343" s="48" t="n"/>
      <c r="N343" s="49" t="n"/>
      <c r="O343" s="50">
        <f>IF(M343="","",ROUND(M343*N343,2))</f>
        <v/>
      </c>
      <c r="P343" s="50">
        <f>IF(M343="","",M343+N(O343))</f>
        <v/>
      </c>
      <c r="Q343" s="45" t="n"/>
      <c r="R343" s="45" t="n"/>
      <c r="S343" s="51">
        <f>IF(L343="","",IF(COUNTIF(L$6:L343,L343)&gt;1,"",SUMIF(L$6:L$2000,L343,M$6:M$2000)-SUMIF(L$6:L$2000,L343,G$6:G$2000)))</f>
        <v/>
      </c>
      <c r="T343" s="46">
        <f>IF(AND(C343="",G343=""),"",IF(L343="","Nog factureren",IF(AND(G343&lt;&gt;"",OR(K343="",K343&gt;TODAY())),"Nog betalen",IF(OR(R343="",R343&gt;TODAY()),"Wacht op klant","Afgerond"))))</f>
        <v/>
      </c>
    </row>
    <row r="344">
      <c r="A344" s="45" t="n"/>
      <c r="B344" s="46">
        <f>IF(A344="","",YEAR(A344)&amp;" Q"&amp;ROUNDUP(MONTH(A344)/3,0))</f>
        <v/>
      </c>
      <c r="C344" s="47" t="n"/>
      <c r="D344" s="47" t="n"/>
      <c r="E344" s="47" t="n"/>
      <c r="F344" s="47" t="n"/>
      <c r="G344" s="48" t="n"/>
      <c r="H344" s="49" t="n"/>
      <c r="I344" s="50">
        <f>IF(G344="","",ROUND(G344*H344,2))</f>
        <v/>
      </c>
      <c r="J344" s="50">
        <f>IF(G344="","",G344+N(I344))</f>
        <v/>
      </c>
      <c r="K344" s="45" t="n"/>
      <c r="L344" s="47" t="n"/>
      <c r="M344" s="48" t="n"/>
      <c r="N344" s="49" t="n"/>
      <c r="O344" s="50">
        <f>IF(M344="","",ROUND(M344*N344,2))</f>
        <v/>
      </c>
      <c r="P344" s="50">
        <f>IF(M344="","",M344+N(O344))</f>
        <v/>
      </c>
      <c r="Q344" s="45" t="n"/>
      <c r="R344" s="45" t="n"/>
      <c r="S344" s="51">
        <f>IF(L344="","",IF(COUNTIF(L$6:L344,L344)&gt;1,"",SUMIF(L$6:L$2000,L344,M$6:M$2000)-SUMIF(L$6:L$2000,L344,G$6:G$2000)))</f>
        <v/>
      </c>
      <c r="T344" s="46">
        <f>IF(AND(C344="",G344=""),"",IF(L344="","Nog factureren",IF(AND(G344&lt;&gt;"",OR(K344="",K344&gt;TODAY())),"Nog betalen",IF(OR(R344="",R344&gt;TODAY()),"Wacht op klant","Afgerond"))))</f>
        <v/>
      </c>
    </row>
    <row r="345">
      <c r="A345" s="45" t="n"/>
      <c r="B345" s="46">
        <f>IF(A345="","",YEAR(A345)&amp;" Q"&amp;ROUNDUP(MONTH(A345)/3,0))</f>
        <v/>
      </c>
      <c r="C345" s="47" t="n"/>
      <c r="D345" s="47" t="n"/>
      <c r="E345" s="47" t="n"/>
      <c r="F345" s="47" t="n"/>
      <c r="G345" s="48" t="n"/>
      <c r="H345" s="49" t="n"/>
      <c r="I345" s="50">
        <f>IF(G345="","",ROUND(G345*H345,2))</f>
        <v/>
      </c>
      <c r="J345" s="50">
        <f>IF(G345="","",G345+N(I345))</f>
        <v/>
      </c>
      <c r="K345" s="45" t="n"/>
      <c r="L345" s="47" t="n"/>
      <c r="M345" s="48" t="n"/>
      <c r="N345" s="49" t="n"/>
      <c r="O345" s="50">
        <f>IF(M345="","",ROUND(M345*N345,2))</f>
        <v/>
      </c>
      <c r="P345" s="50">
        <f>IF(M345="","",M345+N(O345))</f>
        <v/>
      </c>
      <c r="Q345" s="45" t="n"/>
      <c r="R345" s="45" t="n"/>
      <c r="S345" s="51">
        <f>IF(L345="","",IF(COUNTIF(L$6:L345,L345)&gt;1,"",SUMIF(L$6:L$2000,L345,M$6:M$2000)-SUMIF(L$6:L$2000,L345,G$6:G$2000)))</f>
        <v/>
      </c>
      <c r="T345" s="46">
        <f>IF(AND(C345="",G345=""),"",IF(L345="","Nog factureren",IF(AND(G345&lt;&gt;"",OR(K345="",K345&gt;TODAY())),"Nog betalen",IF(OR(R345="",R345&gt;TODAY()),"Wacht op klant","Afgerond"))))</f>
        <v/>
      </c>
    </row>
    <row r="346">
      <c r="A346" s="45" t="n"/>
      <c r="B346" s="46">
        <f>IF(A346="","",YEAR(A346)&amp;" Q"&amp;ROUNDUP(MONTH(A346)/3,0))</f>
        <v/>
      </c>
      <c r="C346" s="47" t="n"/>
      <c r="D346" s="47" t="n"/>
      <c r="E346" s="47" t="n"/>
      <c r="F346" s="47" t="n"/>
      <c r="G346" s="48" t="n"/>
      <c r="H346" s="49" t="n"/>
      <c r="I346" s="50">
        <f>IF(G346="","",ROUND(G346*H346,2))</f>
        <v/>
      </c>
      <c r="J346" s="50">
        <f>IF(G346="","",G346+N(I346))</f>
        <v/>
      </c>
      <c r="K346" s="45" t="n"/>
      <c r="L346" s="47" t="n"/>
      <c r="M346" s="48" t="n"/>
      <c r="N346" s="49" t="n"/>
      <c r="O346" s="50">
        <f>IF(M346="","",ROUND(M346*N346,2))</f>
        <v/>
      </c>
      <c r="P346" s="50">
        <f>IF(M346="","",M346+N(O346))</f>
        <v/>
      </c>
      <c r="Q346" s="45" t="n"/>
      <c r="R346" s="45" t="n"/>
      <c r="S346" s="51">
        <f>IF(L346="","",IF(COUNTIF(L$6:L346,L346)&gt;1,"",SUMIF(L$6:L$2000,L346,M$6:M$2000)-SUMIF(L$6:L$2000,L346,G$6:G$2000)))</f>
        <v/>
      </c>
      <c r="T346" s="46">
        <f>IF(AND(C346="",G346=""),"",IF(L346="","Nog factureren",IF(AND(G346&lt;&gt;"",OR(K346="",K346&gt;TODAY())),"Nog betalen",IF(OR(R346="",R346&gt;TODAY()),"Wacht op klant","Afgerond"))))</f>
        <v/>
      </c>
    </row>
    <row r="347">
      <c r="A347" s="45" t="n"/>
      <c r="B347" s="46">
        <f>IF(A347="","",YEAR(A347)&amp;" Q"&amp;ROUNDUP(MONTH(A347)/3,0))</f>
        <v/>
      </c>
      <c r="C347" s="47" t="n"/>
      <c r="D347" s="47" t="n"/>
      <c r="E347" s="47" t="n"/>
      <c r="F347" s="47" t="n"/>
      <c r="G347" s="48" t="n"/>
      <c r="H347" s="49" t="n"/>
      <c r="I347" s="50">
        <f>IF(G347="","",ROUND(G347*H347,2))</f>
        <v/>
      </c>
      <c r="J347" s="50">
        <f>IF(G347="","",G347+N(I347))</f>
        <v/>
      </c>
      <c r="K347" s="45" t="n"/>
      <c r="L347" s="47" t="n"/>
      <c r="M347" s="48" t="n"/>
      <c r="N347" s="49" t="n"/>
      <c r="O347" s="50">
        <f>IF(M347="","",ROUND(M347*N347,2))</f>
        <v/>
      </c>
      <c r="P347" s="50">
        <f>IF(M347="","",M347+N(O347))</f>
        <v/>
      </c>
      <c r="Q347" s="45" t="n"/>
      <c r="R347" s="45" t="n"/>
      <c r="S347" s="51">
        <f>IF(L347="","",IF(COUNTIF(L$6:L347,L347)&gt;1,"",SUMIF(L$6:L$2000,L347,M$6:M$2000)-SUMIF(L$6:L$2000,L347,G$6:G$2000)))</f>
        <v/>
      </c>
      <c r="T347" s="46">
        <f>IF(AND(C347="",G347=""),"",IF(L347="","Nog factureren",IF(AND(G347&lt;&gt;"",OR(K347="",K347&gt;TODAY())),"Nog betalen",IF(OR(R347="",R347&gt;TODAY()),"Wacht op klant","Afgerond"))))</f>
        <v/>
      </c>
    </row>
    <row r="348">
      <c r="A348" s="45" t="n"/>
      <c r="B348" s="46">
        <f>IF(A348="","",YEAR(A348)&amp;" Q"&amp;ROUNDUP(MONTH(A348)/3,0))</f>
        <v/>
      </c>
      <c r="C348" s="47" t="n"/>
      <c r="D348" s="47" t="n"/>
      <c r="E348" s="47" t="n"/>
      <c r="F348" s="47" t="n"/>
      <c r="G348" s="48" t="n"/>
      <c r="H348" s="49" t="n"/>
      <c r="I348" s="50">
        <f>IF(G348="","",ROUND(G348*H348,2))</f>
        <v/>
      </c>
      <c r="J348" s="50">
        <f>IF(G348="","",G348+N(I348))</f>
        <v/>
      </c>
      <c r="K348" s="45" t="n"/>
      <c r="L348" s="47" t="n"/>
      <c r="M348" s="48" t="n"/>
      <c r="N348" s="49" t="n"/>
      <c r="O348" s="50">
        <f>IF(M348="","",ROUND(M348*N348,2))</f>
        <v/>
      </c>
      <c r="P348" s="50">
        <f>IF(M348="","",M348+N(O348))</f>
        <v/>
      </c>
      <c r="Q348" s="45" t="n"/>
      <c r="R348" s="45" t="n"/>
      <c r="S348" s="51">
        <f>IF(L348="","",IF(COUNTIF(L$6:L348,L348)&gt;1,"",SUMIF(L$6:L$2000,L348,M$6:M$2000)-SUMIF(L$6:L$2000,L348,G$6:G$2000)))</f>
        <v/>
      </c>
      <c r="T348" s="46">
        <f>IF(AND(C348="",G348=""),"",IF(L348="","Nog factureren",IF(AND(G348&lt;&gt;"",OR(K348="",K348&gt;TODAY())),"Nog betalen",IF(OR(R348="",R348&gt;TODAY()),"Wacht op klant","Afgerond"))))</f>
        <v/>
      </c>
    </row>
    <row r="349">
      <c r="A349" s="45" t="n"/>
      <c r="B349" s="46">
        <f>IF(A349="","",YEAR(A349)&amp;" Q"&amp;ROUNDUP(MONTH(A349)/3,0))</f>
        <v/>
      </c>
      <c r="C349" s="47" t="n"/>
      <c r="D349" s="47" t="n"/>
      <c r="E349" s="47" t="n"/>
      <c r="F349" s="47" t="n"/>
      <c r="G349" s="48" t="n"/>
      <c r="H349" s="49" t="n"/>
      <c r="I349" s="50">
        <f>IF(G349="","",ROUND(G349*H349,2))</f>
        <v/>
      </c>
      <c r="J349" s="50">
        <f>IF(G349="","",G349+N(I349))</f>
        <v/>
      </c>
      <c r="K349" s="45" t="n"/>
      <c r="L349" s="47" t="n"/>
      <c r="M349" s="48" t="n"/>
      <c r="N349" s="49" t="n"/>
      <c r="O349" s="50">
        <f>IF(M349="","",ROUND(M349*N349,2))</f>
        <v/>
      </c>
      <c r="P349" s="50">
        <f>IF(M349="","",M349+N(O349))</f>
        <v/>
      </c>
      <c r="Q349" s="45" t="n"/>
      <c r="R349" s="45" t="n"/>
      <c r="S349" s="51">
        <f>IF(L349="","",IF(COUNTIF(L$6:L349,L349)&gt;1,"",SUMIF(L$6:L$2000,L349,M$6:M$2000)-SUMIF(L$6:L$2000,L349,G$6:G$2000)))</f>
        <v/>
      </c>
      <c r="T349" s="46">
        <f>IF(AND(C349="",G349=""),"",IF(L349="","Nog factureren",IF(AND(G349&lt;&gt;"",OR(K349="",K349&gt;TODAY())),"Nog betalen",IF(OR(R349="",R349&gt;TODAY()),"Wacht op klant","Afgerond"))))</f>
        <v/>
      </c>
    </row>
    <row r="350">
      <c r="A350" s="45" t="n"/>
      <c r="B350" s="46">
        <f>IF(A350="","",YEAR(A350)&amp;" Q"&amp;ROUNDUP(MONTH(A350)/3,0))</f>
        <v/>
      </c>
      <c r="C350" s="47" t="n"/>
      <c r="D350" s="47" t="n"/>
      <c r="E350" s="47" t="n"/>
      <c r="F350" s="47" t="n"/>
      <c r="G350" s="48" t="n"/>
      <c r="H350" s="49" t="n"/>
      <c r="I350" s="50">
        <f>IF(G350="","",ROUND(G350*H350,2))</f>
        <v/>
      </c>
      <c r="J350" s="50">
        <f>IF(G350="","",G350+N(I350))</f>
        <v/>
      </c>
      <c r="K350" s="45" t="n"/>
      <c r="L350" s="47" t="n"/>
      <c r="M350" s="48" t="n"/>
      <c r="N350" s="49" t="n"/>
      <c r="O350" s="50">
        <f>IF(M350="","",ROUND(M350*N350,2))</f>
        <v/>
      </c>
      <c r="P350" s="50">
        <f>IF(M350="","",M350+N(O350))</f>
        <v/>
      </c>
      <c r="Q350" s="45" t="n"/>
      <c r="R350" s="45" t="n"/>
      <c r="S350" s="51">
        <f>IF(L350="","",IF(COUNTIF(L$6:L350,L350)&gt;1,"",SUMIF(L$6:L$2000,L350,M$6:M$2000)-SUMIF(L$6:L$2000,L350,G$6:G$2000)))</f>
        <v/>
      </c>
      <c r="T350" s="46">
        <f>IF(AND(C350="",G350=""),"",IF(L350="","Nog factureren",IF(AND(G350&lt;&gt;"",OR(K350="",K350&gt;TODAY())),"Nog betalen",IF(OR(R350="",R350&gt;TODAY()),"Wacht op klant","Afgerond"))))</f>
        <v/>
      </c>
    </row>
    <row r="351">
      <c r="A351" s="45" t="n"/>
      <c r="B351" s="46">
        <f>IF(A351="","",YEAR(A351)&amp;" Q"&amp;ROUNDUP(MONTH(A351)/3,0))</f>
        <v/>
      </c>
      <c r="C351" s="47" t="n"/>
      <c r="D351" s="47" t="n"/>
      <c r="E351" s="47" t="n"/>
      <c r="F351" s="47" t="n"/>
      <c r="G351" s="48" t="n"/>
      <c r="H351" s="49" t="n"/>
      <c r="I351" s="50">
        <f>IF(G351="","",ROUND(G351*H351,2))</f>
        <v/>
      </c>
      <c r="J351" s="50">
        <f>IF(G351="","",G351+N(I351))</f>
        <v/>
      </c>
      <c r="K351" s="45" t="n"/>
      <c r="L351" s="47" t="n"/>
      <c r="M351" s="48" t="n"/>
      <c r="N351" s="49" t="n"/>
      <c r="O351" s="50">
        <f>IF(M351="","",ROUND(M351*N351,2))</f>
        <v/>
      </c>
      <c r="P351" s="50">
        <f>IF(M351="","",M351+N(O351))</f>
        <v/>
      </c>
      <c r="Q351" s="45" t="n"/>
      <c r="R351" s="45" t="n"/>
      <c r="S351" s="51">
        <f>IF(L351="","",IF(COUNTIF(L$6:L351,L351)&gt;1,"",SUMIF(L$6:L$2000,L351,M$6:M$2000)-SUMIF(L$6:L$2000,L351,G$6:G$2000)))</f>
        <v/>
      </c>
      <c r="T351" s="46">
        <f>IF(AND(C351="",G351=""),"",IF(L351="","Nog factureren",IF(AND(G351&lt;&gt;"",OR(K351="",K351&gt;TODAY())),"Nog betalen",IF(OR(R351="",R351&gt;TODAY()),"Wacht op klant","Afgerond"))))</f>
        <v/>
      </c>
    </row>
    <row r="352">
      <c r="A352" s="45" t="n"/>
      <c r="B352" s="46">
        <f>IF(A352="","",YEAR(A352)&amp;" Q"&amp;ROUNDUP(MONTH(A352)/3,0))</f>
        <v/>
      </c>
      <c r="C352" s="47" t="n"/>
      <c r="D352" s="47" t="n"/>
      <c r="E352" s="47" t="n"/>
      <c r="F352" s="47" t="n"/>
      <c r="G352" s="48" t="n"/>
      <c r="H352" s="49" t="n"/>
      <c r="I352" s="50">
        <f>IF(G352="","",ROUND(G352*H352,2))</f>
        <v/>
      </c>
      <c r="J352" s="50">
        <f>IF(G352="","",G352+N(I352))</f>
        <v/>
      </c>
      <c r="K352" s="45" t="n"/>
      <c r="L352" s="47" t="n"/>
      <c r="M352" s="48" t="n"/>
      <c r="N352" s="49" t="n"/>
      <c r="O352" s="50">
        <f>IF(M352="","",ROUND(M352*N352,2))</f>
        <v/>
      </c>
      <c r="P352" s="50">
        <f>IF(M352="","",M352+N(O352))</f>
        <v/>
      </c>
      <c r="Q352" s="45" t="n"/>
      <c r="R352" s="45" t="n"/>
      <c r="S352" s="51">
        <f>IF(L352="","",IF(COUNTIF(L$6:L352,L352)&gt;1,"",SUMIF(L$6:L$2000,L352,M$6:M$2000)-SUMIF(L$6:L$2000,L352,G$6:G$2000)))</f>
        <v/>
      </c>
      <c r="T352" s="46">
        <f>IF(AND(C352="",G352=""),"",IF(L352="","Nog factureren",IF(AND(G352&lt;&gt;"",OR(K352="",K352&gt;TODAY())),"Nog betalen",IF(OR(R352="",R352&gt;TODAY()),"Wacht op klant","Afgerond"))))</f>
        <v/>
      </c>
    </row>
    <row r="353">
      <c r="A353" s="45" t="n"/>
      <c r="B353" s="46">
        <f>IF(A353="","",YEAR(A353)&amp;" Q"&amp;ROUNDUP(MONTH(A353)/3,0))</f>
        <v/>
      </c>
      <c r="C353" s="47" t="n"/>
      <c r="D353" s="47" t="n"/>
      <c r="E353" s="47" t="n"/>
      <c r="F353" s="47" t="n"/>
      <c r="G353" s="48" t="n"/>
      <c r="H353" s="49" t="n"/>
      <c r="I353" s="50">
        <f>IF(G353="","",ROUND(G353*H353,2))</f>
        <v/>
      </c>
      <c r="J353" s="50">
        <f>IF(G353="","",G353+N(I353))</f>
        <v/>
      </c>
      <c r="K353" s="45" t="n"/>
      <c r="L353" s="47" t="n"/>
      <c r="M353" s="48" t="n"/>
      <c r="N353" s="49" t="n"/>
      <c r="O353" s="50">
        <f>IF(M353="","",ROUND(M353*N353,2))</f>
        <v/>
      </c>
      <c r="P353" s="50">
        <f>IF(M353="","",M353+N(O353))</f>
        <v/>
      </c>
      <c r="Q353" s="45" t="n"/>
      <c r="R353" s="45" t="n"/>
      <c r="S353" s="51">
        <f>IF(L353="","",IF(COUNTIF(L$6:L353,L353)&gt;1,"",SUMIF(L$6:L$2000,L353,M$6:M$2000)-SUMIF(L$6:L$2000,L353,G$6:G$2000)))</f>
        <v/>
      </c>
      <c r="T353" s="46">
        <f>IF(AND(C353="",G353=""),"",IF(L353="","Nog factureren",IF(AND(G353&lt;&gt;"",OR(K353="",K353&gt;TODAY())),"Nog betalen",IF(OR(R353="",R353&gt;TODAY()),"Wacht op klant","Afgerond"))))</f>
        <v/>
      </c>
    </row>
    <row r="354">
      <c r="A354" s="45" t="n"/>
      <c r="B354" s="46">
        <f>IF(A354="","",YEAR(A354)&amp;" Q"&amp;ROUNDUP(MONTH(A354)/3,0))</f>
        <v/>
      </c>
      <c r="C354" s="47" t="n"/>
      <c r="D354" s="47" t="n"/>
      <c r="E354" s="47" t="n"/>
      <c r="F354" s="47" t="n"/>
      <c r="G354" s="48" t="n"/>
      <c r="H354" s="49" t="n"/>
      <c r="I354" s="50">
        <f>IF(G354="","",ROUND(G354*H354,2))</f>
        <v/>
      </c>
      <c r="J354" s="50">
        <f>IF(G354="","",G354+N(I354))</f>
        <v/>
      </c>
      <c r="K354" s="45" t="n"/>
      <c r="L354" s="47" t="n"/>
      <c r="M354" s="48" t="n"/>
      <c r="N354" s="49" t="n"/>
      <c r="O354" s="50">
        <f>IF(M354="","",ROUND(M354*N354,2))</f>
        <v/>
      </c>
      <c r="P354" s="50">
        <f>IF(M354="","",M354+N(O354))</f>
        <v/>
      </c>
      <c r="Q354" s="45" t="n"/>
      <c r="R354" s="45" t="n"/>
      <c r="S354" s="51">
        <f>IF(L354="","",IF(COUNTIF(L$6:L354,L354)&gt;1,"",SUMIF(L$6:L$2000,L354,M$6:M$2000)-SUMIF(L$6:L$2000,L354,G$6:G$2000)))</f>
        <v/>
      </c>
      <c r="T354" s="46">
        <f>IF(AND(C354="",G354=""),"",IF(L354="","Nog factureren",IF(AND(G354&lt;&gt;"",OR(K354="",K354&gt;TODAY())),"Nog betalen",IF(OR(R354="",R354&gt;TODAY()),"Wacht op klant","Afgerond"))))</f>
        <v/>
      </c>
    </row>
    <row r="355">
      <c r="A355" s="45" t="n"/>
      <c r="B355" s="46">
        <f>IF(A355="","",YEAR(A355)&amp;" Q"&amp;ROUNDUP(MONTH(A355)/3,0))</f>
        <v/>
      </c>
      <c r="C355" s="47" t="n"/>
      <c r="D355" s="47" t="n"/>
      <c r="E355" s="47" t="n"/>
      <c r="F355" s="47" t="n"/>
      <c r="G355" s="48" t="n"/>
      <c r="H355" s="49" t="n"/>
      <c r="I355" s="50">
        <f>IF(G355="","",ROUND(G355*H355,2))</f>
        <v/>
      </c>
      <c r="J355" s="50">
        <f>IF(G355="","",G355+N(I355))</f>
        <v/>
      </c>
      <c r="K355" s="45" t="n"/>
      <c r="L355" s="47" t="n"/>
      <c r="M355" s="48" t="n"/>
      <c r="N355" s="49" t="n"/>
      <c r="O355" s="50">
        <f>IF(M355="","",ROUND(M355*N355,2))</f>
        <v/>
      </c>
      <c r="P355" s="50">
        <f>IF(M355="","",M355+N(O355))</f>
        <v/>
      </c>
      <c r="Q355" s="45" t="n"/>
      <c r="R355" s="45" t="n"/>
      <c r="S355" s="51">
        <f>IF(L355="","",IF(COUNTIF(L$6:L355,L355)&gt;1,"",SUMIF(L$6:L$2000,L355,M$6:M$2000)-SUMIF(L$6:L$2000,L355,G$6:G$2000)))</f>
        <v/>
      </c>
      <c r="T355" s="46">
        <f>IF(AND(C355="",G355=""),"",IF(L355="","Nog factureren",IF(AND(G355&lt;&gt;"",OR(K355="",K355&gt;TODAY())),"Nog betalen",IF(OR(R355="",R355&gt;TODAY()),"Wacht op klant","Afgerond"))))</f>
        <v/>
      </c>
    </row>
    <row r="356">
      <c r="A356" s="45" t="n"/>
      <c r="B356" s="46">
        <f>IF(A356="","",YEAR(A356)&amp;" Q"&amp;ROUNDUP(MONTH(A356)/3,0))</f>
        <v/>
      </c>
      <c r="C356" s="47" t="n"/>
      <c r="D356" s="47" t="n"/>
      <c r="E356" s="47" t="n"/>
      <c r="F356" s="47" t="n"/>
      <c r="G356" s="48" t="n"/>
      <c r="H356" s="49" t="n"/>
      <c r="I356" s="50">
        <f>IF(G356="","",ROUND(G356*H356,2))</f>
        <v/>
      </c>
      <c r="J356" s="50">
        <f>IF(G356="","",G356+N(I356))</f>
        <v/>
      </c>
      <c r="K356" s="45" t="n"/>
      <c r="L356" s="47" t="n"/>
      <c r="M356" s="48" t="n"/>
      <c r="N356" s="49" t="n"/>
      <c r="O356" s="50">
        <f>IF(M356="","",ROUND(M356*N356,2))</f>
        <v/>
      </c>
      <c r="P356" s="50">
        <f>IF(M356="","",M356+N(O356))</f>
        <v/>
      </c>
      <c r="Q356" s="45" t="n"/>
      <c r="R356" s="45" t="n"/>
      <c r="S356" s="51">
        <f>IF(L356="","",IF(COUNTIF(L$6:L356,L356)&gt;1,"",SUMIF(L$6:L$2000,L356,M$6:M$2000)-SUMIF(L$6:L$2000,L356,G$6:G$2000)))</f>
        <v/>
      </c>
      <c r="T356" s="46">
        <f>IF(AND(C356="",G356=""),"",IF(L356="","Nog factureren",IF(AND(G356&lt;&gt;"",OR(K356="",K356&gt;TODAY())),"Nog betalen",IF(OR(R356="",R356&gt;TODAY()),"Wacht op klant","Afgerond"))))</f>
        <v/>
      </c>
    </row>
    <row r="357">
      <c r="A357" s="45" t="n"/>
      <c r="B357" s="46">
        <f>IF(A357="","",YEAR(A357)&amp;" Q"&amp;ROUNDUP(MONTH(A357)/3,0))</f>
        <v/>
      </c>
      <c r="C357" s="47" t="n"/>
      <c r="D357" s="47" t="n"/>
      <c r="E357" s="47" t="n"/>
      <c r="F357" s="47" t="n"/>
      <c r="G357" s="48" t="n"/>
      <c r="H357" s="49" t="n"/>
      <c r="I357" s="50">
        <f>IF(G357="","",ROUND(G357*H357,2))</f>
        <v/>
      </c>
      <c r="J357" s="50">
        <f>IF(G357="","",G357+N(I357))</f>
        <v/>
      </c>
      <c r="K357" s="45" t="n"/>
      <c r="L357" s="47" t="n"/>
      <c r="M357" s="48" t="n"/>
      <c r="N357" s="49" t="n"/>
      <c r="O357" s="50">
        <f>IF(M357="","",ROUND(M357*N357,2))</f>
        <v/>
      </c>
      <c r="P357" s="50">
        <f>IF(M357="","",M357+N(O357))</f>
        <v/>
      </c>
      <c r="Q357" s="45" t="n"/>
      <c r="R357" s="45" t="n"/>
      <c r="S357" s="51">
        <f>IF(L357="","",IF(COUNTIF(L$6:L357,L357)&gt;1,"",SUMIF(L$6:L$2000,L357,M$6:M$2000)-SUMIF(L$6:L$2000,L357,G$6:G$2000)))</f>
        <v/>
      </c>
      <c r="T357" s="46">
        <f>IF(AND(C357="",G357=""),"",IF(L357="","Nog factureren",IF(AND(G357&lt;&gt;"",OR(K357="",K357&gt;TODAY())),"Nog betalen",IF(OR(R357="",R357&gt;TODAY()),"Wacht op klant","Afgerond"))))</f>
        <v/>
      </c>
    </row>
    <row r="358">
      <c r="A358" s="45" t="n"/>
      <c r="B358" s="46">
        <f>IF(A358="","",YEAR(A358)&amp;" Q"&amp;ROUNDUP(MONTH(A358)/3,0))</f>
        <v/>
      </c>
      <c r="C358" s="47" t="n"/>
      <c r="D358" s="47" t="n"/>
      <c r="E358" s="47" t="n"/>
      <c r="F358" s="47" t="n"/>
      <c r="G358" s="48" t="n"/>
      <c r="H358" s="49" t="n"/>
      <c r="I358" s="50">
        <f>IF(G358="","",ROUND(G358*H358,2))</f>
        <v/>
      </c>
      <c r="J358" s="50">
        <f>IF(G358="","",G358+N(I358))</f>
        <v/>
      </c>
      <c r="K358" s="45" t="n"/>
      <c r="L358" s="47" t="n"/>
      <c r="M358" s="48" t="n"/>
      <c r="N358" s="49" t="n"/>
      <c r="O358" s="50">
        <f>IF(M358="","",ROUND(M358*N358,2))</f>
        <v/>
      </c>
      <c r="P358" s="50">
        <f>IF(M358="","",M358+N(O358))</f>
        <v/>
      </c>
      <c r="Q358" s="45" t="n"/>
      <c r="R358" s="45" t="n"/>
      <c r="S358" s="51">
        <f>IF(L358="","",IF(COUNTIF(L$6:L358,L358)&gt;1,"",SUMIF(L$6:L$2000,L358,M$6:M$2000)-SUMIF(L$6:L$2000,L358,G$6:G$2000)))</f>
        <v/>
      </c>
      <c r="T358" s="46">
        <f>IF(AND(C358="",G358=""),"",IF(L358="","Nog factureren",IF(AND(G358&lt;&gt;"",OR(K358="",K358&gt;TODAY())),"Nog betalen",IF(OR(R358="",R358&gt;TODAY()),"Wacht op klant","Afgerond"))))</f>
        <v/>
      </c>
    </row>
    <row r="359">
      <c r="A359" s="45" t="n"/>
      <c r="B359" s="46">
        <f>IF(A359="","",YEAR(A359)&amp;" Q"&amp;ROUNDUP(MONTH(A359)/3,0))</f>
        <v/>
      </c>
      <c r="C359" s="47" t="n"/>
      <c r="D359" s="47" t="n"/>
      <c r="E359" s="47" t="n"/>
      <c r="F359" s="47" t="n"/>
      <c r="G359" s="48" t="n"/>
      <c r="H359" s="49" t="n"/>
      <c r="I359" s="50">
        <f>IF(G359="","",ROUND(G359*H359,2))</f>
        <v/>
      </c>
      <c r="J359" s="50">
        <f>IF(G359="","",G359+N(I359))</f>
        <v/>
      </c>
      <c r="K359" s="45" t="n"/>
      <c r="L359" s="47" t="n"/>
      <c r="M359" s="48" t="n"/>
      <c r="N359" s="49" t="n"/>
      <c r="O359" s="50">
        <f>IF(M359="","",ROUND(M359*N359,2))</f>
        <v/>
      </c>
      <c r="P359" s="50">
        <f>IF(M359="","",M359+N(O359))</f>
        <v/>
      </c>
      <c r="Q359" s="45" t="n"/>
      <c r="R359" s="45" t="n"/>
      <c r="S359" s="51">
        <f>IF(L359="","",IF(COUNTIF(L$6:L359,L359)&gt;1,"",SUMIF(L$6:L$2000,L359,M$6:M$2000)-SUMIF(L$6:L$2000,L359,G$6:G$2000)))</f>
        <v/>
      </c>
      <c r="T359" s="46">
        <f>IF(AND(C359="",G359=""),"",IF(L359="","Nog factureren",IF(AND(G359&lt;&gt;"",OR(K359="",K359&gt;TODAY())),"Nog betalen",IF(OR(R359="",R359&gt;TODAY()),"Wacht op klant","Afgerond"))))</f>
        <v/>
      </c>
    </row>
    <row r="360">
      <c r="A360" s="45" t="n"/>
      <c r="B360" s="46">
        <f>IF(A360="","",YEAR(A360)&amp;" Q"&amp;ROUNDUP(MONTH(A360)/3,0))</f>
        <v/>
      </c>
      <c r="C360" s="47" t="n"/>
      <c r="D360" s="47" t="n"/>
      <c r="E360" s="47" t="n"/>
      <c r="F360" s="47" t="n"/>
      <c r="G360" s="48" t="n"/>
      <c r="H360" s="49" t="n"/>
      <c r="I360" s="50">
        <f>IF(G360="","",ROUND(G360*H360,2))</f>
        <v/>
      </c>
      <c r="J360" s="50">
        <f>IF(G360="","",G360+N(I360))</f>
        <v/>
      </c>
      <c r="K360" s="45" t="n"/>
      <c r="L360" s="47" t="n"/>
      <c r="M360" s="48" t="n"/>
      <c r="N360" s="49" t="n"/>
      <c r="O360" s="50">
        <f>IF(M360="","",ROUND(M360*N360,2))</f>
        <v/>
      </c>
      <c r="P360" s="50">
        <f>IF(M360="","",M360+N(O360))</f>
        <v/>
      </c>
      <c r="Q360" s="45" t="n"/>
      <c r="R360" s="45" t="n"/>
      <c r="S360" s="51">
        <f>IF(L360="","",IF(COUNTIF(L$6:L360,L360)&gt;1,"",SUMIF(L$6:L$2000,L360,M$6:M$2000)-SUMIF(L$6:L$2000,L360,G$6:G$2000)))</f>
        <v/>
      </c>
      <c r="T360" s="46">
        <f>IF(AND(C360="",G360=""),"",IF(L360="","Nog factureren",IF(AND(G360&lt;&gt;"",OR(K360="",K360&gt;TODAY())),"Nog betalen",IF(OR(R360="",R360&gt;TODAY()),"Wacht op klant","Afgerond"))))</f>
        <v/>
      </c>
    </row>
    <row r="361">
      <c r="A361" s="45" t="n"/>
      <c r="B361" s="46">
        <f>IF(A361="","",YEAR(A361)&amp;" Q"&amp;ROUNDUP(MONTH(A361)/3,0))</f>
        <v/>
      </c>
      <c r="C361" s="47" t="n"/>
      <c r="D361" s="47" t="n"/>
      <c r="E361" s="47" t="n"/>
      <c r="F361" s="47" t="n"/>
      <c r="G361" s="48" t="n"/>
      <c r="H361" s="49" t="n"/>
      <c r="I361" s="50">
        <f>IF(G361="","",ROUND(G361*H361,2))</f>
        <v/>
      </c>
      <c r="J361" s="50">
        <f>IF(G361="","",G361+N(I361))</f>
        <v/>
      </c>
      <c r="K361" s="45" t="n"/>
      <c r="L361" s="47" t="n"/>
      <c r="M361" s="48" t="n"/>
      <c r="N361" s="49" t="n"/>
      <c r="O361" s="50">
        <f>IF(M361="","",ROUND(M361*N361,2))</f>
        <v/>
      </c>
      <c r="P361" s="50">
        <f>IF(M361="","",M361+N(O361))</f>
        <v/>
      </c>
      <c r="Q361" s="45" t="n"/>
      <c r="R361" s="45" t="n"/>
      <c r="S361" s="51">
        <f>IF(L361="","",IF(COUNTIF(L$6:L361,L361)&gt;1,"",SUMIF(L$6:L$2000,L361,M$6:M$2000)-SUMIF(L$6:L$2000,L361,G$6:G$2000)))</f>
        <v/>
      </c>
      <c r="T361" s="46">
        <f>IF(AND(C361="",G361=""),"",IF(L361="","Nog factureren",IF(AND(G361&lt;&gt;"",OR(K361="",K361&gt;TODAY())),"Nog betalen",IF(OR(R361="",R361&gt;TODAY()),"Wacht op klant","Afgerond"))))</f>
        <v/>
      </c>
    </row>
    <row r="362">
      <c r="A362" s="45" t="n"/>
      <c r="B362" s="46">
        <f>IF(A362="","",YEAR(A362)&amp;" Q"&amp;ROUNDUP(MONTH(A362)/3,0))</f>
        <v/>
      </c>
      <c r="C362" s="47" t="n"/>
      <c r="D362" s="47" t="n"/>
      <c r="E362" s="47" t="n"/>
      <c r="F362" s="47" t="n"/>
      <c r="G362" s="48" t="n"/>
      <c r="H362" s="49" t="n"/>
      <c r="I362" s="50">
        <f>IF(G362="","",ROUND(G362*H362,2))</f>
        <v/>
      </c>
      <c r="J362" s="50">
        <f>IF(G362="","",G362+N(I362))</f>
        <v/>
      </c>
      <c r="K362" s="45" t="n"/>
      <c r="L362" s="47" t="n"/>
      <c r="M362" s="48" t="n"/>
      <c r="N362" s="49" t="n"/>
      <c r="O362" s="50">
        <f>IF(M362="","",ROUND(M362*N362,2))</f>
        <v/>
      </c>
      <c r="P362" s="50">
        <f>IF(M362="","",M362+N(O362))</f>
        <v/>
      </c>
      <c r="Q362" s="45" t="n"/>
      <c r="R362" s="45" t="n"/>
      <c r="S362" s="51">
        <f>IF(L362="","",IF(COUNTIF(L$6:L362,L362)&gt;1,"",SUMIF(L$6:L$2000,L362,M$6:M$2000)-SUMIF(L$6:L$2000,L362,G$6:G$2000)))</f>
        <v/>
      </c>
      <c r="T362" s="46">
        <f>IF(AND(C362="",G362=""),"",IF(L362="","Nog factureren",IF(AND(G362&lt;&gt;"",OR(K362="",K362&gt;TODAY())),"Nog betalen",IF(OR(R362="",R362&gt;TODAY()),"Wacht op klant","Afgerond"))))</f>
        <v/>
      </c>
    </row>
    <row r="363">
      <c r="A363" s="45" t="n"/>
      <c r="B363" s="46">
        <f>IF(A363="","",YEAR(A363)&amp;" Q"&amp;ROUNDUP(MONTH(A363)/3,0))</f>
        <v/>
      </c>
      <c r="C363" s="47" t="n"/>
      <c r="D363" s="47" t="n"/>
      <c r="E363" s="47" t="n"/>
      <c r="F363" s="47" t="n"/>
      <c r="G363" s="48" t="n"/>
      <c r="H363" s="49" t="n"/>
      <c r="I363" s="50">
        <f>IF(G363="","",ROUND(G363*H363,2))</f>
        <v/>
      </c>
      <c r="J363" s="50">
        <f>IF(G363="","",G363+N(I363))</f>
        <v/>
      </c>
      <c r="K363" s="45" t="n"/>
      <c r="L363" s="47" t="n"/>
      <c r="M363" s="48" t="n"/>
      <c r="N363" s="49" t="n"/>
      <c r="O363" s="50">
        <f>IF(M363="","",ROUND(M363*N363,2))</f>
        <v/>
      </c>
      <c r="P363" s="50">
        <f>IF(M363="","",M363+N(O363))</f>
        <v/>
      </c>
      <c r="Q363" s="45" t="n"/>
      <c r="R363" s="45" t="n"/>
      <c r="S363" s="51">
        <f>IF(L363="","",IF(COUNTIF(L$6:L363,L363)&gt;1,"",SUMIF(L$6:L$2000,L363,M$6:M$2000)-SUMIF(L$6:L$2000,L363,G$6:G$2000)))</f>
        <v/>
      </c>
      <c r="T363" s="46">
        <f>IF(AND(C363="",G363=""),"",IF(L363="","Nog factureren",IF(AND(G363&lt;&gt;"",OR(K363="",K363&gt;TODAY())),"Nog betalen",IF(OR(R363="",R363&gt;TODAY()),"Wacht op klant","Afgerond"))))</f>
        <v/>
      </c>
    </row>
    <row r="364">
      <c r="A364" s="45" t="n"/>
      <c r="B364" s="46">
        <f>IF(A364="","",YEAR(A364)&amp;" Q"&amp;ROUNDUP(MONTH(A364)/3,0))</f>
        <v/>
      </c>
      <c r="C364" s="47" t="n"/>
      <c r="D364" s="47" t="n"/>
      <c r="E364" s="47" t="n"/>
      <c r="F364" s="47" t="n"/>
      <c r="G364" s="48" t="n"/>
      <c r="H364" s="49" t="n"/>
      <c r="I364" s="50">
        <f>IF(G364="","",ROUND(G364*H364,2))</f>
        <v/>
      </c>
      <c r="J364" s="50">
        <f>IF(G364="","",G364+N(I364))</f>
        <v/>
      </c>
      <c r="K364" s="45" t="n"/>
      <c r="L364" s="47" t="n"/>
      <c r="M364" s="48" t="n"/>
      <c r="N364" s="49" t="n"/>
      <c r="O364" s="50">
        <f>IF(M364="","",ROUND(M364*N364,2))</f>
        <v/>
      </c>
      <c r="P364" s="50">
        <f>IF(M364="","",M364+N(O364))</f>
        <v/>
      </c>
      <c r="Q364" s="45" t="n"/>
      <c r="R364" s="45" t="n"/>
      <c r="S364" s="51">
        <f>IF(L364="","",IF(COUNTIF(L$6:L364,L364)&gt;1,"",SUMIF(L$6:L$2000,L364,M$6:M$2000)-SUMIF(L$6:L$2000,L364,G$6:G$2000)))</f>
        <v/>
      </c>
      <c r="T364" s="46">
        <f>IF(AND(C364="",G364=""),"",IF(L364="","Nog factureren",IF(AND(G364&lt;&gt;"",OR(K364="",K364&gt;TODAY())),"Nog betalen",IF(OR(R364="",R364&gt;TODAY()),"Wacht op klant","Afgerond"))))</f>
        <v/>
      </c>
    </row>
    <row r="365">
      <c r="A365" s="45" t="n"/>
      <c r="B365" s="46">
        <f>IF(A365="","",YEAR(A365)&amp;" Q"&amp;ROUNDUP(MONTH(A365)/3,0))</f>
        <v/>
      </c>
      <c r="C365" s="47" t="n"/>
      <c r="D365" s="47" t="n"/>
      <c r="E365" s="47" t="n"/>
      <c r="F365" s="47" t="n"/>
      <c r="G365" s="48" t="n"/>
      <c r="H365" s="49" t="n"/>
      <c r="I365" s="50">
        <f>IF(G365="","",ROUND(G365*H365,2))</f>
        <v/>
      </c>
      <c r="J365" s="50">
        <f>IF(G365="","",G365+N(I365))</f>
        <v/>
      </c>
      <c r="K365" s="45" t="n"/>
      <c r="L365" s="47" t="n"/>
      <c r="M365" s="48" t="n"/>
      <c r="N365" s="49" t="n"/>
      <c r="O365" s="50">
        <f>IF(M365="","",ROUND(M365*N365,2))</f>
        <v/>
      </c>
      <c r="P365" s="50">
        <f>IF(M365="","",M365+N(O365))</f>
        <v/>
      </c>
      <c r="Q365" s="45" t="n"/>
      <c r="R365" s="45" t="n"/>
      <c r="S365" s="51">
        <f>IF(L365="","",IF(COUNTIF(L$6:L365,L365)&gt;1,"",SUMIF(L$6:L$2000,L365,M$6:M$2000)-SUMIF(L$6:L$2000,L365,G$6:G$2000)))</f>
        <v/>
      </c>
      <c r="T365" s="46">
        <f>IF(AND(C365="",G365=""),"",IF(L365="","Nog factureren",IF(AND(G365&lt;&gt;"",OR(K365="",K365&gt;TODAY())),"Nog betalen",IF(OR(R365="",R365&gt;TODAY()),"Wacht op klant","Afgerond"))))</f>
        <v/>
      </c>
    </row>
    <row r="366">
      <c r="A366" s="45" t="n"/>
      <c r="B366" s="46">
        <f>IF(A366="","",YEAR(A366)&amp;" Q"&amp;ROUNDUP(MONTH(A366)/3,0))</f>
        <v/>
      </c>
      <c r="C366" s="47" t="n"/>
      <c r="D366" s="47" t="n"/>
      <c r="E366" s="47" t="n"/>
      <c r="F366" s="47" t="n"/>
      <c r="G366" s="48" t="n"/>
      <c r="H366" s="49" t="n"/>
      <c r="I366" s="50">
        <f>IF(G366="","",ROUND(G366*H366,2))</f>
        <v/>
      </c>
      <c r="J366" s="50">
        <f>IF(G366="","",G366+N(I366))</f>
        <v/>
      </c>
      <c r="K366" s="45" t="n"/>
      <c r="L366" s="47" t="n"/>
      <c r="M366" s="48" t="n"/>
      <c r="N366" s="49" t="n"/>
      <c r="O366" s="50">
        <f>IF(M366="","",ROUND(M366*N366,2))</f>
        <v/>
      </c>
      <c r="P366" s="50">
        <f>IF(M366="","",M366+N(O366))</f>
        <v/>
      </c>
      <c r="Q366" s="45" t="n"/>
      <c r="R366" s="45" t="n"/>
      <c r="S366" s="51">
        <f>IF(L366="","",IF(COUNTIF(L$6:L366,L366)&gt;1,"",SUMIF(L$6:L$2000,L366,M$6:M$2000)-SUMIF(L$6:L$2000,L366,G$6:G$2000)))</f>
        <v/>
      </c>
      <c r="T366" s="46">
        <f>IF(AND(C366="",G366=""),"",IF(L366="","Nog factureren",IF(AND(G366&lt;&gt;"",OR(K366="",K366&gt;TODAY())),"Nog betalen",IF(OR(R366="",R366&gt;TODAY()),"Wacht op klant","Afgerond"))))</f>
        <v/>
      </c>
    </row>
    <row r="367">
      <c r="A367" s="45" t="n"/>
      <c r="B367" s="46">
        <f>IF(A367="","",YEAR(A367)&amp;" Q"&amp;ROUNDUP(MONTH(A367)/3,0))</f>
        <v/>
      </c>
      <c r="C367" s="47" t="n"/>
      <c r="D367" s="47" t="n"/>
      <c r="E367" s="47" t="n"/>
      <c r="F367" s="47" t="n"/>
      <c r="G367" s="48" t="n"/>
      <c r="H367" s="49" t="n"/>
      <c r="I367" s="50">
        <f>IF(G367="","",ROUND(G367*H367,2))</f>
        <v/>
      </c>
      <c r="J367" s="50">
        <f>IF(G367="","",G367+N(I367))</f>
        <v/>
      </c>
      <c r="K367" s="45" t="n"/>
      <c r="L367" s="47" t="n"/>
      <c r="M367" s="48" t="n"/>
      <c r="N367" s="49" t="n"/>
      <c r="O367" s="50">
        <f>IF(M367="","",ROUND(M367*N367,2))</f>
        <v/>
      </c>
      <c r="P367" s="50">
        <f>IF(M367="","",M367+N(O367))</f>
        <v/>
      </c>
      <c r="Q367" s="45" t="n"/>
      <c r="R367" s="45" t="n"/>
      <c r="S367" s="51">
        <f>IF(L367="","",IF(COUNTIF(L$6:L367,L367)&gt;1,"",SUMIF(L$6:L$2000,L367,M$6:M$2000)-SUMIF(L$6:L$2000,L367,G$6:G$2000)))</f>
        <v/>
      </c>
      <c r="T367" s="46">
        <f>IF(AND(C367="",G367=""),"",IF(L367="","Nog factureren",IF(AND(G367&lt;&gt;"",OR(K367="",K367&gt;TODAY())),"Nog betalen",IF(OR(R367="",R367&gt;TODAY()),"Wacht op klant","Afgerond"))))</f>
        <v/>
      </c>
    </row>
    <row r="368">
      <c r="A368" s="45" t="n"/>
      <c r="B368" s="46">
        <f>IF(A368="","",YEAR(A368)&amp;" Q"&amp;ROUNDUP(MONTH(A368)/3,0))</f>
        <v/>
      </c>
      <c r="C368" s="47" t="n"/>
      <c r="D368" s="47" t="n"/>
      <c r="E368" s="47" t="n"/>
      <c r="F368" s="47" t="n"/>
      <c r="G368" s="48" t="n"/>
      <c r="H368" s="49" t="n"/>
      <c r="I368" s="50">
        <f>IF(G368="","",ROUND(G368*H368,2))</f>
        <v/>
      </c>
      <c r="J368" s="50">
        <f>IF(G368="","",G368+N(I368))</f>
        <v/>
      </c>
      <c r="K368" s="45" t="n"/>
      <c r="L368" s="47" t="n"/>
      <c r="M368" s="48" t="n"/>
      <c r="N368" s="49" t="n"/>
      <c r="O368" s="50">
        <f>IF(M368="","",ROUND(M368*N368,2))</f>
        <v/>
      </c>
      <c r="P368" s="50">
        <f>IF(M368="","",M368+N(O368))</f>
        <v/>
      </c>
      <c r="Q368" s="45" t="n"/>
      <c r="R368" s="45" t="n"/>
      <c r="S368" s="51">
        <f>IF(L368="","",IF(COUNTIF(L$6:L368,L368)&gt;1,"",SUMIF(L$6:L$2000,L368,M$6:M$2000)-SUMIF(L$6:L$2000,L368,G$6:G$2000)))</f>
        <v/>
      </c>
      <c r="T368" s="46">
        <f>IF(AND(C368="",G368=""),"",IF(L368="","Nog factureren",IF(AND(G368&lt;&gt;"",OR(K368="",K368&gt;TODAY())),"Nog betalen",IF(OR(R368="",R368&gt;TODAY()),"Wacht op klant","Afgerond"))))</f>
        <v/>
      </c>
    </row>
    <row r="369">
      <c r="A369" s="45" t="n"/>
      <c r="B369" s="46">
        <f>IF(A369="","",YEAR(A369)&amp;" Q"&amp;ROUNDUP(MONTH(A369)/3,0))</f>
        <v/>
      </c>
      <c r="C369" s="47" t="n"/>
      <c r="D369" s="47" t="n"/>
      <c r="E369" s="47" t="n"/>
      <c r="F369" s="47" t="n"/>
      <c r="G369" s="48" t="n"/>
      <c r="H369" s="49" t="n"/>
      <c r="I369" s="50">
        <f>IF(G369="","",ROUND(G369*H369,2))</f>
        <v/>
      </c>
      <c r="J369" s="50">
        <f>IF(G369="","",G369+N(I369))</f>
        <v/>
      </c>
      <c r="K369" s="45" t="n"/>
      <c r="L369" s="47" t="n"/>
      <c r="M369" s="48" t="n"/>
      <c r="N369" s="49" t="n"/>
      <c r="O369" s="50">
        <f>IF(M369="","",ROUND(M369*N369,2))</f>
        <v/>
      </c>
      <c r="P369" s="50">
        <f>IF(M369="","",M369+N(O369))</f>
        <v/>
      </c>
      <c r="Q369" s="45" t="n"/>
      <c r="R369" s="45" t="n"/>
      <c r="S369" s="51">
        <f>IF(L369="","",IF(COUNTIF(L$6:L369,L369)&gt;1,"",SUMIF(L$6:L$2000,L369,M$6:M$2000)-SUMIF(L$6:L$2000,L369,G$6:G$2000)))</f>
        <v/>
      </c>
      <c r="T369" s="46">
        <f>IF(AND(C369="",G369=""),"",IF(L369="","Nog factureren",IF(AND(G369&lt;&gt;"",OR(K369="",K369&gt;TODAY())),"Nog betalen",IF(OR(R369="",R369&gt;TODAY()),"Wacht op klant","Afgerond"))))</f>
        <v/>
      </c>
    </row>
    <row r="370">
      <c r="A370" s="45" t="n"/>
      <c r="B370" s="46">
        <f>IF(A370="","",YEAR(A370)&amp;" Q"&amp;ROUNDUP(MONTH(A370)/3,0))</f>
        <v/>
      </c>
      <c r="C370" s="47" t="n"/>
      <c r="D370" s="47" t="n"/>
      <c r="E370" s="47" t="n"/>
      <c r="F370" s="47" t="n"/>
      <c r="G370" s="48" t="n"/>
      <c r="H370" s="49" t="n"/>
      <c r="I370" s="50">
        <f>IF(G370="","",ROUND(G370*H370,2))</f>
        <v/>
      </c>
      <c r="J370" s="50">
        <f>IF(G370="","",G370+N(I370))</f>
        <v/>
      </c>
      <c r="K370" s="45" t="n"/>
      <c r="L370" s="47" t="n"/>
      <c r="M370" s="48" t="n"/>
      <c r="N370" s="49" t="n"/>
      <c r="O370" s="50">
        <f>IF(M370="","",ROUND(M370*N370,2))</f>
        <v/>
      </c>
      <c r="P370" s="50">
        <f>IF(M370="","",M370+N(O370))</f>
        <v/>
      </c>
      <c r="Q370" s="45" t="n"/>
      <c r="R370" s="45" t="n"/>
      <c r="S370" s="51">
        <f>IF(L370="","",IF(COUNTIF(L$6:L370,L370)&gt;1,"",SUMIF(L$6:L$2000,L370,M$6:M$2000)-SUMIF(L$6:L$2000,L370,G$6:G$2000)))</f>
        <v/>
      </c>
      <c r="T370" s="46">
        <f>IF(AND(C370="",G370=""),"",IF(L370="","Nog factureren",IF(AND(G370&lt;&gt;"",OR(K370="",K370&gt;TODAY())),"Nog betalen",IF(OR(R370="",R370&gt;TODAY()),"Wacht op klant","Afgerond"))))</f>
        <v/>
      </c>
    </row>
    <row r="371">
      <c r="A371" s="45" t="n"/>
      <c r="B371" s="46">
        <f>IF(A371="","",YEAR(A371)&amp;" Q"&amp;ROUNDUP(MONTH(A371)/3,0))</f>
        <v/>
      </c>
      <c r="C371" s="47" t="n"/>
      <c r="D371" s="47" t="n"/>
      <c r="E371" s="47" t="n"/>
      <c r="F371" s="47" t="n"/>
      <c r="G371" s="48" t="n"/>
      <c r="H371" s="49" t="n"/>
      <c r="I371" s="50">
        <f>IF(G371="","",ROUND(G371*H371,2))</f>
        <v/>
      </c>
      <c r="J371" s="50">
        <f>IF(G371="","",G371+N(I371))</f>
        <v/>
      </c>
      <c r="K371" s="45" t="n"/>
      <c r="L371" s="47" t="n"/>
      <c r="M371" s="48" t="n"/>
      <c r="N371" s="49" t="n"/>
      <c r="O371" s="50">
        <f>IF(M371="","",ROUND(M371*N371,2))</f>
        <v/>
      </c>
      <c r="P371" s="50">
        <f>IF(M371="","",M371+N(O371))</f>
        <v/>
      </c>
      <c r="Q371" s="45" t="n"/>
      <c r="R371" s="45" t="n"/>
      <c r="S371" s="51">
        <f>IF(L371="","",IF(COUNTIF(L$6:L371,L371)&gt;1,"",SUMIF(L$6:L$2000,L371,M$6:M$2000)-SUMIF(L$6:L$2000,L371,G$6:G$2000)))</f>
        <v/>
      </c>
      <c r="T371" s="46">
        <f>IF(AND(C371="",G371=""),"",IF(L371="","Nog factureren",IF(AND(G371&lt;&gt;"",OR(K371="",K371&gt;TODAY())),"Nog betalen",IF(OR(R371="",R371&gt;TODAY()),"Wacht op klant","Afgerond"))))</f>
        <v/>
      </c>
    </row>
    <row r="372">
      <c r="A372" s="45" t="n"/>
      <c r="B372" s="46">
        <f>IF(A372="","",YEAR(A372)&amp;" Q"&amp;ROUNDUP(MONTH(A372)/3,0))</f>
        <v/>
      </c>
      <c r="C372" s="47" t="n"/>
      <c r="D372" s="47" t="n"/>
      <c r="E372" s="47" t="n"/>
      <c r="F372" s="47" t="n"/>
      <c r="G372" s="48" t="n"/>
      <c r="H372" s="49" t="n"/>
      <c r="I372" s="50">
        <f>IF(G372="","",ROUND(G372*H372,2))</f>
        <v/>
      </c>
      <c r="J372" s="50">
        <f>IF(G372="","",G372+N(I372))</f>
        <v/>
      </c>
      <c r="K372" s="45" t="n"/>
      <c r="L372" s="47" t="n"/>
      <c r="M372" s="48" t="n"/>
      <c r="N372" s="49" t="n"/>
      <c r="O372" s="50">
        <f>IF(M372="","",ROUND(M372*N372,2))</f>
        <v/>
      </c>
      <c r="P372" s="50">
        <f>IF(M372="","",M372+N(O372))</f>
        <v/>
      </c>
      <c r="Q372" s="45" t="n"/>
      <c r="R372" s="45" t="n"/>
      <c r="S372" s="51">
        <f>IF(L372="","",IF(COUNTIF(L$6:L372,L372)&gt;1,"",SUMIF(L$6:L$2000,L372,M$6:M$2000)-SUMIF(L$6:L$2000,L372,G$6:G$2000)))</f>
        <v/>
      </c>
      <c r="T372" s="46">
        <f>IF(AND(C372="",G372=""),"",IF(L372="","Nog factureren",IF(AND(G372&lt;&gt;"",OR(K372="",K372&gt;TODAY())),"Nog betalen",IF(OR(R372="",R372&gt;TODAY()),"Wacht op klant","Afgerond"))))</f>
        <v/>
      </c>
    </row>
    <row r="373">
      <c r="A373" s="45" t="n"/>
      <c r="B373" s="46">
        <f>IF(A373="","",YEAR(A373)&amp;" Q"&amp;ROUNDUP(MONTH(A373)/3,0))</f>
        <v/>
      </c>
      <c r="C373" s="47" t="n"/>
      <c r="D373" s="47" t="n"/>
      <c r="E373" s="47" t="n"/>
      <c r="F373" s="47" t="n"/>
      <c r="G373" s="48" t="n"/>
      <c r="H373" s="49" t="n"/>
      <c r="I373" s="50">
        <f>IF(G373="","",ROUND(G373*H373,2))</f>
        <v/>
      </c>
      <c r="J373" s="50">
        <f>IF(G373="","",G373+N(I373))</f>
        <v/>
      </c>
      <c r="K373" s="45" t="n"/>
      <c r="L373" s="47" t="n"/>
      <c r="M373" s="48" t="n"/>
      <c r="N373" s="49" t="n"/>
      <c r="O373" s="50">
        <f>IF(M373="","",ROUND(M373*N373,2))</f>
        <v/>
      </c>
      <c r="P373" s="50">
        <f>IF(M373="","",M373+N(O373))</f>
        <v/>
      </c>
      <c r="Q373" s="45" t="n"/>
      <c r="R373" s="45" t="n"/>
      <c r="S373" s="51">
        <f>IF(L373="","",IF(COUNTIF(L$6:L373,L373)&gt;1,"",SUMIF(L$6:L$2000,L373,M$6:M$2000)-SUMIF(L$6:L$2000,L373,G$6:G$2000)))</f>
        <v/>
      </c>
      <c r="T373" s="46">
        <f>IF(AND(C373="",G373=""),"",IF(L373="","Nog factureren",IF(AND(G373&lt;&gt;"",OR(K373="",K373&gt;TODAY())),"Nog betalen",IF(OR(R373="",R373&gt;TODAY()),"Wacht op klant","Afgerond"))))</f>
        <v/>
      </c>
    </row>
    <row r="374">
      <c r="A374" s="45" t="n"/>
      <c r="B374" s="46">
        <f>IF(A374="","",YEAR(A374)&amp;" Q"&amp;ROUNDUP(MONTH(A374)/3,0))</f>
        <v/>
      </c>
      <c r="C374" s="47" t="n"/>
      <c r="D374" s="47" t="n"/>
      <c r="E374" s="47" t="n"/>
      <c r="F374" s="47" t="n"/>
      <c r="G374" s="48" t="n"/>
      <c r="H374" s="49" t="n"/>
      <c r="I374" s="50">
        <f>IF(G374="","",ROUND(G374*H374,2))</f>
        <v/>
      </c>
      <c r="J374" s="50">
        <f>IF(G374="","",G374+N(I374))</f>
        <v/>
      </c>
      <c r="K374" s="45" t="n"/>
      <c r="L374" s="47" t="n"/>
      <c r="M374" s="48" t="n"/>
      <c r="N374" s="49" t="n"/>
      <c r="O374" s="50">
        <f>IF(M374="","",ROUND(M374*N374,2))</f>
        <v/>
      </c>
      <c r="P374" s="50">
        <f>IF(M374="","",M374+N(O374))</f>
        <v/>
      </c>
      <c r="Q374" s="45" t="n"/>
      <c r="R374" s="45" t="n"/>
      <c r="S374" s="51">
        <f>IF(L374="","",IF(COUNTIF(L$6:L374,L374)&gt;1,"",SUMIF(L$6:L$2000,L374,M$6:M$2000)-SUMIF(L$6:L$2000,L374,G$6:G$2000)))</f>
        <v/>
      </c>
      <c r="T374" s="46">
        <f>IF(AND(C374="",G374=""),"",IF(L374="","Nog factureren",IF(AND(G374&lt;&gt;"",OR(K374="",K374&gt;TODAY())),"Nog betalen",IF(OR(R374="",R374&gt;TODAY()),"Wacht op klant","Afgerond"))))</f>
        <v/>
      </c>
    </row>
    <row r="375">
      <c r="A375" s="45" t="n"/>
      <c r="B375" s="46">
        <f>IF(A375="","",YEAR(A375)&amp;" Q"&amp;ROUNDUP(MONTH(A375)/3,0))</f>
        <v/>
      </c>
      <c r="C375" s="47" t="n"/>
      <c r="D375" s="47" t="n"/>
      <c r="E375" s="47" t="n"/>
      <c r="F375" s="47" t="n"/>
      <c r="G375" s="48" t="n"/>
      <c r="H375" s="49" t="n"/>
      <c r="I375" s="50">
        <f>IF(G375="","",ROUND(G375*H375,2))</f>
        <v/>
      </c>
      <c r="J375" s="50">
        <f>IF(G375="","",G375+N(I375))</f>
        <v/>
      </c>
      <c r="K375" s="45" t="n"/>
      <c r="L375" s="47" t="n"/>
      <c r="M375" s="48" t="n"/>
      <c r="N375" s="49" t="n"/>
      <c r="O375" s="50">
        <f>IF(M375="","",ROUND(M375*N375,2))</f>
        <v/>
      </c>
      <c r="P375" s="50">
        <f>IF(M375="","",M375+N(O375))</f>
        <v/>
      </c>
      <c r="Q375" s="45" t="n"/>
      <c r="R375" s="45" t="n"/>
      <c r="S375" s="51">
        <f>IF(L375="","",IF(COUNTIF(L$6:L375,L375)&gt;1,"",SUMIF(L$6:L$2000,L375,M$6:M$2000)-SUMIF(L$6:L$2000,L375,G$6:G$2000)))</f>
        <v/>
      </c>
      <c r="T375" s="46">
        <f>IF(AND(C375="",G375=""),"",IF(L375="","Nog factureren",IF(AND(G375&lt;&gt;"",OR(K375="",K375&gt;TODAY())),"Nog betalen",IF(OR(R375="",R375&gt;TODAY()),"Wacht op klant","Afgerond"))))</f>
        <v/>
      </c>
    </row>
    <row r="376">
      <c r="A376" s="45" t="n"/>
      <c r="B376" s="46">
        <f>IF(A376="","",YEAR(A376)&amp;" Q"&amp;ROUNDUP(MONTH(A376)/3,0))</f>
        <v/>
      </c>
      <c r="C376" s="47" t="n"/>
      <c r="D376" s="47" t="n"/>
      <c r="E376" s="47" t="n"/>
      <c r="F376" s="47" t="n"/>
      <c r="G376" s="48" t="n"/>
      <c r="H376" s="49" t="n"/>
      <c r="I376" s="50">
        <f>IF(G376="","",ROUND(G376*H376,2))</f>
        <v/>
      </c>
      <c r="J376" s="50">
        <f>IF(G376="","",G376+N(I376))</f>
        <v/>
      </c>
      <c r="K376" s="45" t="n"/>
      <c r="L376" s="47" t="n"/>
      <c r="M376" s="48" t="n"/>
      <c r="N376" s="49" t="n"/>
      <c r="O376" s="50">
        <f>IF(M376="","",ROUND(M376*N376,2))</f>
        <v/>
      </c>
      <c r="P376" s="50">
        <f>IF(M376="","",M376+N(O376))</f>
        <v/>
      </c>
      <c r="Q376" s="45" t="n"/>
      <c r="R376" s="45" t="n"/>
      <c r="S376" s="51">
        <f>IF(L376="","",IF(COUNTIF(L$6:L376,L376)&gt;1,"",SUMIF(L$6:L$2000,L376,M$6:M$2000)-SUMIF(L$6:L$2000,L376,G$6:G$2000)))</f>
        <v/>
      </c>
      <c r="T376" s="46">
        <f>IF(AND(C376="",G376=""),"",IF(L376="","Nog factureren",IF(AND(G376&lt;&gt;"",OR(K376="",K376&gt;TODAY())),"Nog betalen",IF(OR(R376="",R376&gt;TODAY()),"Wacht op klant","Afgerond"))))</f>
        <v/>
      </c>
    </row>
    <row r="377">
      <c r="A377" s="45" t="n"/>
      <c r="B377" s="46">
        <f>IF(A377="","",YEAR(A377)&amp;" Q"&amp;ROUNDUP(MONTH(A377)/3,0))</f>
        <v/>
      </c>
      <c r="C377" s="47" t="n"/>
      <c r="D377" s="47" t="n"/>
      <c r="E377" s="47" t="n"/>
      <c r="F377" s="47" t="n"/>
      <c r="G377" s="48" t="n"/>
      <c r="H377" s="49" t="n"/>
      <c r="I377" s="50">
        <f>IF(G377="","",ROUND(G377*H377,2))</f>
        <v/>
      </c>
      <c r="J377" s="50">
        <f>IF(G377="","",G377+N(I377))</f>
        <v/>
      </c>
      <c r="K377" s="45" t="n"/>
      <c r="L377" s="47" t="n"/>
      <c r="M377" s="48" t="n"/>
      <c r="N377" s="49" t="n"/>
      <c r="O377" s="50">
        <f>IF(M377="","",ROUND(M377*N377,2))</f>
        <v/>
      </c>
      <c r="P377" s="50">
        <f>IF(M377="","",M377+N(O377))</f>
        <v/>
      </c>
      <c r="Q377" s="45" t="n"/>
      <c r="R377" s="45" t="n"/>
      <c r="S377" s="51">
        <f>IF(L377="","",IF(COUNTIF(L$6:L377,L377)&gt;1,"",SUMIF(L$6:L$2000,L377,M$6:M$2000)-SUMIF(L$6:L$2000,L377,G$6:G$2000)))</f>
        <v/>
      </c>
      <c r="T377" s="46">
        <f>IF(AND(C377="",G377=""),"",IF(L377="","Nog factureren",IF(AND(G377&lt;&gt;"",OR(K377="",K377&gt;TODAY())),"Nog betalen",IF(OR(R377="",R377&gt;TODAY()),"Wacht op klant","Afgerond"))))</f>
        <v/>
      </c>
    </row>
    <row r="378">
      <c r="A378" s="45" t="n"/>
      <c r="B378" s="46">
        <f>IF(A378="","",YEAR(A378)&amp;" Q"&amp;ROUNDUP(MONTH(A378)/3,0))</f>
        <v/>
      </c>
      <c r="C378" s="47" t="n"/>
      <c r="D378" s="47" t="n"/>
      <c r="E378" s="47" t="n"/>
      <c r="F378" s="47" t="n"/>
      <c r="G378" s="48" t="n"/>
      <c r="H378" s="49" t="n"/>
      <c r="I378" s="50">
        <f>IF(G378="","",ROUND(G378*H378,2))</f>
        <v/>
      </c>
      <c r="J378" s="50">
        <f>IF(G378="","",G378+N(I378))</f>
        <v/>
      </c>
      <c r="K378" s="45" t="n"/>
      <c r="L378" s="47" t="n"/>
      <c r="M378" s="48" t="n"/>
      <c r="N378" s="49" t="n"/>
      <c r="O378" s="50">
        <f>IF(M378="","",ROUND(M378*N378,2))</f>
        <v/>
      </c>
      <c r="P378" s="50">
        <f>IF(M378="","",M378+N(O378))</f>
        <v/>
      </c>
      <c r="Q378" s="45" t="n"/>
      <c r="R378" s="45" t="n"/>
      <c r="S378" s="51">
        <f>IF(L378="","",IF(COUNTIF(L$6:L378,L378)&gt;1,"",SUMIF(L$6:L$2000,L378,M$6:M$2000)-SUMIF(L$6:L$2000,L378,G$6:G$2000)))</f>
        <v/>
      </c>
      <c r="T378" s="46">
        <f>IF(AND(C378="",G378=""),"",IF(L378="","Nog factureren",IF(AND(G378&lt;&gt;"",OR(K378="",K378&gt;TODAY())),"Nog betalen",IF(OR(R378="",R378&gt;TODAY()),"Wacht op klant","Afgerond"))))</f>
        <v/>
      </c>
    </row>
    <row r="379">
      <c r="A379" s="45" t="n"/>
      <c r="B379" s="46">
        <f>IF(A379="","",YEAR(A379)&amp;" Q"&amp;ROUNDUP(MONTH(A379)/3,0))</f>
        <v/>
      </c>
      <c r="C379" s="47" t="n"/>
      <c r="D379" s="47" t="n"/>
      <c r="E379" s="47" t="n"/>
      <c r="F379" s="47" t="n"/>
      <c r="G379" s="48" t="n"/>
      <c r="H379" s="49" t="n"/>
      <c r="I379" s="50">
        <f>IF(G379="","",ROUND(G379*H379,2))</f>
        <v/>
      </c>
      <c r="J379" s="50">
        <f>IF(G379="","",G379+N(I379))</f>
        <v/>
      </c>
      <c r="K379" s="45" t="n"/>
      <c r="L379" s="47" t="n"/>
      <c r="M379" s="48" t="n"/>
      <c r="N379" s="49" t="n"/>
      <c r="O379" s="50">
        <f>IF(M379="","",ROUND(M379*N379,2))</f>
        <v/>
      </c>
      <c r="P379" s="50">
        <f>IF(M379="","",M379+N(O379))</f>
        <v/>
      </c>
      <c r="Q379" s="45" t="n"/>
      <c r="R379" s="45" t="n"/>
      <c r="S379" s="51">
        <f>IF(L379="","",IF(COUNTIF(L$6:L379,L379)&gt;1,"",SUMIF(L$6:L$2000,L379,M$6:M$2000)-SUMIF(L$6:L$2000,L379,G$6:G$2000)))</f>
        <v/>
      </c>
      <c r="T379" s="46">
        <f>IF(AND(C379="",G379=""),"",IF(L379="","Nog factureren",IF(AND(G379&lt;&gt;"",OR(K379="",K379&gt;TODAY())),"Nog betalen",IF(OR(R379="",R379&gt;TODAY()),"Wacht op klant","Afgerond"))))</f>
        <v/>
      </c>
    </row>
    <row r="380">
      <c r="A380" s="45" t="n"/>
      <c r="B380" s="46">
        <f>IF(A380="","",YEAR(A380)&amp;" Q"&amp;ROUNDUP(MONTH(A380)/3,0))</f>
        <v/>
      </c>
      <c r="C380" s="47" t="n"/>
      <c r="D380" s="47" t="n"/>
      <c r="E380" s="47" t="n"/>
      <c r="F380" s="47" t="n"/>
      <c r="G380" s="48" t="n"/>
      <c r="H380" s="49" t="n"/>
      <c r="I380" s="50">
        <f>IF(G380="","",ROUND(G380*H380,2))</f>
        <v/>
      </c>
      <c r="J380" s="50">
        <f>IF(G380="","",G380+N(I380))</f>
        <v/>
      </c>
      <c r="K380" s="45" t="n"/>
      <c r="L380" s="47" t="n"/>
      <c r="M380" s="48" t="n"/>
      <c r="N380" s="49" t="n"/>
      <c r="O380" s="50">
        <f>IF(M380="","",ROUND(M380*N380,2))</f>
        <v/>
      </c>
      <c r="P380" s="50">
        <f>IF(M380="","",M380+N(O380))</f>
        <v/>
      </c>
      <c r="Q380" s="45" t="n"/>
      <c r="R380" s="45" t="n"/>
      <c r="S380" s="51">
        <f>IF(L380="","",IF(COUNTIF(L$6:L380,L380)&gt;1,"",SUMIF(L$6:L$2000,L380,M$6:M$2000)-SUMIF(L$6:L$2000,L380,G$6:G$2000)))</f>
        <v/>
      </c>
      <c r="T380" s="46">
        <f>IF(AND(C380="",G380=""),"",IF(L380="","Nog factureren",IF(AND(G380&lt;&gt;"",OR(K380="",K380&gt;TODAY())),"Nog betalen",IF(OR(R380="",R380&gt;TODAY()),"Wacht op klant","Afgerond"))))</f>
        <v/>
      </c>
    </row>
    <row r="381">
      <c r="A381" s="45" t="n"/>
      <c r="B381" s="46">
        <f>IF(A381="","",YEAR(A381)&amp;" Q"&amp;ROUNDUP(MONTH(A381)/3,0))</f>
        <v/>
      </c>
      <c r="C381" s="47" t="n"/>
      <c r="D381" s="47" t="n"/>
      <c r="E381" s="47" t="n"/>
      <c r="F381" s="47" t="n"/>
      <c r="G381" s="48" t="n"/>
      <c r="H381" s="49" t="n"/>
      <c r="I381" s="50">
        <f>IF(G381="","",ROUND(G381*H381,2))</f>
        <v/>
      </c>
      <c r="J381" s="50">
        <f>IF(G381="","",G381+N(I381))</f>
        <v/>
      </c>
      <c r="K381" s="45" t="n"/>
      <c r="L381" s="47" t="n"/>
      <c r="M381" s="48" t="n"/>
      <c r="N381" s="49" t="n"/>
      <c r="O381" s="50">
        <f>IF(M381="","",ROUND(M381*N381,2))</f>
        <v/>
      </c>
      <c r="P381" s="50">
        <f>IF(M381="","",M381+N(O381))</f>
        <v/>
      </c>
      <c r="Q381" s="45" t="n"/>
      <c r="R381" s="45" t="n"/>
      <c r="S381" s="51">
        <f>IF(L381="","",IF(COUNTIF(L$6:L381,L381)&gt;1,"",SUMIF(L$6:L$2000,L381,M$6:M$2000)-SUMIF(L$6:L$2000,L381,G$6:G$2000)))</f>
        <v/>
      </c>
      <c r="T381" s="46">
        <f>IF(AND(C381="",G381=""),"",IF(L381="","Nog factureren",IF(AND(G381&lt;&gt;"",OR(K381="",K381&gt;TODAY())),"Nog betalen",IF(OR(R381="",R381&gt;TODAY()),"Wacht op klant","Afgerond"))))</f>
        <v/>
      </c>
    </row>
    <row r="382">
      <c r="A382" s="45" t="n"/>
      <c r="B382" s="46">
        <f>IF(A382="","",YEAR(A382)&amp;" Q"&amp;ROUNDUP(MONTH(A382)/3,0))</f>
        <v/>
      </c>
      <c r="C382" s="47" t="n"/>
      <c r="D382" s="47" t="n"/>
      <c r="E382" s="47" t="n"/>
      <c r="F382" s="47" t="n"/>
      <c r="G382" s="48" t="n"/>
      <c r="H382" s="49" t="n"/>
      <c r="I382" s="50">
        <f>IF(G382="","",ROUND(G382*H382,2))</f>
        <v/>
      </c>
      <c r="J382" s="50">
        <f>IF(G382="","",G382+N(I382))</f>
        <v/>
      </c>
      <c r="K382" s="45" t="n"/>
      <c r="L382" s="47" t="n"/>
      <c r="M382" s="48" t="n"/>
      <c r="N382" s="49" t="n"/>
      <c r="O382" s="50">
        <f>IF(M382="","",ROUND(M382*N382,2))</f>
        <v/>
      </c>
      <c r="P382" s="50">
        <f>IF(M382="","",M382+N(O382))</f>
        <v/>
      </c>
      <c r="Q382" s="45" t="n"/>
      <c r="R382" s="45" t="n"/>
      <c r="S382" s="51">
        <f>IF(L382="","",IF(COUNTIF(L$6:L382,L382)&gt;1,"",SUMIF(L$6:L$2000,L382,M$6:M$2000)-SUMIF(L$6:L$2000,L382,G$6:G$2000)))</f>
        <v/>
      </c>
      <c r="T382" s="46">
        <f>IF(AND(C382="",G382=""),"",IF(L382="","Nog factureren",IF(AND(G382&lt;&gt;"",OR(K382="",K382&gt;TODAY())),"Nog betalen",IF(OR(R382="",R382&gt;TODAY()),"Wacht op klant","Afgerond"))))</f>
        <v/>
      </c>
    </row>
    <row r="383">
      <c r="A383" s="45" t="n"/>
      <c r="B383" s="46">
        <f>IF(A383="","",YEAR(A383)&amp;" Q"&amp;ROUNDUP(MONTH(A383)/3,0))</f>
        <v/>
      </c>
      <c r="C383" s="47" t="n"/>
      <c r="D383" s="47" t="n"/>
      <c r="E383" s="47" t="n"/>
      <c r="F383" s="47" t="n"/>
      <c r="G383" s="48" t="n"/>
      <c r="H383" s="49" t="n"/>
      <c r="I383" s="50">
        <f>IF(G383="","",ROUND(G383*H383,2))</f>
        <v/>
      </c>
      <c r="J383" s="50">
        <f>IF(G383="","",G383+N(I383))</f>
        <v/>
      </c>
      <c r="K383" s="45" t="n"/>
      <c r="L383" s="47" t="n"/>
      <c r="M383" s="48" t="n"/>
      <c r="N383" s="49" t="n"/>
      <c r="O383" s="50">
        <f>IF(M383="","",ROUND(M383*N383,2))</f>
        <v/>
      </c>
      <c r="P383" s="50">
        <f>IF(M383="","",M383+N(O383))</f>
        <v/>
      </c>
      <c r="Q383" s="45" t="n"/>
      <c r="R383" s="45" t="n"/>
      <c r="S383" s="51">
        <f>IF(L383="","",IF(COUNTIF(L$6:L383,L383)&gt;1,"",SUMIF(L$6:L$2000,L383,M$6:M$2000)-SUMIF(L$6:L$2000,L383,G$6:G$2000)))</f>
        <v/>
      </c>
      <c r="T383" s="46">
        <f>IF(AND(C383="",G383=""),"",IF(L383="","Nog factureren",IF(AND(G383&lt;&gt;"",OR(K383="",K383&gt;TODAY())),"Nog betalen",IF(OR(R383="",R383&gt;TODAY()),"Wacht op klant","Afgerond"))))</f>
        <v/>
      </c>
    </row>
    <row r="384">
      <c r="A384" s="45" t="n"/>
      <c r="B384" s="46">
        <f>IF(A384="","",YEAR(A384)&amp;" Q"&amp;ROUNDUP(MONTH(A384)/3,0))</f>
        <v/>
      </c>
      <c r="C384" s="47" t="n"/>
      <c r="D384" s="47" t="n"/>
      <c r="E384" s="47" t="n"/>
      <c r="F384" s="47" t="n"/>
      <c r="G384" s="48" t="n"/>
      <c r="H384" s="49" t="n"/>
      <c r="I384" s="50">
        <f>IF(G384="","",ROUND(G384*H384,2))</f>
        <v/>
      </c>
      <c r="J384" s="50">
        <f>IF(G384="","",G384+N(I384))</f>
        <v/>
      </c>
      <c r="K384" s="45" t="n"/>
      <c r="L384" s="47" t="n"/>
      <c r="M384" s="48" t="n"/>
      <c r="N384" s="49" t="n"/>
      <c r="O384" s="50">
        <f>IF(M384="","",ROUND(M384*N384,2))</f>
        <v/>
      </c>
      <c r="P384" s="50">
        <f>IF(M384="","",M384+N(O384))</f>
        <v/>
      </c>
      <c r="Q384" s="45" t="n"/>
      <c r="R384" s="45" t="n"/>
      <c r="S384" s="51">
        <f>IF(L384="","",IF(COUNTIF(L$6:L384,L384)&gt;1,"",SUMIF(L$6:L$2000,L384,M$6:M$2000)-SUMIF(L$6:L$2000,L384,G$6:G$2000)))</f>
        <v/>
      </c>
      <c r="T384" s="46">
        <f>IF(AND(C384="",G384=""),"",IF(L384="","Nog factureren",IF(AND(G384&lt;&gt;"",OR(K384="",K384&gt;TODAY())),"Nog betalen",IF(OR(R384="",R384&gt;TODAY()),"Wacht op klant","Afgerond"))))</f>
        <v/>
      </c>
    </row>
    <row r="385">
      <c r="A385" s="45" t="n"/>
      <c r="B385" s="46">
        <f>IF(A385="","",YEAR(A385)&amp;" Q"&amp;ROUNDUP(MONTH(A385)/3,0))</f>
        <v/>
      </c>
      <c r="C385" s="47" t="n"/>
      <c r="D385" s="47" t="n"/>
      <c r="E385" s="47" t="n"/>
      <c r="F385" s="47" t="n"/>
      <c r="G385" s="48" t="n"/>
      <c r="H385" s="49" t="n"/>
      <c r="I385" s="50">
        <f>IF(G385="","",ROUND(G385*H385,2))</f>
        <v/>
      </c>
      <c r="J385" s="50">
        <f>IF(G385="","",G385+N(I385))</f>
        <v/>
      </c>
      <c r="K385" s="45" t="n"/>
      <c r="L385" s="47" t="n"/>
      <c r="M385" s="48" t="n"/>
      <c r="N385" s="49" t="n"/>
      <c r="O385" s="50">
        <f>IF(M385="","",ROUND(M385*N385,2))</f>
        <v/>
      </c>
      <c r="P385" s="50">
        <f>IF(M385="","",M385+N(O385))</f>
        <v/>
      </c>
      <c r="Q385" s="45" t="n"/>
      <c r="R385" s="45" t="n"/>
      <c r="S385" s="51">
        <f>IF(L385="","",IF(COUNTIF(L$6:L385,L385)&gt;1,"",SUMIF(L$6:L$2000,L385,M$6:M$2000)-SUMIF(L$6:L$2000,L385,G$6:G$2000)))</f>
        <v/>
      </c>
      <c r="T385" s="46">
        <f>IF(AND(C385="",G385=""),"",IF(L385="","Nog factureren",IF(AND(G385&lt;&gt;"",OR(K385="",K385&gt;TODAY())),"Nog betalen",IF(OR(R385="",R385&gt;TODAY()),"Wacht op klant","Afgerond"))))</f>
        <v/>
      </c>
    </row>
    <row r="386">
      <c r="A386" s="45" t="n"/>
      <c r="B386" s="46">
        <f>IF(A386="","",YEAR(A386)&amp;" Q"&amp;ROUNDUP(MONTH(A386)/3,0))</f>
        <v/>
      </c>
      <c r="C386" s="47" t="n"/>
      <c r="D386" s="47" t="n"/>
      <c r="E386" s="47" t="n"/>
      <c r="F386" s="47" t="n"/>
      <c r="G386" s="48" t="n"/>
      <c r="H386" s="49" t="n"/>
      <c r="I386" s="50">
        <f>IF(G386="","",ROUND(G386*H386,2))</f>
        <v/>
      </c>
      <c r="J386" s="50">
        <f>IF(G386="","",G386+N(I386))</f>
        <v/>
      </c>
      <c r="K386" s="45" t="n"/>
      <c r="L386" s="47" t="n"/>
      <c r="M386" s="48" t="n"/>
      <c r="N386" s="49" t="n"/>
      <c r="O386" s="50">
        <f>IF(M386="","",ROUND(M386*N386,2))</f>
        <v/>
      </c>
      <c r="P386" s="50">
        <f>IF(M386="","",M386+N(O386))</f>
        <v/>
      </c>
      <c r="Q386" s="45" t="n"/>
      <c r="R386" s="45" t="n"/>
      <c r="S386" s="51">
        <f>IF(L386="","",IF(COUNTIF(L$6:L386,L386)&gt;1,"",SUMIF(L$6:L$2000,L386,M$6:M$2000)-SUMIF(L$6:L$2000,L386,G$6:G$2000)))</f>
        <v/>
      </c>
      <c r="T386" s="46">
        <f>IF(AND(C386="",G386=""),"",IF(L386="","Nog factureren",IF(AND(G386&lt;&gt;"",OR(K386="",K386&gt;TODAY())),"Nog betalen",IF(OR(R386="",R386&gt;TODAY()),"Wacht op klant","Afgerond"))))</f>
        <v/>
      </c>
    </row>
    <row r="387">
      <c r="A387" s="45" t="n"/>
      <c r="B387" s="46">
        <f>IF(A387="","",YEAR(A387)&amp;" Q"&amp;ROUNDUP(MONTH(A387)/3,0))</f>
        <v/>
      </c>
      <c r="C387" s="47" t="n"/>
      <c r="D387" s="47" t="n"/>
      <c r="E387" s="47" t="n"/>
      <c r="F387" s="47" t="n"/>
      <c r="G387" s="48" t="n"/>
      <c r="H387" s="49" t="n"/>
      <c r="I387" s="50">
        <f>IF(G387="","",ROUND(G387*H387,2))</f>
        <v/>
      </c>
      <c r="J387" s="50">
        <f>IF(G387="","",G387+N(I387))</f>
        <v/>
      </c>
      <c r="K387" s="45" t="n"/>
      <c r="L387" s="47" t="n"/>
      <c r="M387" s="48" t="n"/>
      <c r="N387" s="49" t="n"/>
      <c r="O387" s="50">
        <f>IF(M387="","",ROUND(M387*N387,2))</f>
        <v/>
      </c>
      <c r="P387" s="50">
        <f>IF(M387="","",M387+N(O387))</f>
        <v/>
      </c>
      <c r="Q387" s="45" t="n"/>
      <c r="R387" s="45" t="n"/>
      <c r="S387" s="51">
        <f>IF(L387="","",IF(COUNTIF(L$6:L387,L387)&gt;1,"",SUMIF(L$6:L$2000,L387,M$6:M$2000)-SUMIF(L$6:L$2000,L387,G$6:G$2000)))</f>
        <v/>
      </c>
      <c r="T387" s="46">
        <f>IF(AND(C387="",G387=""),"",IF(L387="","Nog factureren",IF(AND(G387&lt;&gt;"",OR(K387="",K387&gt;TODAY())),"Nog betalen",IF(OR(R387="",R387&gt;TODAY()),"Wacht op klant","Afgerond"))))</f>
        <v/>
      </c>
    </row>
    <row r="388">
      <c r="A388" s="45" t="n"/>
      <c r="B388" s="46">
        <f>IF(A388="","",YEAR(A388)&amp;" Q"&amp;ROUNDUP(MONTH(A388)/3,0))</f>
        <v/>
      </c>
      <c r="C388" s="47" t="n"/>
      <c r="D388" s="47" t="n"/>
      <c r="E388" s="47" t="n"/>
      <c r="F388" s="47" t="n"/>
      <c r="G388" s="48" t="n"/>
      <c r="H388" s="49" t="n"/>
      <c r="I388" s="50">
        <f>IF(G388="","",ROUND(G388*H388,2))</f>
        <v/>
      </c>
      <c r="J388" s="50">
        <f>IF(G388="","",G388+N(I388))</f>
        <v/>
      </c>
      <c r="K388" s="45" t="n"/>
      <c r="L388" s="47" t="n"/>
      <c r="M388" s="48" t="n"/>
      <c r="N388" s="49" t="n"/>
      <c r="O388" s="50">
        <f>IF(M388="","",ROUND(M388*N388,2))</f>
        <v/>
      </c>
      <c r="P388" s="50">
        <f>IF(M388="","",M388+N(O388))</f>
        <v/>
      </c>
      <c r="Q388" s="45" t="n"/>
      <c r="R388" s="45" t="n"/>
      <c r="S388" s="51">
        <f>IF(L388="","",IF(COUNTIF(L$6:L388,L388)&gt;1,"",SUMIF(L$6:L$2000,L388,M$6:M$2000)-SUMIF(L$6:L$2000,L388,G$6:G$2000)))</f>
        <v/>
      </c>
      <c r="T388" s="46">
        <f>IF(AND(C388="",G388=""),"",IF(L388="","Nog factureren",IF(AND(G388&lt;&gt;"",OR(K388="",K388&gt;TODAY())),"Nog betalen",IF(OR(R388="",R388&gt;TODAY()),"Wacht op klant","Afgerond"))))</f>
        <v/>
      </c>
    </row>
    <row r="389">
      <c r="A389" s="45" t="n"/>
      <c r="B389" s="46">
        <f>IF(A389="","",YEAR(A389)&amp;" Q"&amp;ROUNDUP(MONTH(A389)/3,0))</f>
        <v/>
      </c>
      <c r="C389" s="47" t="n"/>
      <c r="D389" s="47" t="n"/>
      <c r="E389" s="47" t="n"/>
      <c r="F389" s="47" t="n"/>
      <c r="G389" s="48" t="n"/>
      <c r="H389" s="49" t="n"/>
      <c r="I389" s="50">
        <f>IF(G389="","",ROUND(G389*H389,2))</f>
        <v/>
      </c>
      <c r="J389" s="50">
        <f>IF(G389="","",G389+N(I389))</f>
        <v/>
      </c>
      <c r="K389" s="45" t="n"/>
      <c r="L389" s="47" t="n"/>
      <c r="M389" s="48" t="n"/>
      <c r="N389" s="49" t="n"/>
      <c r="O389" s="50">
        <f>IF(M389="","",ROUND(M389*N389,2))</f>
        <v/>
      </c>
      <c r="P389" s="50">
        <f>IF(M389="","",M389+N(O389))</f>
        <v/>
      </c>
      <c r="Q389" s="45" t="n"/>
      <c r="R389" s="45" t="n"/>
      <c r="S389" s="51">
        <f>IF(L389="","",IF(COUNTIF(L$6:L389,L389)&gt;1,"",SUMIF(L$6:L$2000,L389,M$6:M$2000)-SUMIF(L$6:L$2000,L389,G$6:G$2000)))</f>
        <v/>
      </c>
      <c r="T389" s="46">
        <f>IF(AND(C389="",G389=""),"",IF(L389="","Nog factureren",IF(AND(G389&lt;&gt;"",OR(K389="",K389&gt;TODAY())),"Nog betalen",IF(OR(R389="",R389&gt;TODAY()),"Wacht op klant","Afgerond"))))</f>
        <v/>
      </c>
    </row>
    <row r="390">
      <c r="A390" s="45" t="n"/>
      <c r="B390" s="46">
        <f>IF(A390="","",YEAR(A390)&amp;" Q"&amp;ROUNDUP(MONTH(A390)/3,0))</f>
        <v/>
      </c>
      <c r="C390" s="47" t="n"/>
      <c r="D390" s="47" t="n"/>
      <c r="E390" s="47" t="n"/>
      <c r="F390" s="47" t="n"/>
      <c r="G390" s="48" t="n"/>
      <c r="H390" s="49" t="n"/>
      <c r="I390" s="50">
        <f>IF(G390="","",ROUND(G390*H390,2))</f>
        <v/>
      </c>
      <c r="J390" s="50">
        <f>IF(G390="","",G390+N(I390))</f>
        <v/>
      </c>
      <c r="K390" s="45" t="n"/>
      <c r="L390" s="47" t="n"/>
      <c r="M390" s="48" t="n"/>
      <c r="N390" s="49" t="n"/>
      <c r="O390" s="50">
        <f>IF(M390="","",ROUND(M390*N390,2))</f>
        <v/>
      </c>
      <c r="P390" s="50">
        <f>IF(M390="","",M390+N(O390))</f>
        <v/>
      </c>
      <c r="Q390" s="45" t="n"/>
      <c r="R390" s="45" t="n"/>
      <c r="S390" s="51">
        <f>IF(L390="","",IF(COUNTIF(L$6:L390,L390)&gt;1,"",SUMIF(L$6:L$2000,L390,M$6:M$2000)-SUMIF(L$6:L$2000,L390,G$6:G$2000)))</f>
        <v/>
      </c>
      <c r="T390" s="46">
        <f>IF(AND(C390="",G390=""),"",IF(L390="","Nog factureren",IF(AND(G390&lt;&gt;"",OR(K390="",K390&gt;TODAY())),"Nog betalen",IF(OR(R390="",R390&gt;TODAY()),"Wacht op klant","Afgerond"))))</f>
        <v/>
      </c>
    </row>
    <row r="391">
      <c r="A391" s="45" t="n"/>
      <c r="B391" s="46">
        <f>IF(A391="","",YEAR(A391)&amp;" Q"&amp;ROUNDUP(MONTH(A391)/3,0))</f>
        <v/>
      </c>
      <c r="C391" s="47" t="n"/>
      <c r="D391" s="47" t="n"/>
      <c r="E391" s="47" t="n"/>
      <c r="F391" s="47" t="n"/>
      <c r="G391" s="48" t="n"/>
      <c r="H391" s="49" t="n"/>
      <c r="I391" s="50">
        <f>IF(G391="","",ROUND(G391*H391,2))</f>
        <v/>
      </c>
      <c r="J391" s="50">
        <f>IF(G391="","",G391+N(I391))</f>
        <v/>
      </c>
      <c r="K391" s="45" t="n"/>
      <c r="L391" s="47" t="n"/>
      <c r="M391" s="48" t="n"/>
      <c r="N391" s="49" t="n"/>
      <c r="O391" s="50">
        <f>IF(M391="","",ROUND(M391*N391,2))</f>
        <v/>
      </c>
      <c r="P391" s="50">
        <f>IF(M391="","",M391+N(O391))</f>
        <v/>
      </c>
      <c r="Q391" s="45" t="n"/>
      <c r="R391" s="45" t="n"/>
      <c r="S391" s="51">
        <f>IF(L391="","",IF(COUNTIF(L$6:L391,L391)&gt;1,"",SUMIF(L$6:L$2000,L391,M$6:M$2000)-SUMIF(L$6:L$2000,L391,G$6:G$2000)))</f>
        <v/>
      </c>
      <c r="T391" s="46">
        <f>IF(AND(C391="",G391=""),"",IF(L391="","Nog factureren",IF(AND(G391&lt;&gt;"",OR(K391="",K391&gt;TODAY())),"Nog betalen",IF(OR(R391="",R391&gt;TODAY()),"Wacht op klant","Afgerond"))))</f>
        <v/>
      </c>
    </row>
    <row r="392">
      <c r="A392" s="45" t="n"/>
      <c r="B392" s="46">
        <f>IF(A392="","",YEAR(A392)&amp;" Q"&amp;ROUNDUP(MONTH(A392)/3,0))</f>
        <v/>
      </c>
      <c r="C392" s="47" t="n"/>
      <c r="D392" s="47" t="n"/>
      <c r="E392" s="47" t="n"/>
      <c r="F392" s="47" t="n"/>
      <c r="G392" s="48" t="n"/>
      <c r="H392" s="49" t="n"/>
      <c r="I392" s="50">
        <f>IF(G392="","",ROUND(G392*H392,2))</f>
        <v/>
      </c>
      <c r="J392" s="50">
        <f>IF(G392="","",G392+N(I392))</f>
        <v/>
      </c>
      <c r="K392" s="45" t="n"/>
      <c r="L392" s="47" t="n"/>
      <c r="M392" s="48" t="n"/>
      <c r="N392" s="49" t="n"/>
      <c r="O392" s="50">
        <f>IF(M392="","",ROUND(M392*N392,2))</f>
        <v/>
      </c>
      <c r="P392" s="50">
        <f>IF(M392="","",M392+N(O392))</f>
        <v/>
      </c>
      <c r="Q392" s="45" t="n"/>
      <c r="R392" s="45" t="n"/>
      <c r="S392" s="51">
        <f>IF(L392="","",IF(COUNTIF(L$6:L392,L392)&gt;1,"",SUMIF(L$6:L$2000,L392,M$6:M$2000)-SUMIF(L$6:L$2000,L392,G$6:G$2000)))</f>
        <v/>
      </c>
      <c r="T392" s="46">
        <f>IF(AND(C392="",G392=""),"",IF(L392="","Nog factureren",IF(AND(G392&lt;&gt;"",OR(K392="",K392&gt;TODAY())),"Nog betalen",IF(OR(R392="",R392&gt;TODAY()),"Wacht op klant","Afgerond"))))</f>
        <v/>
      </c>
    </row>
    <row r="393">
      <c r="A393" s="45" t="n"/>
      <c r="B393" s="46">
        <f>IF(A393="","",YEAR(A393)&amp;" Q"&amp;ROUNDUP(MONTH(A393)/3,0))</f>
        <v/>
      </c>
      <c r="C393" s="47" t="n"/>
      <c r="D393" s="47" t="n"/>
      <c r="E393" s="47" t="n"/>
      <c r="F393" s="47" t="n"/>
      <c r="G393" s="48" t="n"/>
      <c r="H393" s="49" t="n"/>
      <c r="I393" s="50">
        <f>IF(G393="","",ROUND(G393*H393,2))</f>
        <v/>
      </c>
      <c r="J393" s="50">
        <f>IF(G393="","",G393+N(I393))</f>
        <v/>
      </c>
      <c r="K393" s="45" t="n"/>
      <c r="L393" s="47" t="n"/>
      <c r="M393" s="48" t="n"/>
      <c r="N393" s="49" t="n"/>
      <c r="O393" s="50">
        <f>IF(M393="","",ROUND(M393*N393,2))</f>
        <v/>
      </c>
      <c r="P393" s="50">
        <f>IF(M393="","",M393+N(O393))</f>
        <v/>
      </c>
      <c r="Q393" s="45" t="n"/>
      <c r="R393" s="45" t="n"/>
      <c r="S393" s="51">
        <f>IF(L393="","",IF(COUNTIF(L$6:L393,L393)&gt;1,"",SUMIF(L$6:L$2000,L393,M$6:M$2000)-SUMIF(L$6:L$2000,L393,G$6:G$2000)))</f>
        <v/>
      </c>
      <c r="T393" s="46">
        <f>IF(AND(C393="",G393=""),"",IF(L393="","Nog factureren",IF(AND(G393&lt;&gt;"",OR(K393="",K393&gt;TODAY())),"Nog betalen",IF(OR(R393="",R393&gt;TODAY()),"Wacht op klant","Afgerond"))))</f>
        <v/>
      </c>
    </row>
    <row r="394">
      <c r="A394" s="45" t="n"/>
      <c r="B394" s="46">
        <f>IF(A394="","",YEAR(A394)&amp;" Q"&amp;ROUNDUP(MONTH(A394)/3,0))</f>
        <v/>
      </c>
      <c r="C394" s="47" t="n"/>
      <c r="D394" s="47" t="n"/>
      <c r="E394" s="47" t="n"/>
      <c r="F394" s="47" t="n"/>
      <c r="G394" s="48" t="n"/>
      <c r="H394" s="49" t="n"/>
      <c r="I394" s="50">
        <f>IF(G394="","",ROUND(G394*H394,2))</f>
        <v/>
      </c>
      <c r="J394" s="50">
        <f>IF(G394="","",G394+N(I394))</f>
        <v/>
      </c>
      <c r="K394" s="45" t="n"/>
      <c r="L394" s="47" t="n"/>
      <c r="M394" s="48" t="n"/>
      <c r="N394" s="49" t="n"/>
      <c r="O394" s="50">
        <f>IF(M394="","",ROUND(M394*N394,2))</f>
        <v/>
      </c>
      <c r="P394" s="50">
        <f>IF(M394="","",M394+N(O394))</f>
        <v/>
      </c>
      <c r="Q394" s="45" t="n"/>
      <c r="R394" s="45" t="n"/>
      <c r="S394" s="51">
        <f>IF(L394="","",IF(COUNTIF(L$6:L394,L394)&gt;1,"",SUMIF(L$6:L$2000,L394,M$6:M$2000)-SUMIF(L$6:L$2000,L394,G$6:G$2000)))</f>
        <v/>
      </c>
      <c r="T394" s="46">
        <f>IF(AND(C394="",G394=""),"",IF(L394="","Nog factureren",IF(AND(G394&lt;&gt;"",OR(K394="",K394&gt;TODAY())),"Nog betalen",IF(OR(R394="",R394&gt;TODAY()),"Wacht op klant","Afgerond"))))</f>
        <v/>
      </c>
    </row>
    <row r="395">
      <c r="A395" s="45" t="n"/>
      <c r="B395" s="46">
        <f>IF(A395="","",YEAR(A395)&amp;" Q"&amp;ROUNDUP(MONTH(A395)/3,0))</f>
        <v/>
      </c>
      <c r="C395" s="47" t="n"/>
      <c r="D395" s="47" t="n"/>
      <c r="E395" s="47" t="n"/>
      <c r="F395" s="47" t="n"/>
      <c r="G395" s="48" t="n"/>
      <c r="H395" s="49" t="n"/>
      <c r="I395" s="50">
        <f>IF(G395="","",ROUND(G395*H395,2))</f>
        <v/>
      </c>
      <c r="J395" s="50">
        <f>IF(G395="","",G395+N(I395))</f>
        <v/>
      </c>
      <c r="K395" s="45" t="n"/>
      <c r="L395" s="47" t="n"/>
      <c r="M395" s="48" t="n"/>
      <c r="N395" s="49" t="n"/>
      <c r="O395" s="50">
        <f>IF(M395="","",ROUND(M395*N395,2))</f>
        <v/>
      </c>
      <c r="P395" s="50">
        <f>IF(M395="","",M395+N(O395))</f>
        <v/>
      </c>
      <c r="Q395" s="45" t="n"/>
      <c r="R395" s="45" t="n"/>
      <c r="S395" s="51">
        <f>IF(L395="","",IF(COUNTIF(L$6:L395,L395)&gt;1,"",SUMIF(L$6:L$2000,L395,M$6:M$2000)-SUMIF(L$6:L$2000,L395,G$6:G$2000)))</f>
        <v/>
      </c>
      <c r="T395" s="46">
        <f>IF(AND(C395="",G395=""),"",IF(L395="","Nog factureren",IF(AND(G395&lt;&gt;"",OR(K395="",K395&gt;TODAY())),"Nog betalen",IF(OR(R395="",R395&gt;TODAY()),"Wacht op klant","Afgerond"))))</f>
        <v/>
      </c>
    </row>
    <row r="396">
      <c r="A396" s="45" t="n"/>
      <c r="B396" s="46">
        <f>IF(A396="","",YEAR(A396)&amp;" Q"&amp;ROUNDUP(MONTH(A396)/3,0))</f>
        <v/>
      </c>
      <c r="C396" s="47" t="n"/>
      <c r="D396" s="47" t="n"/>
      <c r="E396" s="47" t="n"/>
      <c r="F396" s="47" t="n"/>
      <c r="G396" s="48" t="n"/>
      <c r="H396" s="49" t="n"/>
      <c r="I396" s="50">
        <f>IF(G396="","",ROUND(G396*H396,2))</f>
        <v/>
      </c>
      <c r="J396" s="50">
        <f>IF(G396="","",G396+N(I396))</f>
        <v/>
      </c>
      <c r="K396" s="45" t="n"/>
      <c r="L396" s="47" t="n"/>
      <c r="M396" s="48" t="n"/>
      <c r="N396" s="49" t="n"/>
      <c r="O396" s="50">
        <f>IF(M396="","",ROUND(M396*N396,2))</f>
        <v/>
      </c>
      <c r="P396" s="50">
        <f>IF(M396="","",M396+N(O396))</f>
        <v/>
      </c>
      <c r="Q396" s="45" t="n"/>
      <c r="R396" s="45" t="n"/>
      <c r="S396" s="51">
        <f>IF(L396="","",IF(COUNTIF(L$6:L396,L396)&gt;1,"",SUMIF(L$6:L$2000,L396,M$6:M$2000)-SUMIF(L$6:L$2000,L396,G$6:G$2000)))</f>
        <v/>
      </c>
      <c r="T396" s="46">
        <f>IF(AND(C396="",G396=""),"",IF(L396="","Nog factureren",IF(AND(G396&lt;&gt;"",OR(K396="",K396&gt;TODAY())),"Nog betalen",IF(OR(R396="",R396&gt;TODAY()),"Wacht op klant","Afgerond"))))</f>
        <v/>
      </c>
    </row>
    <row r="397">
      <c r="A397" s="45" t="n"/>
      <c r="B397" s="46">
        <f>IF(A397="","",YEAR(A397)&amp;" Q"&amp;ROUNDUP(MONTH(A397)/3,0))</f>
        <v/>
      </c>
      <c r="C397" s="47" t="n"/>
      <c r="D397" s="47" t="n"/>
      <c r="E397" s="47" t="n"/>
      <c r="F397" s="47" t="n"/>
      <c r="G397" s="48" t="n"/>
      <c r="H397" s="49" t="n"/>
      <c r="I397" s="50">
        <f>IF(G397="","",ROUND(G397*H397,2))</f>
        <v/>
      </c>
      <c r="J397" s="50">
        <f>IF(G397="","",G397+N(I397))</f>
        <v/>
      </c>
      <c r="K397" s="45" t="n"/>
      <c r="L397" s="47" t="n"/>
      <c r="M397" s="48" t="n"/>
      <c r="N397" s="49" t="n"/>
      <c r="O397" s="50">
        <f>IF(M397="","",ROUND(M397*N397,2))</f>
        <v/>
      </c>
      <c r="P397" s="50">
        <f>IF(M397="","",M397+N(O397))</f>
        <v/>
      </c>
      <c r="Q397" s="45" t="n"/>
      <c r="R397" s="45" t="n"/>
      <c r="S397" s="51">
        <f>IF(L397="","",IF(COUNTIF(L$6:L397,L397)&gt;1,"",SUMIF(L$6:L$2000,L397,M$6:M$2000)-SUMIF(L$6:L$2000,L397,G$6:G$2000)))</f>
        <v/>
      </c>
      <c r="T397" s="46">
        <f>IF(AND(C397="",G397=""),"",IF(L397="","Nog factureren",IF(AND(G397&lt;&gt;"",OR(K397="",K397&gt;TODAY())),"Nog betalen",IF(OR(R397="",R397&gt;TODAY()),"Wacht op klant","Afgerond"))))</f>
        <v/>
      </c>
    </row>
    <row r="398">
      <c r="A398" s="45" t="n"/>
      <c r="B398" s="46">
        <f>IF(A398="","",YEAR(A398)&amp;" Q"&amp;ROUNDUP(MONTH(A398)/3,0))</f>
        <v/>
      </c>
      <c r="C398" s="47" t="n"/>
      <c r="D398" s="47" t="n"/>
      <c r="E398" s="47" t="n"/>
      <c r="F398" s="47" t="n"/>
      <c r="G398" s="48" t="n"/>
      <c r="H398" s="49" t="n"/>
      <c r="I398" s="50">
        <f>IF(G398="","",ROUND(G398*H398,2))</f>
        <v/>
      </c>
      <c r="J398" s="50">
        <f>IF(G398="","",G398+N(I398))</f>
        <v/>
      </c>
      <c r="K398" s="45" t="n"/>
      <c r="L398" s="47" t="n"/>
      <c r="M398" s="48" t="n"/>
      <c r="N398" s="49" t="n"/>
      <c r="O398" s="50">
        <f>IF(M398="","",ROUND(M398*N398,2))</f>
        <v/>
      </c>
      <c r="P398" s="50">
        <f>IF(M398="","",M398+N(O398))</f>
        <v/>
      </c>
      <c r="Q398" s="45" t="n"/>
      <c r="R398" s="45" t="n"/>
      <c r="S398" s="51">
        <f>IF(L398="","",IF(COUNTIF(L$6:L398,L398)&gt;1,"",SUMIF(L$6:L$2000,L398,M$6:M$2000)-SUMIF(L$6:L$2000,L398,G$6:G$2000)))</f>
        <v/>
      </c>
      <c r="T398" s="46">
        <f>IF(AND(C398="",G398=""),"",IF(L398="","Nog factureren",IF(AND(G398&lt;&gt;"",OR(K398="",K398&gt;TODAY())),"Nog betalen",IF(OR(R398="",R398&gt;TODAY()),"Wacht op klant","Afgerond"))))</f>
        <v/>
      </c>
    </row>
    <row r="399">
      <c r="A399" s="45" t="n"/>
      <c r="B399" s="46">
        <f>IF(A399="","",YEAR(A399)&amp;" Q"&amp;ROUNDUP(MONTH(A399)/3,0))</f>
        <v/>
      </c>
      <c r="C399" s="47" t="n"/>
      <c r="D399" s="47" t="n"/>
      <c r="E399" s="47" t="n"/>
      <c r="F399" s="47" t="n"/>
      <c r="G399" s="48" t="n"/>
      <c r="H399" s="49" t="n"/>
      <c r="I399" s="50">
        <f>IF(G399="","",ROUND(G399*H399,2))</f>
        <v/>
      </c>
      <c r="J399" s="50">
        <f>IF(G399="","",G399+N(I399))</f>
        <v/>
      </c>
      <c r="K399" s="45" t="n"/>
      <c r="L399" s="47" t="n"/>
      <c r="M399" s="48" t="n"/>
      <c r="N399" s="49" t="n"/>
      <c r="O399" s="50">
        <f>IF(M399="","",ROUND(M399*N399,2))</f>
        <v/>
      </c>
      <c r="P399" s="50">
        <f>IF(M399="","",M399+N(O399))</f>
        <v/>
      </c>
      <c r="Q399" s="45" t="n"/>
      <c r="R399" s="45" t="n"/>
      <c r="S399" s="51">
        <f>IF(L399="","",IF(COUNTIF(L$6:L399,L399)&gt;1,"",SUMIF(L$6:L$2000,L399,M$6:M$2000)-SUMIF(L$6:L$2000,L399,G$6:G$2000)))</f>
        <v/>
      </c>
      <c r="T399" s="46">
        <f>IF(AND(C399="",G399=""),"",IF(L399="","Nog factureren",IF(AND(G399&lt;&gt;"",OR(K399="",K399&gt;TODAY())),"Nog betalen",IF(OR(R399="",R399&gt;TODAY()),"Wacht op klant","Afgerond"))))</f>
        <v/>
      </c>
    </row>
    <row r="400">
      <c r="A400" s="45" t="n"/>
      <c r="B400" s="46">
        <f>IF(A400="","",YEAR(A400)&amp;" Q"&amp;ROUNDUP(MONTH(A400)/3,0))</f>
        <v/>
      </c>
      <c r="C400" s="47" t="n"/>
      <c r="D400" s="47" t="n"/>
      <c r="E400" s="47" t="n"/>
      <c r="F400" s="47" t="n"/>
      <c r="G400" s="48" t="n"/>
      <c r="H400" s="49" t="n"/>
      <c r="I400" s="50">
        <f>IF(G400="","",ROUND(G400*H400,2))</f>
        <v/>
      </c>
      <c r="J400" s="50">
        <f>IF(G400="","",G400+N(I400))</f>
        <v/>
      </c>
      <c r="K400" s="45" t="n"/>
      <c r="L400" s="47" t="n"/>
      <c r="M400" s="48" t="n"/>
      <c r="N400" s="49" t="n"/>
      <c r="O400" s="50">
        <f>IF(M400="","",ROUND(M400*N400,2))</f>
        <v/>
      </c>
      <c r="P400" s="50">
        <f>IF(M400="","",M400+N(O400))</f>
        <v/>
      </c>
      <c r="Q400" s="45" t="n"/>
      <c r="R400" s="45" t="n"/>
      <c r="S400" s="51">
        <f>IF(L400="","",IF(COUNTIF(L$6:L400,L400)&gt;1,"",SUMIF(L$6:L$2000,L400,M$6:M$2000)-SUMIF(L$6:L$2000,L400,G$6:G$2000)))</f>
        <v/>
      </c>
      <c r="T400" s="46">
        <f>IF(AND(C400="",G400=""),"",IF(L400="","Nog factureren",IF(AND(G400&lt;&gt;"",OR(K400="",K400&gt;TODAY())),"Nog betalen",IF(OR(R400="",R400&gt;TODAY()),"Wacht op klant","Afgerond"))))</f>
        <v/>
      </c>
    </row>
    <row r="401">
      <c r="A401" s="45" t="n"/>
      <c r="B401" s="46">
        <f>IF(A401="","",YEAR(A401)&amp;" Q"&amp;ROUNDUP(MONTH(A401)/3,0))</f>
        <v/>
      </c>
      <c r="C401" s="47" t="n"/>
      <c r="D401" s="47" t="n"/>
      <c r="E401" s="47" t="n"/>
      <c r="F401" s="47" t="n"/>
      <c r="G401" s="48" t="n"/>
      <c r="H401" s="49" t="n"/>
      <c r="I401" s="50">
        <f>IF(G401="","",ROUND(G401*H401,2))</f>
        <v/>
      </c>
      <c r="J401" s="50">
        <f>IF(G401="","",G401+N(I401))</f>
        <v/>
      </c>
      <c r="K401" s="45" t="n"/>
      <c r="L401" s="47" t="n"/>
      <c r="M401" s="48" t="n"/>
      <c r="N401" s="49" t="n"/>
      <c r="O401" s="50">
        <f>IF(M401="","",ROUND(M401*N401,2))</f>
        <v/>
      </c>
      <c r="P401" s="50">
        <f>IF(M401="","",M401+N(O401))</f>
        <v/>
      </c>
      <c r="Q401" s="45" t="n"/>
      <c r="R401" s="45" t="n"/>
      <c r="S401" s="51">
        <f>IF(L401="","",IF(COUNTIF(L$6:L401,L401)&gt;1,"",SUMIF(L$6:L$2000,L401,M$6:M$2000)-SUMIF(L$6:L$2000,L401,G$6:G$2000)))</f>
        <v/>
      </c>
      <c r="T401" s="46">
        <f>IF(AND(C401="",G401=""),"",IF(L401="","Nog factureren",IF(AND(G401&lt;&gt;"",OR(K401="",K401&gt;TODAY())),"Nog betalen",IF(OR(R401="",R401&gt;TODAY()),"Wacht op klant","Afgerond"))))</f>
        <v/>
      </c>
    </row>
    <row r="402">
      <c r="A402" s="45" t="n"/>
      <c r="B402" s="46">
        <f>IF(A402="","",YEAR(A402)&amp;" Q"&amp;ROUNDUP(MONTH(A402)/3,0))</f>
        <v/>
      </c>
      <c r="C402" s="47" t="n"/>
      <c r="D402" s="47" t="n"/>
      <c r="E402" s="47" t="n"/>
      <c r="F402" s="47" t="n"/>
      <c r="G402" s="48" t="n"/>
      <c r="H402" s="49" t="n"/>
      <c r="I402" s="50">
        <f>IF(G402="","",ROUND(G402*H402,2))</f>
        <v/>
      </c>
      <c r="J402" s="50">
        <f>IF(G402="","",G402+N(I402))</f>
        <v/>
      </c>
      <c r="K402" s="45" t="n"/>
      <c r="L402" s="47" t="n"/>
      <c r="M402" s="48" t="n"/>
      <c r="N402" s="49" t="n"/>
      <c r="O402" s="50">
        <f>IF(M402="","",ROUND(M402*N402,2))</f>
        <v/>
      </c>
      <c r="P402" s="50">
        <f>IF(M402="","",M402+N(O402))</f>
        <v/>
      </c>
      <c r="Q402" s="45" t="n"/>
      <c r="R402" s="45" t="n"/>
      <c r="S402" s="51">
        <f>IF(L402="","",IF(COUNTIF(L$6:L402,L402)&gt;1,"",SUMIF(L$6:L$2000,L402,M$6:M$2000)-SUMIF(L$6:L$2000,L402,G$6:G$2000)))</f>
        <v/>
      </c>
      <c r="T402" s="46">
        <f>IF(AND(C402="",G402=""),"",IF(L402="","Nog factureren",IF(AND(G402&lt;&gt;"",OR(K402="",K402&gt;TODAY())),"Nog betalen",IF(OR(R402="",R402&gt;TODAY()),"Wacht op klant","Afgerond"))))</f>
        <v/>
      </c>
    </row>
    <row r="403">
      <c r="A403" s="45" t="n"/>
      <c r="B403" s="46">
        <f>IF(A403="","",YEAR(A403)&amp;" Q"&amp;ROUNDUP(MONTH(A403)/3,0))</f>
        <v/>
      </c>
      <c r="C403" s="47" t="n"/>
      <c r="D403" s="47" t="n"/>
      <c r="E403" s="47" t="n"/>
      <c r="F403" s="47" t="n"/>
      <c r="G403" s="48" t="n"/>
      <c r="H403" s="49" t="n"/>
      <c r="I403" s="50">
        <f>IF(G403="","",ROUND(G403*H403,2))</f>
        <v/>
      </c>
      <c r="J403" s="50">
        <f>IF(G403="","",G403+N(I403))</f>
        <v/>
      </c>
      <c r="K403" s="45" t="n"/>
      <c r="L403" s="47" t="n"/>
      <c r="M403" s="48" t="n"/>
      <c r="N403" s="49" t="n"/>
      <c r="O403" s="50">
        <f>IF(M403="","",ROUND(M403*N403,2))</f>
        <v/>
      </c>
      <c r="P403" s="50">
        <f>IF(M403="","",M403+N(O403))</f>
        <v/>
      </c>
      <c r="Q403" s="45" t="n"/>
      <c r="R403" s="45" t="n"/>
      <c r="S403" s="51">
        <f>IF(L403="","",IF(COUNTIF(L$6:L403,L403)&gt;1,"",SUMIF(L$6:L$2000,L403,M$6:M$2000)-SUMIF(L$6:L$2000,L403,G$6:G$2000)))</f>
        <v/>
      </c>
      <c r="T403" s="46">
        <f>IF(AND(C403="",G403=""),"",IF(L403="","Nog factureren",IF(AND(G403&lt;&gt;"",OR(K403="",K403&gt;TODAY())),"Nog betalen",IF(OR(R403="",R403&gt;TODAY()),"Wacht op klant","Afgerond"))))</f>
        <v/>
      </c>
    </row>
    <row r="404">
      <c r="A404" s="45" t="n"/>
      <c r="B404" s="46">
        <f>IF(A404="","",YEAR(A404)&amp;" Q"&amp;ROUNDUP(MONTH(A404)/3,0))</f>
        <v/>
      </c>
      <c r="C404" s="47" t="n"/>
      <c r="D404" s="47" t="n"/>
      <c r="E404" s="47" t="n"/>
      <c r="F404" s="47" t="n"/>
      <c r="G404" s="48" t="n"/>
      <c r="H404" s="49" t="n"/>
      <c r="I404" s="50">
        <f>IF(G404="","",ROUND(G404*H404,2))</f>
        <v/>
      </c>
      <c r="J404" s="50">
        <f>IF(G404="","",G404+N(I404))</f>
        <v/>
      </c>
      <c r="K404" s="45" t="n"/>
      <c r="L404" s="47" t="n"/>
      <c r="M404" s="48" t="n"/>
      <c r="N404" s="49" t="n"/>
      <c r="O404" s="50">
        <f>IF(M404="","",ROUND(M404*N404,2))</f>
        <v/>
      </c>
      <c r="P404" s="50">
        <f>IF(M404="","",M404+N(O404))</f>
        <v/>
      </c>
      <c r="Q404" s="45" t="n"/>
      <c r="R404" s="45" t="n"/>
      <c r="S404" s="51">
        <f>IF(L404="","",IF(COUNTIF(L$6:L404,L404)&gt;1,"",SUMIF(L$6:L$2000,L404,M$6:M$2000)-SUMIF(L$6:L$2000,L404,G$6:G$2000)))</f>
        <v/>
      </c>
      <c r="T404" s="46">
        <f>IF(AND(C404="",G404=""),"",IF(L404="","Nog factureren",IF(AND(G404&lt;&gt;"",OR(K404="",K404&gt;TODAY())),"Nog betalen",IF(OR(R404="",R404&gt;TODAY()),"Wacht op klant","Afgerond"))))</f>
        <v/>
      </c>
    </row>
    <row r="405">
      <c r="A405" s="45" t="n"/>
      <c r="B405" s="46">
        <f>IF(A405="","",YEAR(A405)&amp;" Q"&amp;ROUNDUP(MONTH(A405)/3,0))</f>
        <v/>
      </c>
      <c r="C405" s="47" t="n"/>
      <c r="D405" s="47" t="n"/>
      <c r="E405" s="47" t="n"/>
      <c r="F405" s="47" t="n"/>
      <c r="G405" s="48" t="n"/>
      <c r="H405" s="49" t="n"/>
      <c r="I405" s="50">
        <f>IF(G405="","",ROUND(G405*H405,2))</f>
        <v/>
      </c>
      <c r="J405" s="50">
        <f>IF(G405="","",G405+N(I405))</f>
        <v/>
      </c>
      <c r="K405" s="45" t="n"/>
      <c r="L405" s="47" t="n"/>
      <c r="M405" s="48" t="n"/>
      <c r="N405" s="49" t="n"/>
      <c r="O405" s="50">
        <f>IF(M405="","",ROUND(M405*N405,2))</f>
        <v/>
      </c>
      <c r="P405" s="50">
        <f>IF(M405="","",M405+N(O405))</f>
        <v/>
      </c>
      <c r="Q405" s="45" t="n"/>
      <c r="R405" s="45" t="n"/>
      <c r="S405" s="51">
        <f>IF(L405="","",IF(COUNTIF(L$6:L405,L405)&gt;1,"",SUMIF(L$6:L$2000,L405,M$6:M$2000)-SUMIF(L$6:L$2000,L405,G$6:G$2000)))</f>
        <v/>
      </c>
      <c r="T405" s="46">
        <f>IF(AND(C405="",G405=""),"",IF(L405="","Nog factureren",IF(AND(G405&lt;&gt;"",OR(K405="",K405&gt;TODAY())),"Nog betalen",IF(OR(R405="",R405&gt;TODAY()),"Wacht op klant","Afgerond"))))</f>
        <v/>
      </c>
    </row>
    <row r="406">
      <c r="A406" s="45" t="n"/>
      <c r="B406" s="46">
        <f>IF(A406="","",YEAR(A406)&amp;" Q"&amp;ROUNDUP(MONTH(A406)/3,0))</f>
        <v/>
      </c>
      <c r="C406" s="47" t="n"/>
      <c r="D406" s="47" t="n"/>
      <c r="E406" s="47" t="n"/>
      <c r="F406" s="47" t="n"/>
      <c r="G406" s="48" t="n"/>
      <c r="H406" s="49" t="n"/>
      <c r="I406" s="50">
        <f>IF(G406="","",ROUND(G406*H406,2))</f>
        <v/>
      </c>
      <c r="J406" s="50">
        <f>IF(G406="","",G406+N(I406))</f>
        <v/>
      </c>
      <c r="K406" s="45" t="n"/>
      <c r="L406" s="47" t="n"/>
      <c r="M406" s="48" t="n"/>
      <c r="N406" s="49" t="n"/>
      <c r="O406" s="50">
        <f>IF(M406="","",ROUND(M406*N406,2))</f>
        <v/>
      </c>
      <c r="P406" s="50">
        <f>IF(M406="","",M406+N(O406))</f>
        <v/>
      </c>
      <c r="Q406" s="45" t="n"/>
      <c r="R406" s="45" t="n"/>
      <c r="S406" s="51">
        <f>IF(L406="","",IF(COUNTIF(L$6:L406,L406)&gt;1,"",SUMIF(L$6:L$2000,L406,M$6:M$2000)-SUMIF(L$6:L$2000,L406,G$6:G$2000)))</f>
        <v/>
      </c>
      <c r="T406" s="46">
        <f>IF(AND(C406="",G406=""),"",IF(L406="","Nog factureren",IF(AND(G406&lt;&gt;"",OR(K406="",K406&gt;TODAY())),"Nog betalen",IF(OR(R406="",R406&gt;TODAY()),"Wacht op klant","Afgerond"))))</f>
        <v/>
      </c>
    </row>
    <row r="407">
      <c r="A407" s="45" t="n"/>
      <c r="B407" s="46">
        <f>IF(A407="","",YEAR(A407)&amp;" Q"&amp;ROUNDUP(MONTH(A407)/3,0))</f>
        <v/>
      </c>
      <c r="C407" s="47" t="n"/>
      <c r="D407" s="47" t="n"/>
      <c r="E407" s="47" t="n"/>
      <c r="F407" s="47" t="n"/>
      <c r="G407" s="48" t="n"/>
      <c r="H407" s="49" t="n"/>
      <c r="I407" s="50">
        <f>IF(G407="","",ROUND(G407*H407,2))</f>
        <v/>
      </c>
      <c r="J407" s="50">
        <f>IF(G407="","",G407+N(I407))</f>
        <v/>
      </c>
      <c r="K407" s="45" t="n"/>
      <c r="L407" s="47" t="n"/>
      <c r="M407" s="48" t="n"/>
      <c r="N407" s="49" t="n"/>
      <c r="O407" s="50">
        <f>IF(M407="","",ROUND(M407*N407,2))</f>
        <v/>
      </c>
      <c r="P407" s="50">
        <f>IF(M407="","",M407+N(O407))</f>
        <v/>
      </c>
      <c r="Q407" s="45" t="n"/>
      <c r="R407" s="45" t="n"/>
      <c r="S407" s="51">
        <f>IF(L407="","",IF(COUNTIF(L$6:L407,L407)&gt;1,"",SUMIF(L$6:L$2000,L407,M$6:M$2000)-SUMIF(L$6:L$2000,L407,G$6:G$2000)))</f>
        <v/>
      </c>
      <c r="T407" s="46">
        <f>IF(AND(C407="",G407=""),"",IF(L407="","Nog factureren",IF(AND(G407&lt;&gt;"",OR(K407="",K407&gt;TODAY())),"Nog betalen",IF(OR(R407="",R407&gt;TODAY()),"Wacht op klant","Afgerond"))))</f>
        <v/>
      </c>
    </row>
    <row r="408">
      <c r="A408" s="45" t="n"/>
      <c r="B408" s="46">
        <f>IF(A408="","",YEAR(A408)&amp;" Q"&amp;ROUNDUP(MONTH(A408)/3,0))</f>
        <v/>
      </c>
      <c r="C408" s="47" t="n"/>
      <c r="D408" s="47" t="n"/>
      <c r="E408" s="47" t="n"/>
      <c r="F408" s="47" t="n"/>
      <c r="G408" s="48" t="n"/>
      <c r="H408" s="49" t="n"/>
      <c r="I408" s="50">
        <f>IF(G408="","",ROUND(G408*H408,2))</f>
        <v/>
      </c>
      <c r="J408" s="50">
        <f>IF(G408="","",G408+N(I408))</f>
        <v/>
      </c>
      <c r="K408" s="45" t="n"/>
      <c r="L408" s="47" t="n"/>
      <c r="M408" s="48" t="n"/>
      <c r="N408" s="49" t="n"/>
      <c r="O408" s="50">
        <f>IF(M408="","",ROUND(M408*N408,2))</f>
        <v/>
      </c>
      <c r="P408" s="50">
        <f>IF(M408="","",M408+N(O408))</f>
        <v/>
      </c>
      <c r="Q408" s="45" t="n"/>
      <c r="R408" s="45" t="n"/>
      <c r="S408" s="51">
        <f>IF(L408="","",IF(COUNTIF(L$6:L408,L408)&gt;1,"",SUMIF(L$6:L$2000,L408,M$6:M$2000)-SUMIF(L$6:L$2000,L408,G$6:G$2000)))</f>
        <v/>
      </c>
      <c r="T408" s="46">
        <f>IF(AND(C408="",G408=""),"",IF(L408="","Nog factureren",IF(AND(G408&lt;&gt;"",OR(K408="",K408&gt;TODAY())),"Nog betalen",IF(OR(R408="",R408&gt;TODAY()),"Wacht op klant","Afgerond"))))</f>
        <v/>
      </c>
    </row>
    <row r="409">
      <c r="A409" s="45" t="n"/>
      <c r="B409" s="46">
        <f>IF(A409="","",YEAR(A409)&amp;" Q"&amp;ROUNDUP(MONTH(A409)/3,0))</f>
        <v/>
      </c>
      <c r="C409" s="47" t="n"/>
      <c r="D409" s="47" t="n"/>
      <c r="E409" s="47" t="n"/>
      <c r="F409" s="47" t="n"/>
      <c r="G409" s="48" t="n"/>
      <c r="H409" s="49" t="n"/>
      <c r="I409" s="50">
        <f>IF(G409="","",ROUND(G409*H409,2))</f>
        <v/>
      </c>
      <c r="J409" s="50">
        <f>IF(G409="","",G409+N(I409))</f>
        <v/>
      </c>
      <c r="K409" s="45" t="n"/>
      <c r="L409" s="47" t="n"/>
      <c r="M409" s="48" t="n"/>
      <c r="N409" s="49" t="n"/>
      <c r="O409" s="50">
        <f>IF(M409="","",ROUND(M409*N409,2))</f>
        <v/>
      </c>
      <c r="P409" s="50">
        <f>IF(M409="","",M409+N(O409))</f>
        <v/>
      </c>
      <c r="Q409" s="45" t="n"/>
      <c r="R409" s="45" t="n"/>
      <c r="S409" s="51">
        <f>IF(L409="","",IF(COUNTIF(L$6:L409,L409)&gt;1,"",SUMIF(L$6:L$2000,L409,M$6:M$2000)-SUMIF(L$6:L$2000,L409,G$6:G$2000)))</f>
        <v/>
      </c>
      <c r="T409" s="46">
        <f>IF(AND(C409="",G409=""),"",IF(L409="","Nog factureren",IF(AND(G409&lt;&gt;"",OR(K409="",K409&gt;TODAY())),"Nog betalen",IF(OR(R409="",R409&gt;TODAY()),"Wacht op klant","Afgerond"))))</f>
        <v/>
      </c>
    </row>
    <row r="410">
      <c r="A410" s="45" t="n"/>
      <c r="B410" s="46">
        <f>IF(A410="","",YEAR(A410)&amp;" Q"&amp;ROUNDUP(MONTH(A410)/3,0))</f>
        <v/>
      </c>
      <c r="C410" s="47" t="n"/>
      <c r="D410" s="47" t="n"/>
      <c r="E410" s="47" t="n"/>
      <c r="F410" s="47" t="n"/>
      <c r="G410" s="48" t="n"/>
      <c r="H410" s="49" t="n"/>
      <c r="I410" s="50">
        <f>IF(G410="","",ROUND(G410*H410,2))</f>
        <v/>
      </c>
      <c r="J410" s="50">
        <f>IF(G410="","",G410+N(I410))</f>
        <v/>
      </c>
      <c r="K410" s="45" t="n"/>
      <c r="L410" s="47" t="n"/>
      <c r="M410" s="48" t="n"/>
      <c r="N410" s="49" t="n"/>
      <c r="O410" s="50">
        <f>IF(M410="","",ROUND(M410*N410,2))</f>
        <v/>
      </c>
      <c r="P410" s="50">
        <f>IF(M410="","",M410+N(O410))</f>
        <v/>
      </c>
      <c r="Q410" s="45" t="n"/>
      <c r="R410" s="45" t="n"/>
      <c r="S410" s="51">
        <f>IF(L410="","",IF(COUNTIF(L$6:L410,L410)&gt;1,"",SUMIF(L$6:L$2000,L410,M$6:M$2000)-SUMIF(L$6:L$2000,L410,G$6:G$2000)))</f>
        <v/>
      </c>
      <c r="T410" s="46">
        <f>IF(AND(C410="",G410=""),"",IF(L410="","Nog factureren",IF(AND(G410&lt;&gt;"",OR(K410="",K410&gt;TODAY())),"Nog betalen",IF(OR(R410="",R410&gt;TODAY()),"Wacht op klant","Afgerond"))))</f>
        <v/>
      </c>
    </row>
    <row r="411">
      <c r="A411" s="45" t="n"/>
      <c r="B411" s="46">
        <f>IF(A411="","",YEAR(A411)&amp;" Q"&amp;ROUNDUP(MONTH(A411)/3,0))</f>
        <v/>
      </c>
      <c r="C411" s="47" t="n"/>
      <c r="D411" s="47" t="n"/>
      <c r="E411" s="47" t="n"/>
      <c r="F411" s="47" t="n"/>
      <c r="G411" s="48" t="n"/>
      <c r="H411" s="49" t="n"/>
      <c r="I411" s="50">
        <f>IF(G411="","",ROUND(G411*H411,2))</f>
        <v/>
      </c>
      <c r="J411" s="50">
        <f>IF(G411="","",G411+N(I411))</f>
        <v/>
      </c>
      <c r="K411" s="45" t="n"/>
      <c r="L411" s="47" t="n"/>
      <c r="M411" s="48" t="n"/>
      <c r="N411" s="49" t="n"/>
      <c r="O411" s="50">
        <f>IF(M411="","",ROUND(M411*N411,2))</f>
        <v/>
      </c>
      <c r="P411" s="50">
        <f>IF(M411="","",M411+N(O411))</f>
        <v/>
      </c>
      <c r="Q411" s="45" t="n"/>
      <c r="R411" s="45" t="n"/>
      <c r="S411" s="51">
        <f>IF(L411="","",IF(COUNTIF(L$6:L411,L411)&gt;1,"",SUMIF(L$6:L$2000,L411,M$6:M$2000)-SUMIF(L$6:L$2000,L411,G$6:G$2000)))</f>
        <v/>
      </c>
      <c r="T411" s="46">
        <f>IF(AND(C411="",G411=""),"",IF(L411="","Nog factureren",IF(AND(G411&lt;&gt;"",OR(K411="",K411&gt;TODAY())),"Nog betalen",IF(OR(R411="",R411&gt;TODAY()),"Wacht op klant","Afgerond"))))</f>
        <v/>
      </c>
    </row>
    <row r="412">
      <c r="A412" s="45" t="n"/>
      <c r="B412" s="46">
        <f>IF(A412="","",YEAR(A412)&amp;" Q"&amp;ROUNDUP(MONTH(A412)/3,0))</f>
        <v/>
      </c>
      <c r="C412" s="47" t="n"/>
      <c r="D412" s="47" t="n"/>
      <c r="E412" s="47" t="n"/>
      <c r="F412" s="47" t="n"/>
      <c r="G412" s="48" t="n"/>
      <c r="H412" s="49" t="n"/>
      <c r="I412" s="50">
        <f>IF(G412="","",ROUND(G412*H412,2))</f>
        <v/>
      </c>
      <c r="J412" s="50">
        <f>IF(G412="","",G412+N(I412))</f>
        <v/>
      </c>
      <c r="K412" s="45" t="n"/>
      <c r="L412" s="47" t="n"/>
      <c r="M412" s="48" t="n"/>
      <c r="N412" s="49" t="n"/>
      <c r="O412" s="50">
        <f>IF(M412="","",ROUND(M412*N412,2))</f>
        <v/>
      </c>
      <c r="P412" s="50">
        <f>IF(M412="","",M412+N(O412))</f>
        <v/>
      </c>
      <c r="Q412" s="45" t="n"/>
      <c r="R412" s="45" t="n"/>
      <c r="S412" s="51">
        <f>IF(L412="","",IF(COUNTIF(L$6:L412,L412)&gt;1,"",SUMIF(L$6:L$2000,L412,M$6:M$2000)-SUMIF(L$6:L$2000,L412,G$6:G$2000)))</f>
        <v/>
      </c>
      <c r="T412" s="46">
        <f>IF(AND(C412="",G412=""),"",IF(L412="","Nog factureren",IF(AND(G412&lt;&gt;"",OR(K412="",K412&gt;TODAY())),"Nog betalen",IF(OR(R412="",R412&gt;TODAY()),"Wacht op klant","Afgerond"))))</f>
        <v/>
      </c>
    </row>
    <row r="413">
      <c r="A413" s="45" t="n"/>
      <c r="B413" s="46">
        <f>IF(A413="","",YEAR(A413)&amp;" Q"&amp;ROUNDUP(MONTH(A413)/3,0))</f>
        <v/>
      </c>
      <c r="C413" s="47" t="n"/>
      <c r="D413" s="47" t="n"/>
      <c r="E413" s="47" t="n"/>
      <c r="F413" s="47" t="n"/>
      <c r="G413" s="48" t="n"/>
      <c r="H413" s="49" t="n"/>
      <c r="I413" s="50">
        <f>IF(G413="","",ROUND(G413*H413,2))</f>
        <v/>
      </c>
      <c r="J413" s="50">
        <f>IF(G413="","",G413+N(I413))</f>
        <v/>
      </c>
      <c r="K413" s="45" t="n"/>
      <c r="L413" s="47" t="n"/>
      <c r="M413" s="48" t="n"/>
      <c r="N413" s="49" t="n"/>
      <c r="O413" s="50">
        <f>IF(M413="","",ROUND(M413*N413,2))</f>
        <v/>
      </c>
      <c r="P413" s="50">
        <f>IF(M413="","",M413+N(O413))</f>
        <v/>
      </c>
      <c r="Q413" s="45" t="n"/>
      <c r="R413" s="45" t="n"/>
      <c r="S413" s="51">
        <f>IF(L413="","",IF(COUNTIF(L$6:L413,L413)&gt;1,"",SUMIF(L$6:L$2000,L413,M$6:M$2000)-SUMIF(L$6:L$2000,L413,G$6:G$2000)))</f>
        <v/>
      </c>
      <c r="T413" s="46">
        <f>IF(AND(C413="",G413=""),"",IF(L413="","Nog factureren",IF(AND(G413&lt;&gt;"",OR(K413="",K413&gt;TODAY())),"Nog betalen",IF(OR(R413="",R413&gt;TODAY()),"Wacht op klant","Afgerond"))))</f>
        <v/>
      </c>
    </row>
    <row r="414">
      <c r="A414" s="45" t="n"/>
      <c r="B414" s="46">
        <f>IF(A414="","",YEAR(A414)&amp;" Q"&amp;ROUNDUP(MONTH(A414)/3,0))</f>
        <v/>
      </c>
      <c r="C414" s="47" t="n"/>
      <c r="D414" s="47" t="n"/>
      <c r="E414" s="47" t="n"/>
      <c r="F414" s="47" t="n"/>
      <c r="G414" s="48" t="n"/>
      <c r="H414" s="49" t="n"/>
      <c r="I414" s="50">
        <f>IF(G414="","",ROUND(G414*H414,2))</f>
        <v/>
      </c>
      <c r="J414" s="50">
        <f>IF(G414="","",G414+N(I414))</f>
        <v/>
      </c>
      <c r="K414" s="45" t="n"/>
      <c r="L414" s="47" t="n"/>
      <c r="M414" s="48" t="n"/>
      <c r="N414" s="49" t="n"/>
      <c r="O414" s="50">
        <f>IF(M414="","",ROUND(M414*N414,2))</f>
        <v/>
      </c>
      <c r="P414" s="50">
        <f>IF(M414="","",M414+N(O414))</f>
        <v/>
      </c>
      <c r="Q414" s="45" t="n"/>
      <c r="R414" s="45" t="n"/>
      <c r="S414" s="51">
        <f>IF(L414="","",IF(COUNTIF(L$6:L414,L414)&gt;1,"",SUMIF(L$6:L$2000,L414,M$6:M$2000)-SUMIF(L$6:L$2000,L414,G$6:G$2000)))</f>
        <v/>
      </c>
      <c r="T414" s="46">
        <f>IF(AND(C414="",G414=""),"",IF(L414="","Nog factureren",IF(AND(G414&lt;&gt;"",OR(K414="",K414&gt;TODAY())),"Nog betalen",IF(OR(R414="",R414&gt;TODAY()),"Wacht op klant","Afgerond"))))</f>
        <v/>
      </c>
    </row>
    <row r="415">
      <c r="A415" s="45" t="n"/>
      <c r="B415" s="46">
        <f>IF(A415="","",YEAR(A415)&amp;" Q"&amp;ROUNDUP(MONTH(A415)/3,0))</f>
        <v/>
      </c>
      <c r="C415" s="47" t="n"/>
      <c r="D415" s="47" t="n"/>
      <c r="E415" s="47" t="n"/>
      <c r="F415" s="47" t="n"/>
      <c r="G415" s="48" t="n"/>
      <c r="H415" s="49" t="n"/>
      <c r="I415" s="50">
        <f>IF(G415="","",ROUND(G415*H415,2))</f>
        <v/>
      </c>
      <c r="J415" s="50">
        <f>IF(G415="","",G415+N(I415))</f>
        <v/>
      </c>
      <c r="K415" s="45" t="n"/>
      <c r="L415" s="47" t="n"/>
      <c r="M415" s="48" t="n"/>
      <c r="N415" s="49" t="n"/>
      <c r="O415" s="50">
        <f>IF(M415="","",ROUND(M415*N415,2))</f>
        <v/>
      </c>
      <c r="P415" s="50">
        <f>IF(M415="","",M415+N(O415))</f>
        <v/>
      </c>
      <c r="Q415" s="45" t="n"/>
      <c r="R415" s="45" t="n"/>
      <c r="S415" s="51">
        <f>IF(L415="","",IF(COUNTIF(L$6:L415,L415)&gt;1,"",SUMIF(L$6:L$2000,L415,M$6:M$2000)-SUMIF(L$6:L$2000,L415,G$6:G$2000)))</f>
        <v/>
      </c>
      <c r="T415" s="46">
        <f>IF(AND(C415="",G415=""),"",IF(L415="","Nog factureren",IF(AND(G415&lt;&gt;"",OR(K415="",K415&gt;TODAY())),"Nog betalen",IF(OR(R415="",R415&gt;TODAY()),"Wacht op klant","Afgerond"))))</f>
        <v/>
      </c>
    </row>
    <row r="416">
      <c r="A416" s="45" t="n"/>
      <c r="B416" s="46">
        <f>IF(A416="","",YEAR(A416)&amp;" Q"&amp;ROUNDUP(MONTH(A416)/3,0))</f>
        <v/>
      </c>
      <c r="C416" s="47" t="n"/>
      <c r="D416" s="47" t="n"/>
      <c r="E416" s="47" t="n"/>
      <c r="F416" s="47" t="n"/>
      <c r="G416" s="48" t="n"/>
      <c r="H416" s="49" t="n"/>
      <c r="I416" s="50">
        <f>IF(G416="","",ROUND(G416*H416,2))</f>
        <v/>
      </c>
      <c r="J416" s="50">
        <f>IF(G416="","",G416+N(I416))</f>
        <v/>
      </c>
      <c r="K416" s="45" t="n"/>
      <c r="L416" s="47" t="n"/>
      <c r="M416" s="48" t="n"/>
      <c r="N416" s="49" t="n"/>
      <c r="O416" s="50">
        <f>IF(M416="","",ROUND(M416*N416,2))</f>
        <v/>
      </c>
      <c r="P416" s="50">
        <f>IF(M416="","",M416+N(O416))</f>
        <v/>
      </c>
      <c r="Q416" s="45" t="n"/>
      <c r="R416" s="45" t="n"/>
      <c r="S416" s="51">
        <f>IF(L416="","",IF(COUNTIF(L$6:L416,L416)&gt;1,"",SUMIF(L$6:L$2000,L416,M$6:M$2000)-SUMIF(L$6:L$2000,L416,G$6:G$2000)))</f>
        <v/>
      </c>
      <c r="T416" s="46">
        <f>IF(AND(C416="",G416=""),"",IF(L416="","Nog factureren",IF(AND(G416&lt;&gt;"",OR(K416="",K416&gt;TODAY())),"Nog betalen",IF(OR(R416="",R416&gt;TODAY()),"Wacht op klant","Afgerond"))))</f>
        <v/>
      </c>
    </row>
    <row r="417">
      <c r="A417" s="45" t="n"/>
      <c r="B417" s="46">
        <f>IF(A417="","",YEAR(A417)&amp;" Q"&amp;ROUNDUP(MONTH(A417)/3,0))</f>
        <v/>
      </c>
      <c r="C417" s="47" t="n"/>
      <c r="D417" s="47" t="n"/>
      <c r="E417" s="47" t="n"/>
      <c r="F417" s="47" t="n"/>
      <c r="G417" s="48" t="n"/>
      <c r="H417" s="49" t="n"/>
      <c r="I417" s="50">
        <f>IF(G417="","",ROUND(G417*H417,2))</f>
        <v/>
      </c>
      <c r="J417" s="50">
        <f>IF(G417="","",G417+N(I417))</f>
        <v/>
      </c>
      <c r="K417" s="45" t="n"/>
      <c r="L417" s="47" t="n"/>
      <c r="M417" s="48" t="n"/>
      <c r="N417" s="49" t="n"/>
      <c r="O417" s="50">
        <f>IF(M417="","",ROUND(M417*N417,2))</f>
        <v/>
      </c>
      <c r="P417" s="50">
        <f>IF(M417="","",M417+N(O417))</f>
        <v/>
      </c>
      <c r="Q417" s="45" t="n"/>
      <c r="R417" s="45" t="n"/>
      <c r="S417" s="51">
        <f>IF(L417="","",IF(COUNTIF(L$6:L417,L417)&gt;1,"",SUMIF(L$6:L$2000,L417,M$6:M$2000)-SUMIF(L$6:L$2000,L417,G$6:G$2000)))</f>
        <v/>
      </c>
      <c r="T417" s="46">
        <f>IF(AND(C417="",G417=""),"",IF(L417="","Nog factureren",IF(AND(G417&lt;&gt;"",OR(K417="",K417&gt;TODAY())),"Nog betalen",IF(OR(R417="",R417&gt;TODAY()),"Wacht op klant","Afgerond"))))</f>
        <v/>
      </c>
    </row>
    <row r="418">
      <c r="A418" s="45" t="n"/>
      <c r="B418" s="46">
        <f>IF(A418="","",YEAR(A418)&amp;" Q"&amp;ROUNDUP(MONTH(A418)/3,0))</f>
        <v/>
      </c>
      <c r="C418" s="47" t="n"/>
      <c r="D418" s="47" t="n"/>
      <c r="E418" s="47" t="n"/>
      <c r="F418" s="47" t="n"/>
      <c r="G418" s="48" t="n"/>
      <c r="H418" s="49" t="n"/>
      <c r="I418" s="50">
        <f>IF(G418="","",ROUND(G418*H418,2))</f>
        <v/>
      </c>
      <c r="J418" s="50">
        <f>IF(G418="","",G418+N(I418))</f>
        <v/>
      </c>
      <c r="K418" s="45" t="n"/>
      <c r="L418" s="47" t="n"/>
      <c r="M418" s="48" t="n"/>
      <c r="N418" s="49" t="n"/>
      <c r="O418" s="50">
        <f>IF(M418="","",ROUND(M418*N418,2))</f>
        <v/>
      </c>
      <c r="P418" s="50">
        <f>IF(M418="","",M418+N(O418))</f>
        <v/>
      </c>
      <c r="Q418" s="45" t="n"/>
      <c r="R418" s="45" t="n"/>
      <c r="S418" s="51">
        <f>IF(L418="","",IF(COUNTIF(L$6:L418,L418)&gt;1,"",SUMIF(L$6:L$2000,L418,M$6:M$2000)-SUMIF(L$6:L$2000,L418,G$6:G$2000)))</f>
        <v/>
      </c>
      <c r="T418" s="46">
        <f>IF(AND(C418="",G418=""),"",IF(L418="","Nog factureren",IF(AND(G418&lt;&gt;"",OR(K418="",K418&gt;TODAY())),"Nog betalen",IF(OR(R418="",R418&gt;TODAY()),"Wacht op klant","Afgerond"))))</f>
        <v/>
      </c>
    </row>
    <row r="419">
      <c r="A419" s="45" t="n"/>
      <c r="B419" s="46">
        <f>IF(A419="","",YEAR(A419)&amp;" Q"&amp;ROUNDUP(MONTH(A419)/3,0))</f>
        <v/>
      </c>
      <c r="C419" s="47" t="n"/>
      <c r="D419" s="47" t="n"/>
      <c r="E419" s="47" t="n"/>
      <c r="F419" s="47" t="n"/>
      <c r="G419" s="48" t="n"/>
      <c r="H419" s="49" t="n"/>
      <c r="I419" s="50">
        <f>IF(G419="","",ROUND(G419*H419,2))</f>
        <v/>
      </c>
      <c r="J419" s="50">
        <f>IF(G419="","",G419+N(I419))</f>
        <v/>
      </c>
      <c r="K419" s="45" t="n"/>
      <c r="L419" s="47" t="n"/>
      <c r="M419" s="48" t="n"/>
      <c r="N419" s="49" t="n"/>
      <c r="O419" s="50">
        <f>IF(M419="","",ROUND(M419*N419,2))</f>
        <v/>
      </c>
      <c r="P419" s="50">
        <f>IF(M419="","",M419+N(O419))</f>
        <v/>
      </c>
      <c r="Q419" s="45" t="n"/>
      <c r="R419" s="45" t="n"/>
      <c r="S419" s="51">
        <f>IF(L419="","",IF(COUNTIF(L$6:L419,L419)&gt;1,"",SUMIF(L$6:L$2000,L419,M$6:M$2000)-SUMIF(L$6:L$2000,L419,G$6:G$2000)))</f>
        <v/>
      </c>
      <c r="T419" s="46">
        <f>IF(AND(C419="",G419=""),"",IF(L419="","Nog factureren",IF(AND(G419&lt;&gt;"",OR(K419="",K419&gt;TODAY())),"Nog betalen",IF(OR(R419="",R419&gt;TODAY()),"Wacht op klant","Afgerond"))))</f>
        <v/>
      </c>
    </row>
    <row r="420">
      <c r="A420" s="45" t="n"/>
      <c r="B420" s="46">
        <f>IF(A420="","",YEAR(A420)&amp;" Q"&amp;ROUNDUP(MONTH(A420)/3,0))</f>
        <v/>
      </c>
      <c r="C420" s="47" t="n"/>
      <c r="D420" s="47" t="n"/>
      <c r="E420" s="47" t="n"/>
      <c r="F420" s="47" t="n"/>
      <c r="G420" s="48" t="n"/>
      <c r="H420" s="49" t="n"/>
      <c r="I420" s="50">
        <f>IF(G420="","",ROUND(G420*H420,2))</f>
        <v/>
      </c>
      <c r="J420" s="50">
        <f>IF(G420="","",G420+N(I420))</f>
        <v/>
      </c>
      <c r="K420" s="45" t="n"/>
      <c r="L420" s="47" t="n"/>
      <c r="M420" s="48" t="n"/>
      <c r="N420" s="49" t="n"/>
      <c r="O420" s="50">
        <f>IF(M420="","",ROUND(M420*N420,2))</f>
        <v/>
      </c>
      <c r="P420" s="50">
        <f>IF(M420="","",M420+N(O420))</f>
        <v/>
      </c>
      <c r="Q420" s="45" t="n"/>
      <c r="R420" s="45" t="n"/>
      <c r="S420" s="51">
        <f>IF(L420="","",IF(COUNTIF(L$6:L420,L420)&gt;1,"",SUMIF(L$6:L$2000,L420,M$6:M$2000)-SUMIF(L$6:L$2000,L420,G$6:G$2000)))</f>
        <v/>
      </c>
      <c r="T420" s="46">
        <f>IF(AND(C420="",G420=""),"",IF(L420="","Nog factureren",IF(AND(G420&lt;&gt;"",OR(K420="",K420&gt;TODAY())),"Nog betalen",IF(OR(R420="",R420&gt;TODAY()),"Wacht op klant","Afgerond"))))</f>
        <v/>
      </c>
    </row>
    <row r="421">
      <c r="A421" s="45" t="n"/>
      <c r="B421" s="46">
        <f>IF(A421="","",YEAR(A421)&amp;" Q"&amp;ROUNDUP(MONTH(A421)/3,0))</f>
        <v/>
      </c>
      <c r="C421" s="47" t="n"/>
      <c r="D421" s="47" t="n"/>
      <c r="E421" s="47" t="n"/>
      <c r="F421" s="47" t="n"/>
      <c r="G421" s="48" t="n"/>
      <c r="H421" s="49" t="n"/>
      <c r="I421" s="50">
        <f>IF(G421="","",ROUND(G421*H421,2))</f>
        <v/>
      </c>
      <c r="J421" s="50">
        <f>IF(G421="","",G421+N(I421))</f>
        <v/>
      </c>
      <c r="K421" s="45" t="n"/>
      <c r="L421" s="47" t="n"/>
      <c r="M421" s="48" t="n"/>
      <c r="N421" s="49" t="n"/>
      <c r="O421" s="50">
        <f>IF(M421="","",ROUND(M421*N421,2))</f>
        <v/>
      </c>
      <c r="P421" s="50">
        <f>IF(M421="","",M421+N(O421))</f>
        <v/>
      </c>
      <c r="Q421" s="45" t="n"/>
      <c r="R421" s="45" t="n"/>
      <c r="S421" s="51">
        <f>IF(L421="","",IF(COUNTIF(L$6:L421,L421)&gt;1,"",SUMIF(L$6:L$2000,L421,M$6:M$2000)-SUMIF(L$6:L$2000,L421,G$6:G$2000)))</f>
        <v/>
      </c>
      <c r="T421" s="46">
        <f>IF(AND(C421="",G421=""),"",IF(L421="","Nog factureren",IF(AND(G421&lt;&gt;"",OR(K421="",K421&gt;TODAY())),"Nog betalen",IF(OR(R421="",R421&gt;TODAY()),"Wacht op klant","Afgerond"))))</f>
        <v/>
      </c>
    </row>
    <row r="422">
      <c r="A422" s="45" t="n"/>
      <c r="B422" s="46">
        <f>IF(A422="","",YEAR(A422)&amp;" Q"&amp;ROUNDUP(MONTH(A422)/3,0))</f>
        <v/>
      </c>
      <c r="C422" s="47" t="n"/>
      <c r="D422" s="47" t="n"/>
      <c r="E422" s="47" t="n"/>
      <c r="F422" s="47" t="n"/>
      <c r="G422" s="48" t="n"/>
      <c r="H422" s="49" t="n"/>
      <c r="I422" s="50">
        <f>IF(G422="","",ROUND(G422*H422,2))</f>
        <v/>
      </c>
      <c r="J422" s="50">
        <f>IF(G422="","",G422+N(I422))</f>
        <v/>
      </c>
      <c r="K422" s="45" t="n"/>
      <c r="L422" s="47" t="n"/>
      <c r="M422" s="48" t="n"/>
      <c r="N422" s="49" t="n"/>
      <c r="O422" s="50">
        <f>IF(M422="","",ROUND(M422*N422,2))</f>
        <v/>
      </c>
      <c r="P422" s="50">
        <f>IF(M422="","",M422+N(O422))</f>
        <v/>
      </c>
      <c r="Q422" s="45" t="n"/>
      <c r="R422" s="45" t="n"/>
      <c r="S422" s="51">
        <f>IF(L422="","",IF(COUNTIF(L$6:L422,L422)&gt;1,"",SUMIF(L$6:L$2000,L422,M$6:M$2000)-SUMIF(L$6:L$2000,L422,G$6:G$2000)))</f>
        <v/>
      </c>
      <c r="T422" s="46">
        <f>IF(AND(C422="",G422=""),"",IF(L422="","Nog factureren",IF(AND(G422&lt;&gt;"",OR(K422="",K422&gt;TODAY())),"Nog betalen",IF(OR(R422="",R422&gt;TODAY()),"Wacht op klant","Afgerond"))))</f>
        <v/>
      </c>
    </row>
    <row r="423">
      <c r="A423" s="45" t="n"/>
      <c r="B423" s="46">
        <f>IF(A423="","",YEAR(A423)&amp;" Q"&amp;ROUNDUP(MONTH(A423)/3,0))</f>
        <v/>
      </c>
      <c r="C423" s="47" t="n"/>
      <c r="D423" s="47" t="n"/>
      <c r="E423" s="47" t="n"/>
      <c r="F423" s="47" t="n"/>
      <c r="G423" s="48" t="n"/>
      <c r="H423" s="49" t="n"/>
      <c r="I423" s="50">
        <f>IF(G423="","",ROUND(G423*H423,2))</f>
        <v/>
      </c>
      <c r="J423" s="50">
        <f>IF(G423="","",G423+N(I423))</f>
        <v/>
      </c>
      <c r="K423" s="45" t="n"/>
      <c r="L423" s="47" t="n"/>
      <c r="M423" s="48" t="n"/>
      <c r="N423" s="49" t="n"/>
      <c r="O423" s="50">
        <f>IF(M423="","",ROUND(M423*N423,2))</f>
        <v/>
      </c>
      <c r="P423" s="50">
        <f>IF(M423="","",M423+N(O423))</f>
        <v/>
      </c>
      <c r="Q423" s="45" t="n"/>
      <c r="R423" s="45" t="n"/>
      <c r="S423" s="51">
        <f>IF(L423="","",IF(COUNTIF(L$6:L423,L423)&gt;1,"",SUMIF(L$6:L$2000,L423,M$6:M$2000)-SUMIF(L$6:L$2000,L423,G$6:G$2000)))</f>
        <v/>
      </c>
      <c r="T423" s="46">
        <f>IF(AND(C423="",G423=""),"",IF(L423="","Nog factureren",IF(AND(G423&lt;&gt;"",OR(K423="",K423&gt;TODAY())),"Nog betalen",IF(OR(R423="",R423&gt;TODAY()),"Wacht op klant","Afgerond"))))</f>
        <v/>
      </c>
    </row>
    <row r="424">
      <c r="A424" s="45" t="n"/>
      <c r="B424" s="46">
        <f>IF(A424="","",YEAR(A424)&amp;" Q"&amp;ROUNDUP(MONTH(A424)/3,0))</f>
        <v/>
      </c>
      <c r="C424" s="47" t="n"/>
      <c r="D424" s="47" t="n"/>
      <c r="E424" s="47" t="n"/>
      <c r="F424" s="47" t="n"/>
      <c r="G424" s="48" t="n"/>
      <c r="H424" s="49" t="n"/>
      <c r="I424" s="50">
        <f>IF(G424="","",ROUND(G424*H424,2))</f>
        <v/>
      </c>
      <c r="J424" s="50">
        <f>IF(G424="","",G424+N(I424))</f>
        <v/>
      </c>
      <c r="K424" s="45" t="n"/>
      <c r="L424" s="47" t="n"/>
      <c r="M424" s="48" t="n"/>
      <c r="N424" s="49" t="n"/>
      <c r="O424" s="50">
        <f>IF(M424="","",ROUND(M424*N424,2))</f>
        <v/>
      </c>
      <c r="P424" s="50">
        <f>IF(M424="","",M424+N(O424))</f>
        <v/>
      </c>
      <c r="Q424" s="45" t="n"/>
      <c r="R424" s="45" t="n"/>
      <c r="S424" s="51">
        <f>IF(L424="","",IF(COUNTIF(L$6:L424,L424)&gt;1,"",SUMIF(L$6:L$2000,L424,M$6:M$2000)-SUMIF(L$6:L$2000,L424,G$6:G$2000)))</f>
        <v/>
      </c>
      <c r="T424" s="46">
        <f>IF(AND(C424="",G424=""),"",IF(L424="","Nog factureren",IF(AND(G424&lt;&gt;"",OR(K424="",K424&gt;TODAY())),"Nog betalen",IF(OR(R424="",R424&gt;TODAY()),"Wacht op klant","Afgerond"))))</f>
        <v/>
      </c>
    </row>
    <row r="425">
      <c r="A425" s="45" t="n"/>
      <c r="B425" s="46">
        <f>IF(A425="","",YEAR(A425)&amp;" Q"&amp;ROUNDUP(MONTH(A425)/3,0))</f>
        <v/>
      </c>
      <c r="C425" s="47" t="n"/>
      <c r="D425" s="47" t="n"/>
      <c r="E425" s="47" t="n"/>
      <c r="F425" s="47" t="n"/>
      <c r="G425" s="48" t="n"/>
      <c r="H425" s="49" t="n"/>
      <c r="I425" s="50">
        <f>IF(G425="","",ROUND(G425*H425,2))</f>
        <v/>
      </c>
      <c r="J425" s="50">
        <f>IF(G425="","",G425+N(I425))</f>
        <v/>
      </c>
      <c r="K425" s="45" t="n"/>
      <c r="L425" s="47" t="n"/>
      <c r="M425" s="48" t="n"/>
      <c r="N425" s="49" t="n"/>
      <c r="O425" s="50">
        <f>IF(M425="","",ROUND(M425*N425,2))</f>
        <v/>
      </c>
      <c r="P425" s="50">
        <f>IF(M425="","",M425+N(O425))</f>
        <v/>
      </c>
      <c r="Q425" s="45" t="n"/>
      <c r="R425" s="45" t="n"/>
      <c r="S425" s="51">
        <f>IF(L425="","",IF(COUNTIF(L$6:L425,L425)&gt;1,"",SUMIF(L$6:L$2000,L425,M$6:M$2000)-SUMIF(L$6:L$2000,L425,G$6:G$2000)))</f>
        <v/>
      </c>
      <c r="T425" s="46">
        <f>IF(AND(C425="",G425=""),"",IF(L425="","Nog factureren",IF(AND(G425&lt;&gt;"",OR(K425="",K425&gt;TODAY())),"Nog betalen",IF(OR(R425="",R425&gt;TODAY()),"Wacht op klant","Afgerond"))))</f>
        <v/>
      </c>
    </row>
    <row r="426">
      <c r="A426" s="45" t="n"/>
      <c r="B426" s="46">
        <f>IF(A426="","",YEAR(A426)&amp;" Q"&amp;ROUNDUP(MONTH(A426)/3,0))</f>
        <v/>
      </c>
      <c r="C426" s="47" t="n"/>
      <c r="D426" s="47" t="n"/>
      <c r="E426" s="47" t="n"/>
      <c r="F426" s="47" t="n"/>
      <c r="G426" s="48" t="n"/>
      <c r="H426" s="49" t="n"/>
      <c r="I426" s="50">
        <f>IF(G426="","",ROUND(G426*H426,2))</f>
        <v/>
      </c>
      <c r="J426" s="50">
        <f>IF(G426="","",G426+N(I426))</f>
        <v/>
      </c>
      <c r="K426" s="45" t="n"/>
      <c r="L426" s="47" t="n"/>
      <c r="M426" s="48" t="n"/>
      <c r="N426" s="49" t="n"/>
      <c r="O426" s="50">
        <f>IF(M426="","",ROUND(M426*N426,2))</f>
        <v/>
      </c>
      <c r="P426" s="50">
        <f>IF(M426="","",M426+N(O426))</f>
        <v/>
      </c>
      <c r="Q426" s="45" t="n"/>
      <c r="R426" s="45" t="n"/>
      <c r="S426" s="51">
        <f>IF(L426="","",IF(COUNTIF(L$6:L426,L426)&gt;1,"",SUMIF(L$6:L$2000,L426,M$6:M$2000)-SUMIF(L$6:L$2000,L426,G$6:G$2000)))</f>
        <v/>
      </c>
      <c r="T426" s="46">
        <f>IF(AND(C426="",G426=""),"",IF(L426="","Nog factureren",IF(AND(G426&lt;&gt;"",OR(K426="",K426&gt;TODAY())),"Nog betalen",IF(OR(R426="",R426&gt;TODAY()),"Wacht op klant","Afgerond"))))</f>
        <v/>
      </c>
    </row>
    <row r="427">
      <c r="A427" s="45" t="n"/>
      <c r="B427" s="46">
        <f>IF(A427="","",YEAR(A427)&amp;" Q"&amp;ROUNDUP(MONTH(A427)/3,0))</f>
        <v/>
      </c>
      <c r="C427" s="47" t="n"/>
      <c r="D427" s="47" t="n"/>
      <c r="E427" s="47" t="n"/>
      <c r="F427" s="47" t="n"/>
      <c r="G427" s="48" t="n"/>
      <c r="H427" s="49" t="n"/>
      <c r="I427" s="50">
        <f>IF(G427="","",ROUND(G427*H427,2))</f>
        <v/>
      </c>
      <c r="J427" s="50">
        <f>IF(G427="","",G427+N(I427))</f>
        <v/>
      </c>
      <c r="K427" s="45" t="n"/>
      <c r="L427" s="47" t="n"/>
      <c r="M427" s="48" t="n"/>
      <c r="N427" s="49" t="n"/>
      <c r="O427" s="50">
        <f>IF(M427="","",ROUND(M427*N427,2))</f>
        <v/>
      </c>
      <c r="P427" s="50">
        <f>IF(M427="","",M427+N(O427))</f>
        <v/>
      </c>
      <c r="Q427" s="45" t="n"/>
      <c r="R427" s="45" t="n"/>
      <c r="S427" s="51">
        <f>IF(L427="","",IF(COUNTIF(L$6:L427,L427)&gt;1,"",SUMIF(L$6:L$2000,L427,M$6:M$2000)-SUMIF(L$6:L$2000,L427,G$6:G$2000)))</f>
        <v/>
      </c>
      <c r="T427" s="46">
        <f>IF(AND(C427="",G427=""),"",IF(L427="","Nog factureren",IF(AND(G427&lt;&gt;"",OR(K427="",K427&gt;TODAY())),"Nog betalen",IF(OR(R427="",R427&gt;TODAY()),"Wacht op klant","Afgerond"))))</f>
        <v/>
      </c>
    </row>
    <row r="428">
      <c r="A428" s="45" t="n"/>
      <c r="B428" s="46">
        <f>IF(A428="","",YEAR(A428)&amp;" Q"&amp;ROUNDUP(MONTH(A428)/3,0))</f>
        <v/>
      </c>
      <c r="C428" s="47" t="n"/>
      <c r="D428" s="47" t="n"/>
      <c r="E428" s="47" t="n"/>
      <c r="F428" s="47" t="n"/>
      <c r="G428" s="48" t="n"/>
      <c r="H428" s="49" t="n"/>
      <c r="I428" s="50">
        <f>IF(G428="","",ROUND(G428*H428,2))</f>
        <v/>
      </c>
      <c r="J428" s="50">
        <f>IF(G428="","",G428+N(I428))</f>
        <v/>
      </c>
      <c r="K428" s="45" t="n"/>
      <c r="L428" s="47" t="n"/>
      <c r="M428" s="48" t="n"/>
      <c r="N428" s="49" t="n"/>
      <c r="O428" s="50">
        <f>IF(M428="","",ROUND(M428*N428,2))</f>
        <v/>
      </c>
      <c r="P428" s="50">
        <f>IF(M428="","",M428+N(O428))</f>
        <v/>
      </c>
      <c r="Q428" s="45" t="n"/>
      <c r="R428" s="45" t="n"/>
      <c r="S428" s="51">
        <f>IF(L428="","",IF(COUNTIF(L$6:L428,L428)&gt;1,"",SUMIF(L$6:L$2000,L428,M$6:M$2000)-SUMIF(L$6:L$2000,L428,G$6:G$2000)))</f>
        <v/>
      </c>
      <c r="T428" s="46">
        <f>IF(AND(C428="",G428=""),"",IF(L428="","Nog factureren",IF(AND(G428&lt;&gt;"",OR(K428="",K428&gt;TODAY())),"Nog betalen",IF(OR(R428="",R428&gt;TODAY()),"Wacht op klant","Afgerond"))))</f>
        <v/>
      </c>
    </row>
    <row r="429">
      <c r="A429" s="45" t="n"/>
      <c r="B429" s="46">
        <f>IF(A429="","",YEAR(A429)&amp;" Q"&amp;ROUNDUP(MONTH(A429)/3,0))</f>
        <v/>
      </c>
      <c r="C429" s="47" t="n"/>
      <c r="D429" s="47" t="n"/>
      <c r="E429" s="47" t="n"/>
      <c r="F429" s="47" t="n"/>
      <c r="G429" s="48" t="n"/>
      <c r="H429" s="49" t="n"/>
      <c r="I429" s="50">
        <f>IF(G429="","",ROUND(G429*H429,2))</f>
        <v/>
      </c>
      <c r="J429" s="50">
        <f>IF(G429="","",G429+N(I429))</f>
        <v/>
      </c>
      <c r="K429" s="45" t="n"/>
      <c r="L429" s="47" t="n"/>
      <c r="M429" s="48" t="n"/>
      <c r="N429" s="49" t="n"/>
      <c r="O429" s="50">
        <f>IF(M429="","",ROUND(M429*N429,2))</f>
        <v/>
      </c>
      <c r="P429" s="50">
        <f>IF(M429="","",M429+N(O429))</f>
        <v/>
      </c>
      <c r="Q429" s="45" t="n"/>
      <c r="R429" s="45" t="n"/>
      <c r="S429" s="51">
        <f>IF(L429="","",IF(COUNTIF(L$6:L429,L429)&gt;1,"",SUMIF(L$6:L$2000,L429,M$6:M$2000)-SUMIF(L$6:L$2000,L429,G$6:G$2000)))</f>
        <v/>
      </c>
      <c r="T429" s="46">
        <f>IF(AND(C429="",G429=""),"",IF(L429="","Nog factureren",IF(AND(G429&lt;&gt;"",OR(K429="",K429&gt;TODAY())),"Nog betalen",IF(OR(R429="",R429&gt;TODAY()),"Wacht op klant","Afgerond"))))</f>
        <v/>
      </c>
    </row>
    <row r="430">
      <c r="A430" s="45" t="n"/>
      <c r="B430" s="46">
        <f>IF(A430="","",YEAR(A430)&amp;" Q"&amp;ROUNDUP(MONTH(A430)/3,0))</f>
        <v/>
      </c>
      <c r="C430" s="47" t="n"/>
      <c r="D430" s="47" t="n"/>
      <c r="E430" s="47" t="n"/>
      <c r="F430" s="47" t="n"/>
      <c r="G430" s="48" t="n"/>
      <c r="H430" s="49" t="n"/>
      <c r="I430" s="50">
        <f>IF(G430="","",ROUND(G430*H430,2))</f>
        <v/>
      </c>
      <c r="J430" s="50">
        <f>IF(G430="","",G430+N(I430))</f>
        <v/>
      </c>
      <c r="K430" s="45" t="n"/>
      <c r="L430" s="47" t="n"/>
      <c r="M430" s="48" t="n"/>
      <c r="N430" s="49" t="n"/>
      <c r="O430" s="50">
        <f>IF(M430="","",ROUND(M430*N430,2))</f>
        <v/>
      </c>
      <c r="P430" s="50">
        <f>IF(M430="","",M430+N(O430))</f>
        <v/>
      </c>
      <c r="Q430" s="45" t="n"/>
      <c r="R430" s="45" t="n"/>
      <c r="S430" s="51">
        <f>IF(L430="","",IF(COUNTIF(L$6:L430,L430)&gt;1,"",SUMIF(L$6:L$2000,L430,M$6:M$2000)-SUMIF(L$6:L$2000,L430,G$6:G$2000)))</f>
        <v/>
      </c>
      <c r="T430" s="46">
        <f>IF(AND(C430="",G430=""),"",IF(L430="","Nog factureren",IF(AND(G430&lt;&gt;"",OR(K430="",K430&gt;TODAY())),"Nog betalen",IF(OR(R430="",R430&gt;TODAY()),"Wacht op klant","Afgerond"))))</f>
        <v/>
      </c>
    </row>
    <row r="431">
      <c r="A431" s="45" t="n"/>
      <c r="B431" s="46">
        <f>IF(A431="","",YEAR(A431)&amp;" Q"&amp;ROUNDUP(MONTH(A431)/3,0))</f>
        <v/>
      </c>
      <c r="C431" s="47" t="n"/>
      <c r="D431" s="47" t="n"/>
      <c r="E431" s="47" t="n"/>
      <c r="F431" s="47" t="n"/>
      <c r="G431" s="48" t="n"/>
      <c r="H431" s="49" t="n"/>
      <c r="I431" s="50">
        <f>IF(G431="","",ROUND(G431*H431,2))</f>
        <v/>
      </c>
      <c r="J431" s="50">
        <f>IF(G431="","",G431+N(I431))</f>
        <v/>
      </c>
      <c r="K431" s="45" t="n"/>
      <c r="L431" s="47" t="n"/>
      <c r="M431" s="48" t="n"/>
      <c r="N431" s="49" t="n"/>
      <c r="O431" s="50">
        <f>IF(M431="","",ROUND(M431*N431,2))</f>
        <v/>
      </c>
      <c r="P431" s="50">
        <f>IF(M431="","",M431+N(O431))</f>
        <v/>
      </c>
      <c r="Q431" s="45" t="n"/>
      <c r="R431" s="45" t="n"/>
      <c r="S431" s="51">
        <f>IF(L431="","",IF(COUNTIF(L$6:L431,L431)&gt;1,"",SUMIF(L$6:L$2000,L431,M$6:M$2000)-SUMIF(L$6:L$2000,L431,G$6:G$2000)))</f>
        <v/>
      </c>
      <c r="T431" s="46">
        <f>IF(AND(C431="",G431=""),"",IF(L431="","Nog factureren",IF(AND(G431&lt;&gt;"",OR(K431="",K431&gt;TODAY())),"Nog betalen",IF(OR(R431="",R431&gt;TODAY()),"Wacht op klant","Afgerond"))))</f>
        <v/>
      </c>
    </row>
    <row r="432">
      <c r="A432" s="45" t="n"/>
      <c r="B432" s="46">
        <f>IF(A432="","",YEAR(A432)&amp;" Q"&amp;ROUNDUP(MONTH(A432)/3,0))</f>
        <v/>
      </c>
      <c r="C432" s="47" t="n"/>
      <c r="D432" s="47" t="n"/>
      <c r="E432" s="47" t="n"/>
      <c r="F432" s="47" t="n"/>
      <c r="G432" s="48" t="n"/>
      <c r="H432" s="49" t="n"/>
      <c r="I432" s="50">
        <f>IF(G432="","",ROUND(G432*H432,2))</f>
        <v/>
      </c>
      <c r="J432" s="50">
        <f>IF(G432="","",G432+N(I432))</f>
        <v/>
      </c>
      <c r="K432" s="45" t="n"/>
      <c r="L432" s="47" t="n"/>
      <c r="M432" s="48" t="n"/>
      <c r="N432" s="49" t="n"/>
      <c r="O432" s="50">
        <f>IF(M432="","",ROUND(M432*N432,2))</f>
        <v/>
      </c>
      <c r="P432" s="50">
        <f>IF(M432="","",M432+N(O432))</f>
        <v/>
      </c>
      <c r="Q432" s="45" t="n"/>
      <c r="R432" s="45" t="n"/>
      <c r="S432" s="51">
        <f>IF(L432="","",IF(COUNTIF(L$6:L432,L432)&gt;1,"",SUMIF(L$6:L$2000,L432,M$6:M$2000)-SUMIF(L$6:L$2000,L432,G$6:G$2000)))</f>
        <v/>
      </c>
      <c r="T432" s="46">
        <f>IF(AND(C432="",G432=""),"",IF(L432="","Nog factureren",IF(AND(G432&lt;&gt;"",OR(K432="",K432&gt;TODAY())),"Nog betalen",IF(OR(R432="",R432&gt;TODAY()),"Wacht op klant","Afgerond"))))</f>
        <v/>
      </c>
    </row>
    <row r="433">
      <c r="A433" s="45" t="n"/>
      <c r="B433" s="46">
        <f>IF(A433="","",YEAR(A433)&amp;" Q"&amp;ROUNDUP(MONTH(A433)/3,0))</f>
        <v/>
      </c>
      <c r="C433" s="47" t="n"/>
      <c r="D433" s="47" t="n"/>
      <c r="E433" s="47" t="n"/>
      <c r="F433" s="47" t="n"/>
      <c r="G433" s="48" t="n"/>
      <c r="H433" s="49" t="n"/>
      <c r="I433" s="50">
        <f>IF(G433="","",ROUND(G433*H433,2))</f>
        <v/>
      </c>
      <c r="J433" s="50">
        <f>IF(G433="","",G433+N(I433))</f>
        <v/>
      </c>
      <c r="K433" s="45" t="n"/>
      <c r="L433" s="47" t="n"/>
      <c r="M433" s="48" t="n"/>
      <c r="N433" s="49" t="n"/>
      <c r="O433" s="50">
        <f>IF(M433="","",ROUND(M433*N433,2))</f>
        <v/>
      </c>
      <c r="P433" s="50">
        <f>IF(M433="","",M433+N(O433))</f>
        <v/>
      </c>
      <c r="Q433" s="45" t="n"/>
      <c r="R433" s="45" t="n"/>
      <c r="S433" s="51">
        <f>IF(L433="","",IF(COUNTIF(L$6:L433,L433)&gt;1,"",SUMIF(L$6:L$2000,L433,M$6:M$2000)-SUMIF(L$6:L$2000,L433,G$6:G$2000)))</f>
        <v/>
      </c>
      <c r="T433" s="46">
        <f>IF(AND(C433="",G433=""),"",IF(L433="","Nog factureren",IF(AND(G433&lt;&gt;"",OR(K433="",K433&gt;TODAY())),"Nog betalen",IF(OR(R433="",R433&gt;TODAY()),"Wacht op klant","Afgerond"))))</f>
        <v/>
      </c>
    </row>
    <row r="434">
      <c r="A434" s="45" t="n"/>
      <c r="B434" s="46">
        <f>IF(A434="","",YEAR(A434)&amp;" Q"&amp;ROUNDUP(MONTH(A434)/3,0))</f>
        <v/>
      </c>
      <c r="C434" s="47" t="n"/>
      <c r="D434" s="47" t="n"/>
      <c r="E434" s="47" t="n"/>
      <c r="F434" s="47" t="n"/>
      <c r="G434" s="48" t="n"/>
      <c r="H434" s="49" t="n"/>
      <c r="I434" s="50">
        <f>IF(G434="","",ROUND(G434*H434,2))</f>
        <v/>
      </c>
      <c r="J434" s="50">
        <f>IF(G434="","",G434+N(I434))</f>
        <v/>
      </c>
      <c r="K434" s="45" t="n"/>
      <c r="L434" s="47" t="n"/>
      <c r="M434" s="48" t="n"/>
      <c r="N434" s="49" t="n"/>
      <c r="O434" s="50">
        <f>IF(M434="","",ROUND(M434*N434,2))</f>
        <v/>
      </c>
      <c r="P434" s="50">
        <f>IF(M434="","",M434+N(O434))</f>
        <v/>
      </c>
      <c r="Q434" s="45" t="n"/>
      <c r="R434" s="45" t="n"/>
      <c r="S434" s="51">
        <f>IF(L434="","",IF(COUNTIF(L$6:L434,L434)&gt;1,"",SUMIF(L$6:L$2000,L434,M$6:M$2000)-SUMIF(L$6:L$2000,L434,G$6:G$2000)))</f>
        <v/>
      </c>
      <c r="T434" s="46">
        <f>IF(AND(C434="",G434=""),"",IF(L434="","Nog factureren",IF(AND(G434&lt;&gt;"",OR(K434="",K434&gt;TODAY())),"Nog betalen",IF(OR(R434="",R434&gt;TODAY()),"Wacht op klant","Afgerond"))))</f>
        <v/>
      </c>
    </row>
    <row r="435">
      <c r="A435" s="45" t="n"/>
      <c r="B435" s="46">
        <f>IF(A435="","",YEAR(A435)&amp;" Q"&amp;ROUNDUP(MONTH(A435)/3,0))</f>
        <v/>
      </c>
      <c r="C435" s="47" t="n"/>
      <c r="D435" s="47" t="n"/>
      <c r="E435" s="47" t="n"/>
      <c r="F435" s="47" t="n"/>
      <c r="G435" s="48" t="n"/>
      <c r="H435" s="49" t="n"/>
      <c r="I435" s="50">
        <f>IF(G435="","",ROUND(G435*H435,2))</f>
        <v/>
      </c>
      <c r="J435" s="50">
        <f>IF(G435="","",G435+N(I435))</f>
        <v/>
      </c>
      <c r="K435" s="45" t="n"/>
      <c r="L435" s="47" t="n"/>
      <c r="M435" s="48" t="n"/>
      <c r="N435" s="49" t="n"/>
      <c r="O435" s="50">
        <f>IF(M435="","",ROUND(M435*N435,2))</f>
        <v/>
      </c>
      <c r="P435" s="50">
        <f>IF(M435="","",M435+N(O435))</f>
        <v/>
      </c>
      <c r="Q435" s="45" t="n"/>
      <c r="R435" s="45" t="n"/>
      <c r="S435" s="51">
        <f>IF(L435="","",IF(COUNTIF(L$6:L435,L435)&gt;1,"",SUMIF(L$6:L$2000,L435,M$6:M$2000)-SUMIF(L$6:L$2000,L435,G$6:G$2000)))</f>
        <v/>
      </c>
      <c r="T435" s="46">
        <f>IF(AND(C435="",G435=""),"",IF(L435="","Nog factureren",IF(AND(G435&lt;&gt;"",OR(K435="",K435&gt;TODAY())),"Nog betalen",IF(OR(R435="",R435&gt;TODAY()),"Wacht op klant","Afgerond"))))</f>
        <v/>
      </c>
    </row>
    <row r="436">
      <c r="A436" s="45" t="n"/>
      <c r="B436" s="46">
        <f>IF(A436="","",YEAR(A436)&amp;" Q"&amp;ROUNDUP(MONTH(A436)/3,0))</f>
        <v/>
      </c>
      <c r="C436" s="47" t="n"/>
      <c r="D436" s="47" t="n"/>
      <c r="E436" s="47" t="n"/>
      <c r="F436" s="47" t="n"/>
      <c r="G436" s="48" t="n"/>
      <c r="H436" s="49" t="n"/>
      <c r="I436" s="50">
        <f>IF(G436="","",ROUND(G436*H436,2))</f>
        <v/>
      </c>
      <c r="J436" s="50">
        <f>IF(G436="","",G436+N(I436))</f>
        <v/>
      </c>
      <c r="K436" s="45" t="n"/>
      <c r="L436" s="47" t="n"/>
      <c r="M436" s="48" t="n"/>
      <c r="N436" s="49" t="n"/>
      <c r="O436" s="50">
        <f>IF(M436="","",ROUND(M436*N436,2))</f>
        <v/>
      </c>
      <c r="P436" s="50">
        <f>IF(M436="","",M436+N(O436))</f>
        <v/>
      </c>
      <c r="Q436" s="45" t="n"/>
      <c r="R436" s="45" t="n"/>
      <c r="S436" s="51">
        <f>IF(L436="","",IF(COUNTIF(L$6:L436,L436)&gt;1,"",SUMIF(L$6:L$2000,L436,M$6:M$2000)-SUMIF(L$6:L$2000,L436,G$6:G$2000)))</f>
        <v/>
      </c>
      <c r="T436" s="46">
        <f>IF(AND(C436="",G436=""),"",IF(L436="","Nog factureren",IF(AND(G436&lt;&gt;"",OR(K436="",K436&gt;TODAY())),"Nog betalen",IF(OR(R436="",R436&gt;TODAY()),"Wacht op klant","Afgerond"))))</f>
        <v/>
      </c>
    </row>
    <row r="437">
      <c r="A437" s="45" t="n"/>
      <c r="B437" s="46">
        <f>IF(A437="","",YEAR(A437)&amp;" Q"&amp;ROUNDUP(MONTH(A437)/3,0))</f>
        <v/>
      </c>
      <c r="C437" s="47" t="n"/>
      <c r="D437" s="47" t="n"/>
      <c r="E437" s="47" t="n"/>
      <c r="F437" s="47" t="n"/>
      <c r="G437" s="48" t="n"/>
      <c r="H437" s="49" t="n"/>
      <c r="I437" s="50">
        <f>IF(G437="","",ROUND(G437*H437,2))</f>
        <v/>
      </c>
      <c r="J437" s="50">
        <f>IF(G437="","",G437+N(I437))</f>
        <v/>
      </c>
      <c r="K437" s="45" t="n"/>
      <c r="L437" s="47" t="n"/>
      <c r="M437" s="48" t="n"/>
      <c r="N437" s="49" t="n"/>
      <c r="O437" s="50">
        <f>IF(M437="","",ROUND(M437*N437,2))</f>
        <v/>
      </c>
      <c r="P437" s="50">
        <f>IF(M437="","",M437+N(O437))</f>
        <v/>
      </c>
      <c r="Q437" s="45" t="n"/>
      <c r="R437" s="45" t="n"/>
      <c r="S437" s="51">
        <f>IF(L437="","",IF(COUNTIF(L$6:L437,L437)&gt;1,"",SUMIF(L$6:L$2000,L437,M$6:M$2000)-SUMIF(L$6:L$2000,L437,G$6:G$2000)))</f>
        <v/>
      </c>
      <c r="T437" s="46">
        <f>IF(AND(C437="",G437=""),"",IF(L437="","Nog factureren",IF(AND(G437&lt;&gt;"",OR(K437="",K437&gt;TODAY())),"Nog betalen",IF(OR(R437="",R437&gt;TODAY()),"Wacht op klant","Afgerond"))))</f>
        <v/>
      </c>
    </row>
    <row r="438">
      <c r="A438" s="45" t="n"/>
      <c r="B438" s="46">
        <f>IF(A438="","",YEAR(A438)&amp;" Q"&amp;ROUNDUP(MONTH(A438)/3,0))</f>
        <v/>
      </c>
      <c r="C438" s="47" t="n"/>
      <c r="D438" s="47" t="n"/>
      <c r="E438" s="47" t="n"/>
      <c r="F438" s="47" t="n"/>
      <c r="G438" s="48" t="n"/>
      <c r="H438" s="49" t="n"/>
      <c r="I438" s="50">
        <f>IF(G438="","",ROUND(G438*H438,2))</f>
        <v/>
      </c>
      <c r="J438" s="50">
        <f>IF(G438="","",G438+N(I438))</f>
        <v/>
      </c>
      <c r="K438" s="45" t="n"/>
      <c r="L438" s="47" t="n"/>
      <c r="M438" s="48" t="n"/>
      <c r="N438" s="49" t="n"/>
      <c r="O438" s="50">
        <f>IF(M438="","",ROUND(M438*N438,2))</f>
        <v/>
      </c>
      <c r="P438" s="50">
        <f>IF(M438="","",M438+N(O438))</f>
        <v/>
      </c>
      <c r="Q438" s="45" t="n"/>
      <c r="R438" s="45" t="n"/>
      <c r="S438" s="51">
        <f>IF(L438="","",IF(COUNTIF(L$6:L438,L438)&gt;1,"",SUMIF(L$6:L$2000,L438,M$6:M$2000)-SUMIF(L$6:L$2000,L438,G$6:G$2000)))</f>
        <v/>
      </c>
      <c r="T438" s="46">
        <f>IF(AND(C438="",G438=""),"",IF(L438="","Nog factureren",IF(AND(G438&lt;&gt;"",OR(K438="",K438&gt;TODAY())),"Nog betalen",IF(OR(R438="",R438&gt;TODAY()),"Wacht op klant","Afgerond"))))</f>
        <v/>
      </c>
    </row>
    <row r="439">
      <c r="A439" s="45" t="n"/>
      <c r="B439" s="46">
        <f>IF(A439="","",YEAR(A439)&amp;" Q"&amp;ROUNDUP(MONTH(A439)/3,0))</f>
        <v/>
      </c>
      <c r="C439" s="47" t="n"/>
      <c r="D439" s="47" t="n"/>
      <c r="E439" s="47" t="n"/>
      <c r="F439" s="47" t="n"/>
      <c r="G439" s="48" t="n"/>
      <c r="H439" s="49" t="n"/>
      <c r="I439" s="50">
        <f>IF(G439="","",ROUND(G439*H439,2))</f>
        <v/>
      </c>
      <c r="J439" s="50">
        <f>IF(G439="","",G439+N(I439))</f>
        <v/>
      </c>
      <c r="K439" s="45" t="n"/>
      <c r="L439" s="47" t="n"/>
      <c r="M439" s="48" t="n"/>
      <c r="N439" s="49" t="n"/>
      <c r="O439" s="50">
        <f>IF(M439="","",ROUND(M439*N439,2))</f>
        <v/>
      </c>
      <c r="P439" s="50">
        <f>IF(M439="","",M439+N(O439))</f>
        <v/>
      </c>
      <c r="Q439" s="45" t="n"/>
      <c r="R439" s="45" t="n"/>
      <c r="S439" s="51">
        <f>IF(L439="","",IF(COUNTIF(L$6:L439,L439)&gt;1,"",SUMIF(L$6:L$2000,L439,M$6:M$2000)-SUMIF(L$6:L$2000,L439,G$6:G$2000)))</f>
        <v/>
      </c>
      <c r="T439" s="46">
        <f>IF(AND(C439="",G439=""),"",IF(L439="","Nog factureren",IF(AND(G439&lt;&gt;"",OR(K439="",K439&gt;TODAY())),"Nog betalen",IF(OR(R439="",R439&gt;TODAY()),"Wacht op klant","Afgerond"))))</f>
        <v/>
      </c>
    </row>
    <row r="440">
      <c r="A440" s="45" t="n"/>
      <c r="B440" s="46">
        <f>IF(A440="","",YEAR(A440)&amp;" Q"&amp;ROUNDUP(MONTH(A440)/3,0))</f>
        <v/>
      </c>
      <c r="C440" s="47" t="n"/>
      <c r="D440" s="47" t="n"/>
      <c r="E440" s="47" t="n"/>
      <c r="F440" s="47" t="n"/>
      <c r="G440" s="48" t="n"/>
      <c r="H440" s="49" t="n"/>
      <c r="I440" s="50">
        <f>IF(G440="","",ROUND(G440*H440,2))</f>
        <v/>
      </c>
      <c r="J440" s="50">
        <f>IF(G440="","",G440+N(I440))</f>
        <v/>
      </c>
      <c r="K440" s="45" t="n"/>
      <c r="L440" s="47" t="n"/>
      <c r="M440" s="48" t="n"/>
      <c r="N440" s="49" t="n"/>
      <c r="O440" s="50">
        <f>IF(M440="","",ROUND(M440*N440,2))</f>
        <v/>
      </c>
      <c r="P440" s="50">
        <f>IF(M440="","",M440+N(O440))</f>
        <v/>
      </c>
      <c r="Q440" s="45" t="n"/>
      <c r="R440" s="45" t="n"/>
      <c r="S440" s="51">
        <f>IF(L440="","",IF(COUNTIF(L$6:L440,L440)&gt;1,"",SUMIF(L$6:L$2000,L440,M$6:M$2000)-SUMIF(L$6:L$2000,L440,G$6:G$2000)))</f>
        <v/>
      </c>
      <c r="T440" s="46">
        <f>IF(AND(C440="",G440=""),"",IF(L440="","Nog factureren",IF(AND(G440&lt;&gt;"",OR(K440="",K440&gt;TODAY())),"Nog betalen",IF(OR(R440="",R440&gt;TODAY()),"Wacht op klant","Afgerond"))))</f>
        <v/>
      </c>
    </row>
    <row r="441">
      <c r="A441" s="45" t="n"/>
      <c r="B441" s="46">
        <f>IF(A441="","",YEAR(A441)&amp;" Q"&amp;ROUNDUP(MONTH(A441)/3,0))</f>
        <v/>
      </c>
      <c r="C441" s="47" t="n"/>
      <c r="D441" s="47" t="n"/>
      <c r="E441" s="47" t="n"/>
      <c r="F441" s="47" t="n"/>
      <c r="G441" s="48" t="n"/>
      <c r="H441" s="49" t="n"/>
      <c r="I441" s="50">
        <f>IF(G441="","",ROUND(G441*H441,2))</f>
        <v/>
      </c>
      <c r="J441" s="50">
        <f>IF(G441="","",G441+N(I441))</f>
        <v/>
      </c>
      <c r="K441" s="45" t="n"/>
      <c r="L441" s="47" t="n"/>
      <c r="M441" s="48" t="n"/>
      <c r="N441" s="49" t="n"/>
      <c r="O441" s="50">
        <f>IF(M441="","",ROUND(M441*N441,2))</f>
        <v/>
      </c>
      <c r="P441" s="50">
        <f>IF(M441="","",M441+N(O441))</f>
        <v/>
      </c>
      <c r="Q441" s="45" t="n"/>
      <c r="R441" s="45" t="n"/>
      <c r="S441" s="51">
        <f>IF(L441="","",IF(COUNTIF(L$6:L441,L441)&gt;1,"",SUMIF(L$6:L$2000,L441,M$6:M$2000)-SUMIF(L$6:L$2000,L441,G$6:G$2000)))</f>
        <v/>
      </c>
      <c r="T441" s="46">
        <f>IF(AND(C441="",G441=""),"",IF(L441="","Nog factureren",IF(AND(G441&lt;&gt;"",OR(K441="",K441&gt;TODAY())),"Nog betalen",IF(OR(R441="",R441&gt;TODAY()),"Wacht op klant","Afgerond"))))</f>
        <v/>
      </c>
    </row>
    <row r="442">
      <c r="A442" s="45" t="n"/>
      <c r="B442" s="46">
        <f>IF(A442="","",YEAR(A442)&amp;" Q"&amp;ROUNDUP(MONTH(A442)/3,0))</f>
        <v/>
      </c>
      <c r="C442" s="47" t="n"/>
      <c r="D442" s="47" t="n"/>
      <c r="E442" s="47" t="n"/>
      <c r="F442" s="47" t="n"/>
      <c r="G442" s="48" t="n"/>
      <c r="H442" s="49" t="n"/>
      <c r="I442" s="50">
        <f>IF(G442="","",ROUND(G442*H442,2))</f>
        <v/>
      </c>
      <c r="J442" s="50">
        <f>IF(G442="","",G442+N(I442))</f>
        <v/>
      </c>
      <c r="K442" s="45" t="n"/>
      <c r="L442" s="47" t="n"/>
      <c r="M442" s="48" t="n"/>
      <c r="N442" s="49" t="n"/>
      <c r="O442" s="50">
        <f>IF(M442="","",ROUND(M442*N442,2))</f>
        <v/>
      </c>
      <c r="P442" s="50">
        <f>IF(M442="","",M442+N(O442))</f>
        <v/>
      </c>
      <c r="Q442" s="45" t="n"/>
      <c r="R442" s="45" t="n"/>
      <c r="S442" s="51">
        <f>IF(L442="","",IF(COUNTIF(L$6:L442,L442)&gt;1,"",SUMIF(L$6:L$2000,L442,M$6:M$2000)-SUMIF(L$6:L$2000,L442,G$6:G$2000)))</f>
        <v/>
      </c>
      <c r="T442" s="46">
        <f>IF(AND(C442="",G442=""),"",IF(L442="","Nog factureren",IF(AND(G442&lt;&gt;"",OR(K442="",K442&gt;TODAY())),"Nog betalen",IF(OR(R442="",R442&gt;TODAY()),"Wacht op klant","Afgerond"))))</f>
        <v/>
      </c>
    </row>
    <row r="443">
      <c r="A443" s="45" t="n"/>
      <c r="B443" s="46">
        <f>IF(A443="","",YEAR(A443)&amp;" Q"&amp;ROUNDUP(MONTH(A443)/3,0))</f>
        <v/>
      </c>
      <c r="C443" s="47" t="n"/>
      <c r="D443" s="47" t="n"/>
      <c r="E443" s="47" t="n"/>
      <c r="F443" s="47" t="n"/>
      <c r="G443" s="48" t="n"/>
      <c r="H443" s="49" t="n"/>
      <c r="I443" s="50">
        <f>IF(G443="","",ROUND(G443*H443,2))</f>
        <v/>
      </c>
      <c r="J443" s="50">
        <f>IF(G443="","",G443+N(I443))</f>
        <v/>
      </c>
      <c r="K443" s="45" t="n"/>
      <c r="L443" s="47" t="n"/>
      <c r="M443" s="48" t="n"/>
      <c r="N443" s="49" t="n"/>
      <c r="O443" s="50">
        <f>IF(M443="","",ROUND(M443*N443,2))</f>
        <v/>
      </c>
      <c r="P443" s="50">
        <f>IF(M443="","",M443+N(O443))</f>
        <v/>
      </c>
      <c r="Q443" s="45" t="n"/>
      <c r="R443" s="45" t="n"/>
      <c r="S443" s="51">
        <f>IF(L443="","",IF(COUNTIF(L$6:L443,L443)&gt;1,"",SUMIF(L$6:L$2000,L443,M$6:M$2000)-SUMIF(L$6:L$2000,L443,G$6:G$2000)))</f>
        <v/>
      </c>
      <c r="T443" s="46">
        <f>IF(AND(C443="",G443=""),"",IF(L443="","Nog factureren",IF(AND(G443&lt;&gt;"",OR(K443="",K443&gt;TODAY())),"Nog betalen",IF(OR(R443="",R443&gt;TODAY()),"Wacht op klant","Afgerond"))))</f>
        <v/>
      </c>
    </row>
    <row r="444">
      <c r="A444" s="45" t="n"/>
      <c r="B444" s="46">
        <f>IF(A444="","",YEAR(A444)&amp;" Q"&amp;ROUNDUP(MONTH(A444)/3,0))</f>
        <v/>
      </c>
      <c r="C444" s="47" t="n"/>
      <c r="D444" s="47" t="n"/>
      <c r="E444" s="47" t="n"/>
      <c r="F444" s="47" t="n"/>
      <c r="G444" s="48" t="n"/>
      <c r="H444" s="49" t="n"/>
      <c r="I444" s="50">
        <f>IF(G444="","",ROUND(G444*H444,2))</f>
        <v/>
      </c>
      <c r="J444" s="50">
        <f>IF(G444="","",G444+N(I444))</f>
        <v/>
      </c>
      <c r="K444" s="45" t="n"/>
      <c r="L444" s="47" t="n"/>
      <c r="M444" s="48" t="n"/>
      <c r="N444" s="49" t="n"/>
      <c r="O444" s="50">
        <f>IF(M444="","",ROUND(M444*N444,2))</f>
        <v/>
      </c>
      <c r="P444" s="50">
        <f>IF(M444="","",M444+N(O444))</f>
        <v/>
      </c>
      <c r="Q444" s="45" t="n"/>
      <c r="R444" s="45" t="n"/>
      <c r="S444" s="51">
        <f>IF(L444="","",IF(COUNTIF(L$6:L444,L444)&gt;1,"",SUMIF(L$6:L$2000,L444,M$6:M$2000)-SUMIF(L$6:L$2000,L444,G$6:G$2000)))</f>
        <v/>
      </c>
      <c r="T444" s="46">
        <f>IF(AND(C444="",G444=""),"",IF(L444="","Nog factureren",IF(AND(G444&lt;&gt;"",OR(K444="",K444&gt;TODAY())),"Nog betalen",IF(OR(R444="",R444&gt;TODAY()),"Wacht op klant","Afgerond"))))</f>
        <v/>
      </c>
    </row>
    <row r="445">
      <c r="A445" s="45" t="n"/>
      <c r="B445" s="46">
        <f>IF(A445="","",YEAR(A445)&amp;" Q"&amp;ROUNDUP(MONTH(A445)/3,0))</f>
        <v/>
      </c>
      <c r="C445" s="47" t="n"/>
      <c r="D445" s="47" t="n"/>
      <c r="E445" s="47" t="n"/>
      <c r="F445" s="47" t="n"/>
      <c r="G445" s="48" t="n"/>
      <c r="H445" s="49" t="n"/>
      <c r="I445" s="50">
        <f>IF(G445="","",ROUND(G445*H445,2))</f>
        <v/>
      </c>
      <c r="J445" s="50">
        <f>IF(G445="","",G445+N(I445))</f>
        <v/>
      </c>
      <c r="K445" s="45" t="n"/>
      <c r="L445" s="47" t="n"/>
      <c r="M445" s="48" t="n"/>
      <c r="N445" s="49" t="n"/>
      <c r="O445" s="50">
        <f>IF(M445="","",ROUND(M445*N445,2))</f>
        <v/>
      </c>
      <c r="P445" s="50">
        <f>IF(M445="","",M445+N(O445))</f>
        <v/>
      </c>
      <c r="Q445" s="45" t="n"/>
      <c r="R445" s="45" t="n"/>
      <c r="S445" s="51">
        <f>IF(L445="","",IF(COUNTIF(L$6:L445,L445)&gt;1,"",SUMIF(L$6:L$2000,L445,M$6:M$2000)-SUMIF(L$6:L$2000,L445,G$6:G$2000)))</f>
        <v/>
      </c>
      <c r="T445" s="46">
        <f>IF(AND(C445="",G445=""),"",IF(L445="","Nog factureren",IF(AND(G445&lt;&gt;"",OR(K445="",K445&gt;TODAY())),"Nog betalen",IF(OR(R445="",R445&gt;TODAY()),"Wacht op klant","Afgerond"))))</f>
        <v/>
      </c>
    </row>
    <row r="446">
      <c r="A446" s="45" t="n"/>
      <c r="B446" s="46">
        <f>IF(A446="","",YEAR(A446)&amp;" Q"&amp;ROUNDUP(MONTH(A446)/3,0))</f>
        <v/>
      </c>
      <c r="C446" s="47" t="n"/>
      <c r="D446" s="47" t="n"/>
      <c r="E446" s="47" t="n"/>
      <c r="F446" s="47" t="n"/>
      <c r="G446" s="48" t="n"/>
      <c r="H446" s="49" t="n"/>
      <c r="I446" s="50">
        <f>IF(G446="","",ROUND(G446*H446,2))</f>
        <v/>
      </c>
      <c r="J446" s="50">
        <f>IF(G446="","",G446+N(I446))</f>
        <v/>
      </c>
      <c r="K446" s="45" t="n"/>
      <c r="L446" s="47" t="n"/>
      <c r="M446" s="48" t="n"/>
      <c r="N446" s="49" t="n"/>
      <c r="O446" s="50">
        <f>IF(M446="","",ROUND(M446*N446,2))</f>
        <v/>
      </c>
      <c r="P446" s="50">
        <f>IF(M446="","",M446+N(O446))</f>
        <v/>
      </c>
      <c r="Q446" s="45" t="n"/>
      <c r="R446" s="45" t="n"/>
      <c r="S446" s="51">
        <f>IF(L446="","",IF(COUNTIF(L$6:L446,L446)&gt;1,"",SUMIF(L$6:L$2000,L446,M$6:M$2000)-SUMIF(L$6:L$2000,L446,G$6:G$2000)))</f>
        <v/>
      </c>
      <c r="T446" s="46">
        <f>IF(AND(C446="",G446=""),"",IF(L446="","Nog factureren",IF(AND(G446&lt;&gt;"",OR(K446="",K446&gt;TODAY())),"Nog betalen",IF(OR(R446="",R446&gt;TODAY()),"Wacht op klant","Afgerond"))))</f>
        <v/>
      </c>
    </row>
    <row r="447">
      <c r="A447" s="45" t="n"/>
      <c r="B447" s="46">
        <f>IF(A447="","",YEAR(A447)&amp;" Q"&amp;ROUNDUP(MONTH(A447)/3,0))</f>
        <v/>
      </c>
      <c r="C447" s="47" t="n"/>
      <c r="D447" s="47" t="n"/>
      <c r="E447" s="47" t="n"/>
      <c r="F447" s="47" t="n"/>
      <c r="G447" s="48" t="n"/>
      <c r="H447" s="49" t="n"/>
      <c r="I447" s="50">
        <f>IF(G447="","",ROUND(G447*H447,2))</f>
        <v/>
      </c>
      <c r="J447" s="50">
        <f>IF(G447="","",G447+N(I447))</f>
        <v/>
      </c>
      <c r="K447" s="45" t="n"/>
      <c r="L447" s="47" t="n"/>
      <c r="M447" s="48" t="n"/>
      <c r="N447" s="49" t="n"/>
      <c r="O447" s="50">
        <f>IF(M447="","",ROUND(M447*N447,2))</f>
        <v/>
      </c>
      <c r="P447" s="50">
        <f>IF(M447="","",M447+N(O447))</f>
        <v/>
      </c>
      <c r="Q447" s="45" t="n"/>
      <c r="R447" s="45" t="n"/>
      <c r="S447" s="51">
        <f>IF(L447="","",IF(COUNTIF(L$6:L447,L447)&gt;1,"",SUMIF(L$6:L$2000,L447,M$6:M$2000)-SUMIF(L$6:L$2000,L447,G$6:G$2000)))</f>
        <v/>
      </c>
      <c r="T447" s="46">
        <f>IF(AND(C447="",G447=""),"",IF(L447="","Nog factureren",IF(AND(G447&lt;&gt;"",OR(K447="",K447&gt;TODAY())),"Nog betalen",IF(OR(R447="",R447&gt;TODAY()),"Wacht op klant","Afgerond"))))</f>
        <v/>
      </c>
    </row>
    <row r="448">
      <c r="A448" s="45" t="n"/>
      <c r="B448" s="46">
        <f>IF(A448="","",YEAR(A448)&amp;" Q"&amp;ROUNDUP(MONTH(A448)/3,0))</f>
        <v/>
      </c>
      <c r="C448" s="47" t="n"/>
      <c r="D448" s="47" t="n"/>
      <c r="E448" s="47" t="n"/>
      <c r="F448" s="47" t="n"/>
      <c r="G448" s="48" t="n"/>
      <c r="H448" s="49" t="n"/>
      <c r="I448" s="50">
        <f>IF(G448="","",ROUND(G448*H448,2))</f>
        <v/>
      </c>
      <c r="J448" s="50">
        <f>IF(G448="","",G448+N(I448))</f>
        <v/>
      </c>
      <c r="K448" s="45" t="n"/>
      <c r="L448" s="47" t="n"/>
      <c r="M448" s="48" t="n"/>
      <c r="N448" s="49" t="n"/>
      <c r="O448" s="50">
        <f>IF(M448="","",ROUND(M448*N448,2))</f>
        <v/>
      </c>
      <c r="P448" s="50">
        <f>IF(M448="","",M448+N(O448))</f>
        <v/>
      </c>
      <c r="Q448" s="45" t="n"/>
      <c r="R448" s="45" t="n"/>
      <c r="S448" s="51">
        <f>IF(L448="","",IF(COUNTIF(L$6:L448,L448)&gt;1,"",SUMIF(L$6:L$2000,L448,M$6:M$2000)-SUMIF(L$6:L$2000,L448,G$6:G$2000)))</f>
        <v/>
      </c>
      <c r="T448" s="46">
        <f>IF(AND(C448="",G448=""),"",IF(L448="","Nog factureren",IF(AND(G448&lt;&gt;"",OR(K448="",K448&gt;TODAY())),"Nog betalen",IF(OR(R448="",R448&gt;TODAY()),"Wacht op klant","Afgerond"))))</f>
        <v/>
      </c>
    </row>
    <row r="449">
      <c r="A449" s="45" t="n"/>
      <c r="B449" s="46">
        <f>IF(A449="","",YEAR(A449)&amp;" Q"&amp;ROUNDUP(MONTH(A449)/3,0))</f>
        <v/>
      </c>
      <c r="C449" s="47" t="n"/>
      <c r="D449" s="47" t="n"/>
      <c r="E449" s="47" t="n"/>
      <c r="F449" s="47" t="n"/>
      <c r="G449" s="48" t="n"/>
      <c r="H449" s="49" t="n"/>
      <c r="I449" s="50">
        <f>IF(G449="","",ROUND(G449*H449,2))</f>
        <v/>
      </c>
      <c r="J449" s="50">
        <f>IF(G449="","",G449+N(I449))</f>
        <v/>
      </c>
      <c r="K449" s="45" t="n"/>
      <c r="L449" s="47" t="n"/>
      <c r="M449" s="48" t="n"/>
      <c r="N449" s="49" t="n"/>
      <c r="O449" s="50">
        <f>IF(M449="","",ROUND(M449*N449,2))</f>
        <v/>
      </c>
      <c r="P449" s="50">
        <f>IF(M449="","",M449+N(O449))</f>
        <v/>
      </c>
      <c r="Q449" s="45" t="n"/>
      <c r="R449" s="45" t="n"/>
      <c r="S449" s="51">
        <f>IF(L449="","",IF(COUNTIF(L$6:L449,L449)&gt;1,"",SUMIF(L$6:L$2000,L449,M$6:M$2000)-SUMIF(L$6:L$2000,L449,G$6:G$2000)))</f>
        <v/>
      </c>
      <c r="T449" s="46">
        <f>IF(AND(C449="",G449=""),"",IF(L449="","Nog factureren",IF(AND(G449&lt;&gt;"",OR(K449="",K449&gt;TODAY())),"Nog betalen",IF(OR(R449="",R449&gt;TODAY()),"Wacht op klant","Afgerond"))))</f>
        <v/>
      </c>
    </row>
    <row r="450">
      <c r="A450" s="45" t="n"/>
      <c r="B450" s="46">
        <f>IF(A450="","",YEAR(A450)&amp;" Q"&amp;ROUNDUP(MONTH(A450)/3,0))</f>
        <v/>
      </c>
      <c r="C450" s="47" t="n"/>
      <c r="D450" s="47" t="n"/>
      <c r="E450" s="47" t="n"/>
      <c r="F450" s="47" t="n"/>
      <c r="G450" s="48" t="n"/>
      <c r="H450" s="49" t="n"/>
      <c r="I450" s="50">
        <f>IF(G450="","",ROUND(G450*H450,2))</f>
        <v/>
      </c>
      <c r="J450" s="50">
        <f>IF(G450="","",G450+N(I450))</f>
        <v/>
      </c>
      <c r="K450" s="45" t="n"/>
      <c r="L450" s="47" t="n"/>
      <c r="M450" s="48" t="n"/>
      <c r="N450" s="49" t="n"/>
      <c r="O450" s="50">
        <f>IF(M450="","",ROUND(M450*N450,2))</f>
        <v/>
      </c>
      <c r="P450" s="50">
        <f>IF(M450="","",M450+N(O450))</f>
        <v/>
      </c>
      <c r="Q450" s="45" t="n"/>
      <c r="R450" s="45" t="n"/>
      <c r="S450" s="51">
        <f>IF(L450="","",IF(COUNTIF(L$6:L450,L450)&gt;1,"",SUMIF(L$6:L$2000,L450,M$6:M$2000)-SUMIF(L$6:L$2000,L450,G$6:G$2000)))</f>
        <v/>
      </c>
      <c r="T450" s="46">
        <f>IF(AND(C450="",G450=""),"",IF(L450="","Nog factureren",IF(AND(G450&lt;&gt;"",OR(K450="",K450&gt;TODAY())),"Nog betalen",IF(OR(R450="",R450&gt;TODAY()),"Wacht op klant","Afgerond"))))</f>
        <v/>
      </c>
    </row>
    <row r="451">
      <c r="A451" s="45" t="n"/>
      <c r="B451" s="46">
        <f>IF(A451="","",YEAR(A451)&amp;" Q"&amp;ROUNDUP(MONTH(A451)/3,0))</f>
        <v/>
      </c>
      <c r="C451" s="47" t="n"/>
      <c r="D451" s="47" t="n"/>
      <c r="E451" s="47" t="n"/>
      <c r="F451" s="47" t="n"/>
      <c r="G451" s="48" t="n"/>
      <c r="H451" s="49" t="n"/>
      <c r="I451" s="50">
        <f>IF(G451="","",ROUND(G451*H451,2))</f>
        <v/>
      </c>
      <c r="J451" s="50">
        <f>IF(G451="","",G451+N(I451))</f>
        <v/>
      </c>
      <c r="K451" s="45" t="n"/>
      <c r="L451" s="47" t="n"/>
      <c r="M451" s="48" t="n"/>
      <c r="N451" s="49" t="n"/>
      <c r="O451" s="50">
        <f>IF(M451="","",ROUND(M451*N451,2))</f>
        <v/>
      </c>
      <c r="P451" s="50">
        <f>IF(M451="","",M451+N(O451))</f>
        <v/>
      </c>
      <c r="Q451" s="45" t="n"/>
      <c r="R451" s="45" t="n"/>
      <c r="S451" s="51">
        <f>IF(L451="","",IF(COUNTIF(L$6:L451,L451)&gt;1,"",SUMIF(L$6:L$2000,L451,M$6:M$2000)-SUMIF(L$6:L$2000,L451,G$6:G$2000)))</f>
        <v/>
      </c>
      <c r="T451" s="46">
        <f>IF(AND(C451="",G451=""),"",IF(L451="","Nog factureren",IF(AND(G451&lt;&gt;"",OR(K451="",K451&gt;TODAY())),"Nog betalen",IF(OR(R451="",R451&gt;TODAY()),"Wacht op klant","Afgerond"))))</f>
        <v/>
      </c>
    </row>
    <row r="452">
      <c r="A452" s="45" t="n"/>
      <c r="B452" s="46">
        <f>IF(A452="","",YEAR(A452)&amp;" Q"&amp;ROUNDUP(MONTH(A452)/3,0))</f>
        <v/>
      </c>
      <c r="C452" s="47" t="n"/>
      <c r="D452" s="47" t="n"/>
      <c r="E452" s="47" t="n"/>
      <c r="F452" s="47" t="n"/>
      <c r="G452" s="48" t="n"/>
      <c r="H452" s="49" t="n"/>
      <c r="I452" s="50">
        <f>IF(G452="","",ROUND(G452*H452,2))</f>
        <v/>
      </c>
      <c r="J452" s="50">
        <f>IF(G452="","",G452+N(I452))</f>
        <v/>
      </c>
      <c r="K452" s="45" t="n"/>
      <c r="L452" s="47" t="n"/>
      <c r="M452" s="48" t="n"/>
      <c r="N452" s="49" t="n"/>
      <c r="O452" s="50">
        <f>IF(M452="","",ROUND(M452*N452,2))</f>
        <v/>
      </c>
      <c r="P452" s="50">
        <f>IF(M452="","",M452+N(O452))</f>
        <v/>
      </c>
      <c r="Q452" s="45" t="n"/>
      <c r="R452" s="45" t="n"/>
      <c r="S452" s="51">
        <f>IF(L452="","",IF(COUNTIF(L$6:L452,L452)&gt;1,"",SUMIF(L$6:L$2000,L452,M$6:M$2000)-SUMIF(L$6:L$2000,L452,G$6:G$2000)))</f>
        <v/>
      </c>
      <c r="T452" s="46">
        <f>IF(AND(C452="",G452=""),"",IF(L452="","Nog factureren",IF(AND(G452&lt;&gt;"",OR(K452="",K452&gt;TODAY())),"Nog betalen",IF(OR(R452="",R452&gt;TODAY()),"Wacht op klant","Afgerond"))))</f>
        <v/>
      </c>
    </row>
    <row r="453">
      <c r="A453" s="45" t="n"/>
      <c r="B453" s="46">
        <f>IF(A453="","",YEAR(A453)&amp;" Q"&amp;ROUNDUP(MONTH(A453)/3,0))</f>
        <v/>
      </c>
      <c r="C453" s="47" t="n"/>
      <c r="D453" s="47" t="n"/>
      <c r="E453" s="47" t="n"/>
      <c r="F453" s="47" t="n"/>
      <c r="G453" s="48" t="n"/>
      <c r="H453" s="49" t="n"/>
      <c r="I453" s="50">
        <f>IF(G453="","",ROUND(G453*H453,2))</f>
        <v/>
      </c>
      <c r="J453" s="50">
        <f>IF(G453="","",G453+N(I453))</f>
        <v/>
      </c>
      <c r="K453" s="45" t="n"/>
      <c r="L453" s="47" t="n"/>
      <c r="M453" s="48" t="n"/>
      <c r="N453" s="49" t="n"/>
      <c r="O453" s="50">
        <f>IF(M453="","",ROUND(M453*N453,2))</f>
        <v/>
      </c>
      <c r="P453" s="50">
        <f>IF(M453="","",M453+N(O453))</f>
        <v/>
      </c>
      <c r="Q453" s="45" t="n"/>
      <c r="R453" s="45" t="n"/>
      <c r="S453" s="51">
        <f>IF(L453="","",IF(COUNTIF(L$6:L453,L453)&gt;1,"",SUMIF(L$6:L$2000,L453,M$6:M$2000)-SUMIF(L$6:L$2000,L453,G$6:G$2000)))</f>
        <v/>
      </c>
      <c r="T453" s="46">
        <f>IF(AND(C453="",G453=""),"",IF(L453="","Nog factureren",IF(AND(G453&lt;&gt;"",OR(K453="",K453&gt;TODAY())),"Nog betalen",IF(OR(R453="",R453&gt;TODAY()),"Wacht op klant","Afgerond"))))</f>
        <v/>
      </c>
    </row>
    <row r="454">
      <c r="A454" s="45" t="n"/>
      <c r="B454" s="46">
        <f>IF(A454="","",YEAR(A454)&amp;" Q"&amp;ROUNDUP(MONTH(A454)/3,0))</f>
        <v/>
      </c>
      <c r="C454" s="47" t="n"/>
      <c r="D454" s="47" t="n"/>
      <c r="E454" s="47" t="n"/>
      <c r="F454" s="47" t="n"/>
      <c r="G454" s="48" t="n"/>
      <c r="H454" s="49" t="n"/>
      <c r="I454" s="50">
        <f>IF(G454="","",ROUND(G454*H454,2))</f>
        <v/>
      </c>
      <c r="J454" s="50">
        <f>IF(G454="","",G454+N(I454))</f>
        <v/>
      </c>
      <c r="K454" s="45" t="n"/>
      <c r="L454" s="47" t="n"/>
      <c r="M454" s="48" t="n"/>
      <c r="N454" s="49" t="n"/>
      <c r="O454" s="50">
        <f>IF(M454="","",ROUND(M454*N454,2))</f>
        <v/>
      </c>
      <c r="P454" s="50">
        <f>IF(M454="","",M454+N(O454))</f>
        <v/>
      </c>
      <c r="Q454" s="45" t="n"/>
      <c r="R454" s="45" t="n"/>
      <c r="S454" s="51">
        <f>IF(L454="","",IF(COUNTIF(L$6:L454,L454)&gt;1,"",SUMIF(L$6:L$2000,L454,M$6:M$2000)-SUMIF(L$6:L$2000,L454,G$6:G$2000)))</f>
        <v/>
      </c>
      <c r="T454" s="46">
        <f>IF(AND(C454="",G454=""),"",IF(L454="","Nog factureren",IF(AND(G454&lt;&gt;"",OR(K454="",K454&gt;TODAY())),"Nog betalen",IF(OR(R454="",R454&gt;TODAY()),"Wacht op klant","Afgerond"))))</f>
        <v/>
      </c>
    </row>
    <row r="455">
      <c r="A455" s="45" t="n"/>
      <c r="B455" s="46">
        <f>IF(A455="","",YEAR(A455)&amp;" Q"&amp;ROUNDUP(MONTH(A455)/3,0))</f>
        <v/>
      </c>
      <c r="C455" s="47" t="n"/>
      <c r="D455" s="47" t="n"/>
      <c r="E455" s="47" t="n"/>
      <c r="F455" s="47" t="n"/>
      <c r="G455" s="48" t="n"/>
      <c r="H455" s="49" t="n"/>
      <c r="I455" s="50">
        <f>IF(G455="","",ROUND(G455*H455,2))</f>
        <v/>
      </c>
      <c r="J455" s="50">
        <f>IF(G455="","",G455+N(I455))</f>
        <v/>
      </c>
      <c r="K455" s="45" t="n"/>
      <c r="L455" s="47" t="n"/>
      <c r="M455" s="48" t="n"/>
      <c r="N455" s="49" t="n"/>
      <c r="O455" s="50">
        <f>IF(M455="","",ROUND(M455*N455,2))</f>
        <v/>
      </c>
      <c r="P455" s="50">
        <f>IF(M455="","",M455+N(O455))</f>
        <v/>
      </c>
      <c r="Q455" s="45" t="n"/>
      <c r="R455" s="45" t="n"/>
      <c r="S455" s="51">
        <f>IF(L455="","",IF(COUNTIF(L$6:L455,L455)&gt;1,"",SUMIF(L$6:L$2000,L455,M$6:M$2000)-SUMIF(L$6:L$2000,L455,G$6:G$2000)))</f>
        <v/>
      </c>
      <c r="T455" s="46">
        <f>IF(AND(C455="",G455=""),"",IF(L455="","Nog factureren",IF(AND(G455&lt;&gt;"",OR(K455="",K455&gt;TODAY())),"Nog betalen",IF(OR(R455="",R455&gt;TODAY()),"Wacht op klant","Afgerond"))))</f>
        <v/>
      </c>
    </row>
    <row r="456">
      <c r="A456" s="45" t="n"/>
      <c r="B456" s="46">
        <f>IF(A456="","",YEAR(A456)&amp;" Q"&amp;ROUNDUP(MONTH(A456)/3,0))</f>
        <v/>
      </c>
      <c r="C456" s="47" t="n"/>
      <c r="D456" s="47" t="n"/>
      <c r="E456" s="47" t="n"/>
      <c r="F456" s="47" t="n"/>
      <c r="G456" s="48" t="n"/>
      <c r="H456" s="49" t="n"/>
      <c r="I456" s="50">
        <f>IF(G456="","",ROUND(G456*H456,2))</f>
        <v/>
      </c>
      <c r="J456" s="50">
        <f>IF(G456="","",G456+N(I456))</f>
        <v/>
      </c>
      <c r="K456" s="45" t="n"/>
      <c r="L456" s="47" t="n"/>
      <c r="M456" s="48" t="n"/>
      <c r="N456" s="49" t="n"/>
      <c r="O456" s="50">
        <f>IF(M456="","",ROUND(M456*N456,2))</f>
        <v/>
      </c>
      <c r="P456" s="50">
        <f>IF(M456="","",M456+N(O456))</f>
        <v/>
      </c>
      <c r="Q456" s="45" t="n"/>
      <c r="R456" s="45" t="n"/>
      <c r="S456" s="51">
        <f>IF(L456="","",IF(COUNTIF(L$6:L456,L456)&gt;1,"",SUMIF(L$6:L$2000,L456,M$6:M$2000)-SUMIF(L$6:L$2000,L456,G$6:G$2000)))</f>
        <v/>
      </c>
      <c r="T456" s="46">
        <f>IF(AND(C456="",G456=""),"",IF(L456="","Nog factureren",IF(AND(G456&lt;&gt;"",OR(K456="",K456&gt;TODAY())),"Nog betalen",IF(OR(R456="",R456&gt;TODAY()),"Wacht op klant","Afgerond"))))</f>
        <v/>
      </c>
    </row>
    <row r="457">
      <c r="A457" s="45" t="n"/>
      <c r="B457" s="46">
        <f>IF(A457="","",YEAR(A457)&amp;" Q"&amp;ROUNDUP(MONTH(A457)/3,0))</f>
        <v/>
      </c>
      <c r="C457" s="47" t="n"/>
      <c r="D457" s="47" t="n"/>
      <c r="E457" s="47" t="n"/>
      <c r="F457" s="47" t="n"/>
      <c r="G457" s="48" t="n"/>
      <c r="H457" s="49" t="n"/>
      <c r="I457" s="50">
        <f>IF(G457="","",ROUND(G457*H457,2))</f>
        <v/>
      </c>
      <c r="J457" s="50">
        <f>IF(G457="","",G457+N(I457))</f>
        <v/>
      </c>
      <c r="K457" s="45" t="n"/>
      <c r="L457" s="47" t="n"/>
      <c r="M457" s="48" t="n"/>
      <c r="N457" s="49" t="n"/>
      <c r="O457" s="50">
        <f>IF(M457="","",ROUND(M457*N457,2))</f>
        <v/>
      </c>
      <c r="P457" s="50">
        <f>IF(M457="","",M457+N(O457))</f>
        <v/>
      </c>
      <c r="Q457" s="45" t="n"/>
      <c r="R457" s="45" t="n"/>
      <c r="S457" s="51">
        <f>IF(L457="","",IF(COUNTIF(L$6:L457,L457)&gt;1,"",SUMIF(L$6:L$2000,L457,M$6:M$2000)-SUMIF(L$6:L$2000,L457,G$6:G$2000)))</f>
        <v/>
      </c>
      <c r="T457" s="46">
        <f>IF(AND(C457="",G457=""),"",IF(L457="","Nog factureren",IF(AND(G457&lt;&gt;"",OR(K457="",K457&gt;TODAY())),"Nog betalen",IF(OR(R457="",R457&gt;TODAY()),"Wacht op klant","Afgerond"))))</f>
        <v/>
      </c>
    </row>
    <row r="458">
      <c r="A458" s="45" t="n"/>
      <c r="B458" s="46">
        <f>IF(A458="","",YEAR(A458)&amp;" Q"&amp;ROUNDUP(MONTH(A458)/3,0))</f>
        <v/>
      </c>
      <c r="C458" s="47" t="n"/>
      <c r="D458" s="47" t="n"/>
      <c r="E458" s="47" t="n"/>
      <c r="F458" s="47" t="n"/>
      <c r="G458" s="48" t="n"/>
      <c r="H458" s="49" t="n"/>
      <c r="I458" s="50">
        <f>IF(G458="","",ROUND(G458*H458,2))</f>
        <v/>
      </c>
      <c r="J458" s="50">
        <f>IF(G458="","",G458+N(I458))</f>
        <v/>
      </c>
      <c r="K458" s="45" t="n"/>
      <c r="L458" s="47" t="n"/>
      <c r="M458" s="48" t="n"/>
      <c r="N458" s="49" t="n"/>
      <c r="O458" s="50">
        <f>IF(M458="","",ROUND(M458*N458,2))</f>
        <v/>
      </c>
      <c r="P458" s="50">
        <f>IF(M458="","",M458+N(O458))</f>
        <v/>
      </c>
      <c r="Q458" s="45" t="n"/>
      <c r="R458" s="45" t="n"/>
      <c r="S458" s="51">
        <f>IF(L458="","",IF(COUNTIF(L$6:L458,L458)&gt;1,"",SUMIF(L$6:L$2000,L458,M$6:M$2000)-SUMIF(L$6:L$2000,L458,G$6:G$2000)))</f>
        <v/>
      </c>
      <c r="T458" s="46">
        <f>IF(AND(C458="",G458=""),"",IF(L458="","Nog factureren",IF(AND(G458&lt;&gt;"",OR(K458="",K458&gt;TODAY())),"Nog betalen",IF(OR(R458="",R458&gt;TODAY()),"Wacht op klant","Afgerond"))))</f>
        <v/>
      </c>
    </row>
    <row r="459">
      <c r="A459" s="45" t="n"/>
      <c r="B459" s="46">
        <f>IF(A459="","",YEAR(A459)&amp;" Q"&amp;ROUNDUP(MONTH(A459)/3,0))</f>
        <v/>
      </c>
      <c r="C459" s="47" t="n"/>
      <c r="D459" s="47" t="n"/>
      <c r="E459" s="47" t="n"/>
      <c r="F459" s="47" t="n"/>
      <c r="G459" s="48" t="n"/>
      <c r="H459" s="49" t="n"/>
      <c r="I459" s="50">
        <f>IF(G459="","",ROUND(G459*H459,2))</f>
        <v/>
      </c>
      <c r="J459" s="50">
        <f>IF(G459="","",G459+N(I459))</f>
        <v/>
      </c>
      <c r="K459" s="45" t="n"/>
      <c r="L459" s="47" t="n"/>
      <c r="M459" s="48" t="n"/>
      <c r="N459" s="49" t="n"/>
      <c r="O459" s="50">
        <f>IF(M459="","",ROUND(M459*N459,2))</f>
        <v/>
      </c>
      <c r="P459" s="50">
        <f>IF(M459="","",M459+N(O459))</f>
        <v/>
      </c>
      <c r="Q459" s="45" t="n"/>
      <c r="R459" s="45" t="n"/>
      <c r="S459" s="51">
        <f>IF(L459="","",IF(COUNTIF(L$6:L459,L459)&gt;1,"",SUMIF(L$6:L$2000,L459,M$6:M$2000)-SUMIF(L$6:L$2000,L459,G$6:G$2000)))</f>
        <v/>
      </c>
      <c r="T459" s="46">
        <f>IF(AND(C459="",G459=""),"",IF(L459="","Nog factureren",IF(AND(G459&lt;&gt;"",OR(K459="",K459&gt;TODAY())),"Nog betalen",IF(OR(R459="",R459&gt;TODAY()),"Wacht op klant","Afgerond"))))</f>
        <v/>
      </c>
    </row>
    <row r="460">
      <c r="A460" s="45" t="n"/>
      <c r="B460" s="46">
        <f>IF(A460="","",YEAR(A460)&amp;" Q"&amp;ROUNDUP(MONTH(A460)/3,0))</f>
        <v/>
      </c>
      <c r="C460" s="47" t="n"/>
      <c r="D460" s="47" t="n"/>
      <c r="E460" s="47" t="n"/>
      <c r="F460" s="47" t="n"/>
      <c r="G460" s="48" t="n"/>
      <c r="H460" s="49" t="n"/>
      <c r="I460" s="50">
        <f>IF(G460="","",ROUND(G460*H460,2))</f>
        <v/>
      </c>
      <c r="J460" s="50">
        <f>IF(G460="","",G460+N(I460))</f>
        <v/>
      </c>
      <c r="K460" s="45" t="n"/>
      <c r="L460" s="47" t="n"/>
      <c r="M460" s="48" t="n"/>
      <c r="N460" s="49" t="n"/>
      <c r="O460" s="50">
        <f>IF(M460="","",ROUND(M460*N460,2))</f>
        <v/>
      </c>
      <c r="P460" s="50">
        <f>IF(M460="","",M460+N(O460))</f>
        <v/>
      </c>
      <c r="Q460" s="45" t="n"/>
      <c r="R460" s="45" t="n"/>
      <c r="S460" s="51">
        <f>IF(L460="","",IF(COUNTIF(L$6:L460,L460)&gt;1,"",SUMIF(L$6:L$2000,L460,M$6:M$2000)-SUMIF(L$6:L$2000,L460,G$6:G$2000)))</f>
        <v/>
      </c>
      <c r="T460" s="46">
        <f>IF(AND(C460="",G460=""),"",IF(L460="","Nog factureren",IF(AND(G460&lt;&gt;"",OR(K460="",K460&gt;TODAY())),"Nog betalen",IF(OR(R460="",R460&gt;TODAY()),"Wacht op klant","Afgerond"))))</f>
        <v/>
      </c>
    </row>
    <row r="461">
      <c r="A461" s="45" t="n"/>
      <c r="B461" s="46">
        <f>IF(A461="","",YEAR(A461)&amp;" Q"&amp;ROUNDUP(MONTH(A461)/3,0))</f>
        <v/>
      </c>
      <c r="C461" s="47" t="n"/>
      <c r="D461" s="47" t="n"/>
      <c r="E461" s="47" t="n"/>
      <c r="F461" s="47" t="n"/>
      <c r="G461" s="48" t="n"/>
      <c r="H461" s="49" t="n"/>
      <c r="I461" s="50">
        <f>IF(G461="","",ROUND(G461*H461,2))</f>
        <v/>
      </c>
      <c r="J461" s="50">
        <f>IF(G461="","",G461+N(I461))</f>
        <v/>
      </c>
      <c r="K461" s="45" t="n"/>
      <c r="L461" s="47" t="n"/>
      <c r="M461" s="48" t="n"/>
      <c r="N461" s="49" t="n"/>
      <c r="O461" s="50">
        <f>IF(M461="","",ROUND(M461*N461,2))</f>
        <v/>
      </c>
      <c r="P461" s="50">
        <f>IF(M461="","",M461+N(O461))</f>
        <v/>
      </c>
      <c r="Q461" s="45" t="n"/>
      <c r="R461" s="45" t="n"/>
      <c r="S461" s="51">
        <f>IF(L461="","",IF(COUNTIF(L$6:L461,L461)&gt;1,"",SUMIF(L$6:L$2000,L461,M$6:M$2000)-SUMIF(L$6:L$2000,L461,G$6:G$2000)))</f>
        <v/>
      </c>
      <c r="T461" s="46">
        <f>IF(AND(C461="",G461=""),"",IF(L461="","Nog factureren",IF(AND(G461&lt;&gt;"",OR(K461="",K461&gt;TODAY())),"Nog betalen",IF(OR(R461="",R461&gt;TODAY()),"Wacht op klant","Afgerond"))))</f>
        <v/>
      </c>
    </row>
    <row r="462">
      <c r="A462" s="45" t="n"/>
      <c r="B462" s="46">
        <f>IF(A462="","",YEAR(A462)&amp;" Q"&amp;ROUNDUP(MONTH(A462)/3,0))</f>
        <v/>
      </c>
      <c r="C462" s="47" t="n"/>
      <c r="D462" s="47" t="n"/>
      <c r="E462" s="47" t="n"/>
      <c r="F462" s="47" t="n"/>
      <c r="G462" s="48" t="n"/>
      <c r="H462" s="49" t="n"/>
      <c r="I462" s="50">
        <f>IF(G462="","",ROUND(G462*H462,2))</f>
        <v/>
      </c>
      <c r="J462" s="50">
        <f>IF(G462="","",G462+N(I462))</f>
        <v/>
      </c>
      <c r="K462" s="45" t="n"/>
      <c r="L462" s="47" t="n"/>
      <c r="M462" s="48" t="n"/>
      <c r="N462" s="49" t="n"/>
      <c r="O462" s="50">
        <f>IF(M462="","",ROUND(M462*N462,2))</f>
        <v/>
      </c>
      <c r="P462" s="50">
        <f>IF(M462="","",M462+N(O462))</f>
        <v/>
      </c>
      <c r="Q462" s="45" t="n"/>
      <c r="R462" s="45" t="n"/>
      <c r="S462" s="51">
        <f>IF(L462="","",IF(COUNTIF(L$6:L462,L462)&gt;1,"",SUMIF(L$6:L$2000,L462,M$6:M$2000)-SUMIF(L$6:L$2000,L462,G$6:G$2000)))</f>
        <v/>
      </c>
      <c r="T462" s="46">
        <f>IF(AND(C462="",G462=""),"",IF(L462="","Nog factureren",IF(AND(G462&lt;&gt;"",OR(K462="",K462&gt;TODAY())),"Nog betalen",IF(OR(R462="",R462&gt;TODAY()),"Wacht op klant","Afgerond"))))</f>
        <v/>
      </c>
    </row>
    <row r="463">
      <c r="A463" s="45" t="n"/>
      <c r="B463" s="46">
        <f>IF(A463="","",YEAR(A463)&amp;" Q"&amp;ROUNDUP(MONTH(A463)/3,0))</f>
        <v/>
      </c>
      <c r="C463" s="47" t="n"/>
      <c r="D463" s="47" t="n"/>
      <c r="E463" s="47" t="n"/>
      <c r="F463" s="47" t="n"/>
      <c r="G463" s="48" t="n"/>
      <c r="H463" s="49" t="n"/>
      <c r="I463" s="50">
        <f>IF(G463="","",ROUND(G463*H463,2))</f>
        <v/>
      </c>
      <c r="J463" s="50">
        <f>IF(G463="","",G463+N(I463))</f>
        <v/>
      </c>
      <c r="K463" s="45" t="n"/>
      <c r="L463" s="47" t="n"/>
      <c r="M463" s="48" t="n"/>
      <c r="N463" s="49" t="n"/>
      <c r="O463" s="50">
        <f>IF(M463="","",ROUND(M463*N463,2))</f>
        <v/>
      </c>
      <c r="P463" s="50">
        <f>IF(M463="","",M463+N(O463))</f>
        <v/>
      </c>
      <c r="Q463" s="45" t="n"/>
      <c r="R463" s="45" t="n"/>
      <c r="S463" s="51">
        <f>IF(L463="","",IF(COUNTIF(L$6:L463,L463)&gt;1,"",SUMIF(L$6:L$2000,L463,M$6:M$2000)-SUMIF(L$6:L$2000,L463,G$6:G$2000)))</f>
        <v/>
      </c>
      <c r="T463" s="46">
        <f>IF(AND(C463="",G463=""),"",IF(L463="","Nog factureren",IF(AND(G463&lt;&gt;"",OR(K463="",K463&gt;TODAY())),"Nog betalen",IF(OR(R463="",R463&gt;TODAY()),"Wacht op klant","Afgerond"))))</f>
        <v/>
      </c>
    </row>
    <row r="464">
      <c r="A464" s="45" t="n"/>
      <c r="B464" s="46">
        <f>IF(A464="","",YEAR(A464)&amp;" Q"&amp;ROUNDUP(MONTH(A464)/3,0))</f>
        <v/>
      </c>
      <c r="C464" s="47" t="n"/>
      <c r="D464" s="47" t="n"/>
      <c r="E464" s="47" t="n"/>
      <c r="F464" s="47" t="n"/>
      <c r="G464" s="48" t="n"/>
      <c r="H464" s="49" t="n"/>
      <c r="I464" s="50">
        <f>IF(G464="","",ROUND(G464*H464,2))</f>
        <v/>
      </c>
      <c r="J464" s="50">
        <f>IF(G464="","",G464+N(I464))</f>
        <v/>
      </c>
      <c r="K464" s="45" t="n"/>
      <c r="L464" s="47" t="n"/>
      <c r="M464" s="48" t="n"/>
      <c r="N464" s="49" t="n"/>
      <c r="O464" s="50">
        <f>IF(M464="","",ROUND(M464*N464,2))</f>
        <v/>
      </c>
      <c r="P464" s="50">
        <f>IF(M464="","",M464+N(O464))</f>
        <v/>
      </c>
      <c r="Q464" s="45" t="n"/>
      <c r="R464" s="45" t="n"/>
      <c r="S464" s="51">
        <f>IF(L464="","",IF(COUNTIF(L$6:L464,L464)&gt;1,"",SUMIF(L$6:L$2000,L464,M$6:M$2000)-SUMIF(L$6:L$2000,L464,G$6:G$2000)))</f>
        <v/>
      </c>
      <c r="T464" s="46">
        <f>IF(AND(C464="",G464=""),"",IF(L464="","Nog factureren",IF(AND(G464&lt;&gt;"",OR(K464="",K464&gt;TODAY())),"Nog betalen",IF(OR(R464="",R464&gt;TODAY()),"Wacht op klant","Afgerond"))))</f>
        <v/>
      </c>
    </row>
    <row r="465">
      <c r="A465" s="45" t="n"/>
      <c r="B465" s="46">
        <f>IF(A465="","",YEAR(A465)&amp;" Q"&amp;ROUNDUP(MONTH(A465)/3,0))</f>
        <v/>
      </c>
      <c r="C465" s="47" t="n"/>
      <c r="D465" s="47" t="n"/>
      <c r="E465" s="47" t="n"/>
      <c r="F465" s="47" t="n"/>
      <c r="G465" s="48" t="n"/>
      <c r="H465" s="49" t="n"/>
      <c r="I465" s="50">
        <f>IF(G465="","",ROUND(G465*H465,2))</f>
        <v/>
      </c>
      <c r="J465" s="50">
        <f>IF(G465="","",G465+N(I465))</f>
        <v/>
      </c>
      <c r="K465" s="45" t="n"/>
      <c r="L465" s="47" t="n"/>
      <c r="M465" s="48" t="n"/>
      <c r="N465" s="49" t="n"/>
      <c r="O465" s="50">
        <f>IF(M465="","",ROUND(M465*N465,2))</f>
        <v/>
      </c>
      <c r="P465" s="50">
        <f>IF(M465="","",M465+N(O465))</f>
        <v/>
      </c>
      <c r="Q465" s="45" t="n"/>
      <c r="R465" s="45" t="n"/>
      <c r="S465" s="51">
        <f>IF(L465="","",IF(COUNTIF(L$6:L465,L465)&gt;1,"",SUMIF(L$6:L$2000,L465,M$6:M$2000)-SUMIF(L$6:L$2000,L465,G$6:G$2000)))</f>
        <v/>
      </c>
      <c r="T465" s="46">
        <f>IF(AND(C465="",G465=""),"",IF(L465="","Nog factureren",IF(AND(G465&lt;&gt;"",OR(K465="",K465&gt;TODAY())),"Nog betalen",IF(OR(R465="",R465&gt;TODAY()),"Wacht op klant","Afgerond"))))</f>
        <v/>
      </c>
    </row>
    <row r="466">
      <c r="A466" s="45" t="n"/>
      <c r="B466" s="46">
        <f>IF(A466="","",YEAR(A466)&amp;" Q"&amp;ROUNDUP(MONTH(A466)/3,0))</f>
        <v/>
      </c>
      <c r="C466" s="47" t="n"/>
      <c r="D466" s="47" t="n"/>
      <c r="E466" s="47" t="n"/>
      <c r="F466" s="47" t="n"/>
      <c r="G466" s="48" t="n"/>
      <c r="H466" s="49" t="n"/>
      <c r="I466" s="50">
        <f>IF(G466="","",ROUND(G466*H466,2))</f>
        <v/>
      </c>
      <c r="J466" s="50">
        <f>IF(G466="","",G466+N(I466))</f>
        <v/>
      </c>
      <c r="K466" s="45" t="n"/>
      <c r="L466" s="47" t="n"/>
      <c r="M466" s="48" t="n"/>
      <c r="N466" s="49" t="n"/>
      <c r="O466" s="50">
        <f>IF(M466="","",ROUND(M466*N466,2))</f>
        <v/>
      </c>
      <c r="P466" s="50">
        <f>IF(M466="","",M466+N(O466))</f>
        <v/>
      </c>
      <c r="Q466" s="45" t="n"/>
      <c r="R466" s="45" t="n"/>
      <c r="S466" s="51">
        <f>IF(L466="","",IF(COUNTIF(L$6:L466,L466)&gt;1,"",SUMIF(L$6:L$2000,L466,M$6:M$2000)-SUMIF(L$6:L$2000,L466,G$6:G$2000)))</f>
        <v/>
      </c>
      <c r="T466" s="46">
        <f>IF(AND(C466="",G466=""),"",IF(L466="","Nog factureren",IF(AND(G466&lt;&gt;"",OR(K466="",K466&gt;TODAY())),"Nog betalen",IF(OR(R466="",R466&gt;TODAY()),"Wacht op klant","Afgerond"))))</f>
        <v/>
      </c>
    </row>
    <row r="467">
      <c r="A467" s="45" t="n"/>
      <c r="B467" s="46">
        <f>IF(A467="","",YEAR(A467)&amp;" Q"&amp;ROUNDUP(MONTH(A467)/3,0))</f>
        <v/>
      </c>
      <c r="C467" s="47" t="n"/>
      <c r="D467" s="47" t="n"/>
      <c r="E467" s="47" t="n"/>
      <c r="F467" s="47" t="n"/>
      <c r="G467" s="48" t="n"/>
      <c r="H467" s="49" t="n"/>
      <c r="I467" s="50">
        <f>IF(G467="","",ROUND(G467*H467,2))</f>
        <v/>
      </c>
      <c r="J467" s="50">
        <f>IF(G467="","",G467+N(I467))</f>
        <v/>
      </c>
      <c r="K467" s="45" t="n"/>
      <c r="L467" s="47" t="n"/>
      <c r="M467" s="48" t="n"/>
      <c r="N467" s="49" t="n"/>
      <c r="O467" s="50">
        <f>IF(M467="","",ROUND(M467*N467,2))</f>
        <v/>
      </c>
      <c r="P467" s="50">
        <f>IF(M467="","",M467+N(O467))</f>
        <v/>
      </c>
      <c r="Q467" s="45" t="n"/>
      <c r="R467" s="45" t="n"/>
      <c r="S467" s="51">
        <f>IF(L467="","",IF(COUNTIF(L$6:L467,L467)&gt;1,"",SUMIF(L$6:L$2000,L467,M$6:M$2000)-SUMIF(L$6:L$2000,L467,G$6:G$2000)))</f>
        <v/>
      </c>
      <c r="T467" s="46">
        <f>IF(AND(C467="",G467=""),"",IF(L467="","Nog factureren",IF(AND(G467&lt;&gt;"",OR(K467="",K467&gt;TODAY())),"Nog betalen",IF(OR(R467="",R467&gt;TODAY()),"Wacht op klant","Afgerond"))))</f>
        <v/>
      </c>
    </row>
    <row r="468">
      <c r="A468" s="45" t="n"/>
      <c r="B468" s="46">
        <f>IF(A468="","",YEAR(A468)&amp;" Q"&amp;ROUNDUP(MONTH(A468)/3,0))</f>
        <v/>
      </c>
      <c r="C468" s="47" t="n"/>
      <c r="D468" s="47" t="n"/>
      <c r="E468" s="47" t="n"/>
      <c r="F468" s="47" t="n"/>
      <c r="G468" s="48" t="n"/>
      <c r="H468" s="49" t="n"/>
      <c r="I468" s="50">
        <f>IF(G468="","",ROUND(G468*H468,2))</f>
        <v/>
      </c>
      <c r="J468" s="50">
        <f>IF(G468="","",G468+N(I468))</f>
        <v/>
      </c>
      <c r="K468" s="45" t="n"/>
      <c r="L468" s="47" t="n"/>
      <c r="M468" s="48" t="n"/>
      <c r="N468" s="49" t="n"/>
      <c r="O468" s="50">
        <f>IF(M468="","",ROUND(M468*N468,2))</f>
        <v/>
      </c>
      <c r="P468" s="50">
        <f>IF(M468="","",M468+N(O468))</f>
        <v/>
      </c>
      <c r="Q468" s="45" t="n"/>
      <c r="R468" s="45" t="n"/>
      <c r="S468" s="51">
        <f>IF(L468="","",IF(COUNTIF(L$6:L468,L468)&gt;1,"",SUMIF(L$6:L$2000,L468,M$6:M$2000)-SUMIF(L$6:L$2000,L468,G$6:G$2000)))</f>
        <v/>
      </c>
      <c r="T468" s="46">
        <f>IF(AND(C468="",G468=""),"",IF(L468="","Nog factureren",IF(AND(G468&lt;&gt;"",OR(K468="",K468&gt;TODAY())),"Nog betalen",IF(OR(R468="",R468&gt;TODAY()),"Wacht op klant","Afgerond"))))</f>
        <v/>
      </c>
    </row>
    <row r="469">
      <c r="A469" s="45" t="n"/>
      <c r="B469" s="46">
        <f>IF(A469="","",YEAR(A469)&amp;" Q"&amp;ROUNDUP(MONTH(A469)/3,0))</f>
        <v/>
      </c>
      <c r="C469" s="47" t="n"/>
      <c r="D469" s="47" t="n"/>
      <c r="E469" s="47" t="n"/>
      <c r="F469" s="47" t="n"/>
      <c r="G469" s="48" t="n"/>
      <c r="H469" s="49" t="n"/>
      <c r="I469" s="50">
        <f>IF(G469="","",ROUND(G469*H469,2))</f>
        <v/>
      </c>
      <c r="J469" s="50">
        <f>IF(G469="","",G469+N(I469))</f>
        <v/>
      </c>
      <c r="K469" s="45" t="n"/>
      <c r="L469" s="47" t="n"/>
      <c r="M469" s="48" t="n"/>
      <c r="N469" s="49" t="n"/>
      <c r="O469" s="50">
        <f>IF(M469="","",ROUND(M469*N469,2))</f>
        <v/>
      </c>
      <c r="P469" s="50">
        <f>IF(M469="","",M469+N(O469))</f>
        <v/>
      </c>
      <c r="Q469" s="45" t="n"/>
      <c r="R469" s="45" t="n"/>
      <c r="S469" s="51">
        <f>IF(L469="","",IF(COUNTIF(L$6:L469,L469)&gt;1,"",SUMIF(L$6:L$2000,L469,M$6:M$2000)-SUMIF(L$6:L$2000,L469,G$6:G$2000)))</f>
        <v/>
      </c>
      <c r="T469" s="46">
        <f>IF(AND(C469="",G469=""),"",IF(L469="","Nog factureren",IF(AND(G469&lt;&gt;"",OR(K469="",K469&gt;TODAY())),"Nog betalen",IF(OR(R469="",R469&gt;TODAY()),"Wacht op klant","Afgerond"))))</f>
        <v/>
      </c>
    </row>
    <row r="470">
      <c r="A470" s="45" t="n"/>
      <c r="B470" s="46">
        <f>IF(A470="","",YEAR(A470)&amp;" Q"&amp;ROUNDUP(MONTH(A470)/3,0))</f>
        <v/>
      </c>
      <c r="C470" s="47" t="n"/>
      <c r="D470" s="47" t="n"/>
      <c r="E470" s="47" t="n"/>
      <c r="F470" s="47" t="n"/>
      <c r="G470" s="48" t="n"/>
      <c r="H470" s="49" t="n"/>
      <c r="I470" s="50">
        <f>IF(G470="","",ROUND(G470*H470,2))</f>
        <v/>
      </c>
      <c r="J470" s="50">
        <f>IF(G470="","",G470+N(I470))</f>
        <v/>
      </c>
      <c r="K470" s="45" t="n"/>
      <c r="L470" s="47" t="n"/>
      <c r="M470" s="48" t="n"/>
      <c r="N470" s="49" t="n"/>
      <c r="O470" s="50">
        <f>IF(M470="","",ROUND(M470*N470,2))</f>
        <v/>
      </c>
      <c r="P470" s="50">
        <f>IF(M470="","",M470+N(O470))</f>
        <v/>
      </c>
      <c r="Q470" s="45" t="n"/>
      <c r="R470" s="45" t="n"/>
      <c r="S470" s="51">
        <f>IF(L470="","",IF(COUNTIF(L$6:L470,L470)&gt;1,"",SUMIF(L$6:L$2000,L470,M$6:M$2000)-SUMIF(L$6:L$2000,L470,G$6:G$2000)))</f>
        <v/>
      </c>
      <c r="T470" s="46">
        <f>IF(AND(C470="",G470=""),"",IF(L470="","Nog factureren",IF(AND(G470&lt;&gt;"",OR(K470="",K470&gt;TODAY())),"Nog betalen",IF(OR(R470="",R470&gt;TODAY()),"Wacht op klant","Afgerond"))))</f>
        <v/>
      </c>
    </row>
    <row r="471">
      <c r="A471" s="45" t="n"/>
      <c r="B471" s="46">
        <f>IF(A471="","",YEAR(A471)&amp;" Q"&amp;ROUNDUP(MONTH(A471)/3,0))</f>
        <v/>
      </c>
      <c r="C471" s="47" t="n"/>
      <c r="D471" s="47" t="n"/>
      <c r="E471" s="47" t="n"/>
      <c r="F471" s="47" t="n"/>
      <c r="G471" s="48" t="n"/>
      <c r="H471" s="49" t="n"/>
      <c r="I471" s="50">
        <f>IF(G471="","",ROUND(G471*H471,2))</f>
        <v/>
      </c>
      <c r="J471" s="50">
        <f>IF(G471="","",G471+N(I471))</f>
        <v/>
      </c>
      <c r="K471" s="45" t="n"/>
      <c r="L471" s="47" t="n"/>
      <c r="M471" s="48" t="n"/>
      <c r="N471" s="49" t="n"/>
      <c r="O471" s="50">
        <f>IF(M471="","",ROUND(M471*N471,2))</f>
        <v/>
      </c>
      <c r="P471" s="50">
        <f>IF(M471="","",M471+N(O471))</f>
        <v/>
      </c>
      <c r="Q471" s="45" t="n"/>
      <c r="R471" s="45" t="n"/>
      <c r="S471" s="51">
        <f>IF(L471="","",IF(COUNTIF(L$6:L471,L471)&gt;1,"",SUMIF(L$6:L$2000,L471,M$6:M$2000)-SUMIF(L$6:L$2000,L471,G$6:G$2000)))</f>
        <v/>
      </c>
      <c r="T471" s="46">
        <f>IF(AND(C471="",G471=""),"",IF(L471="","Nog factureren",IF(AND(G471&lt;&gt;"",OR(K471="",K471&gt;TODAY())),"Nog betalen",IF(OR(R471="",R471&gt;TODAY()),"Wacht op klant","Afgerond"))))</f>
        <v/>
      </c>
    </row>
    <row r="472">
      <c r="A472" s="45" t="n"/>
      <c r="B472" s="46">
        <f>IF(A472="","",YEAR(A472)&amp;" Q"&amp;ROUNDUP(MONTH(A472)/3,0))</f>
        <v/>
      </c>
      <c r="C472" s="47" t="n"/>
      <c r="D472" s="47" t="n"/>
      <c r="E472" s="47" t="n"/>
      <c r="F472" s="47" t="n"/>
      <c r="G472" s="48" t="n"/>
      <c r="H472" s="49" t="n"/>
      <c r="I472" s="50">
        <f>IF(G472="","",ROUND(G472*H472,2))</f>
        <v/>
      </c>
      <c r="J472" s="50">
        <f>IF(G472="","",G472+N(I472))</f>
        <v/>
      </c>
      <c r="K472" s="45" t="n"/>
      <c r="L472" s="47" t="n"/>
      <c r="M472" s="48" t="n"/>
      <c r="N472" s="49" t="n"/>
      <c r="O472" s="50">
        <f>IF(M472="","",ROUND(M472*N472,2))</f>
        <v/>
      </c>
      <c r="P472" s="50">
        <f>IF(M472="","",M472+N(O472))</f>
        <v/>
      </c>
      <c r="Q472" s="45" t="n"/>
      <c r="R472" s="45" t="n"/>
      <c r="S472" s="51">
        <f>IF(L472="","",IF(COUNTIF(L$6:L472,L472)&gt;1,"",SUMIF(L$6:L$2000,L472,M$6:M$2000)-SUMIF(L$6:L$2000,L472,G$6:G$2000)))</f>
        <v/>
      </c>
      <c r="T472" s="46">
        <f>IF(AND(C472="",G472=""),"",IF(L472="","Nog factureren",IF(AND(G472&lt;&gt;"",OR(K472="",K472&gt;TODAY())),"Nog betalen",IF(OR(R472="",R472&gt;TODAY()),"Wacht op klant","Afgerond"))))</f>
        <v/>
      </c>
    </row>
    <row r="473">
      <c r="A473" s="45" t="n"/>
      <c r="B473" s="46">
        <f>IF(A473="","",YEAR(A473)&amp;" Q"&amp;ROUNDUP(MONTH(A473)/3,0))</f>
        <v/>
      </c>
      <c r="C473" s="47" t="n"/>
      <c r="D473" s="47" t="n"/>
      <c r="E473" s="47" t="n"/>
      <c r="F473" s="47" t="n"/>
      <c r="G473" s="48" t="n"/>
      <c r="H473" s="49" t="n"/>
      <c r="I473" s="50">
        <f>IF(G473="","",ROUND(G473*H473,2))</f>
        <v/>
      </c>
      <c r="J473" s="50">
        <f>IF(G473="","",G473+N(I473))</f>
        <v/>
      </c>
      <c r="K473" s="45" t="n"/>
      <c r="L473" s="47" t="n"/>
      <c r="M473" s="48" t="n"/>
      <c r="N473" s="49" t="n"/>
      <c r="O473" s="50">
        <f>IF(M473="","",ROUND(M473*N473,2))</f>
        <v/>
      </c>
      <c r="P473" s="50">
        <f>IF(M473="","",M473+N(O473))</f>
        <v/>
      </c>
      <c r="Q473" s="45" t="n"/>
      <c r="R473" s="45" t="n"/>
      <c r="S473" s="51">
        <f>IF(L473="","",IF(COUNTIF(L$6:L473,L473)&gt;1,"",SUMIF(L$6:L$2000,L473,M$6:M$2000)-SUMIF(L$6:L$2000,L473,G$6:G$2000)))</f>
        <v/>
      </c>
      <c r="T473" s="46">
        <f>IF(AND(C473="",G473=""),"",IF(L473="","Nog factureren",IF(AND(G473&lt;&gt;"",OR(K473="",K473&gt;TODAY())),"Nog betalen",IF(OR(R473="",R473&gt;TODAY()),"Wacht op klant","Afgerond"))))</f>
        <v/>
      </c>
    </row>
    <row r="474">
      <c r="A474" s="45" t="n"/>
      <c r="B474" s="46">
        <f>IF(A474="","",YEAR(A474)&amp;" Q"&amp;ROUNDUP(MONTH(A474)/3,0))</f>
        <v/>
      </c>
      <c r="C474" s="47" t="n"/>
      <c r="D474" s="47" t="n"/>
      <c r="E474" s="47" t="n"/>
      <c r="F474" s="47" t="n"/>
      <c r="G474" s="48" t="n"/>
      <c r="H474" s="49" t="n"/>
      <c r="I474" s="50">
        <f>IF(G474="","",ROUND(G474*H474,2))</f>
        <v/>
      </c>
      <c r="J474" s="50">
        <f>IF(G474="","",G474+N(I474))</f>
        <v/>
      </c>
      <c r="K474" s="45" t="n"/>
      <c r="L474" s="47" t="n"/>
      <c r="M474" s="48" t="n"/>
      <c r="N474" s="49" t="n"/>
      <c r="O474" s="50">
        <f>IF(M474="","",ROUND(M474*N474,2))</f>
        <v/>
      </c>
      <c r="P474" s="50">
        <f>IF(M474="","",M474+N(O474))</f>
        <v/>
      </c>
      <c r="Q474" s="45" t="n"/>
      <c r="R474" s="45" t="n"/>
      <c r="S474" s="51">
        <f>IF(L474="","",IF(COUNTIF(L$6:L474,L474)&gt;1,"",SUMIF(L$6:L$2000,L474,M$6:M$2000)-SUMIF(L$6:L$2000,L474,G$6:G$2000)))</f>
        <v/>
      </c>
      <c r="T474" s="46">
        <f>IF(AND(C474="",G474=""),"",IF(L474="","Nog factureren",IF(AND(G474&lt;&gt;"",OR(K474="",K474&gt;TODAY())),"Nog betalen",IF(OR(R474="",R474&gt;TODAY()),"Wacht op klant","Afgerond"))))</f>
        <v/>
      </c>
    </row>
    <row r="475">
      <c r="A475" s="45" t="n"/>
      <c r="B475" s="46">
        <f>IF(A475="","",YEAR(A475)&amp;" Q"&amp;ROUNDUP(MONTH(A475)/3,0))</f>
        <v/>
      </c>
      <c r="C475" s="47" t="n"/>
      <c r="D475" s="47" t="n"/>
      <c r="E475" s="47" t="n"/>
      <c r="F475" s="47" t="n"/>
      <c r="G475" s="48" t="n"/>
      <c r="H475" s="49" t="n"/>
      <c r="I475" s="50">
        <f>IF(G475="","",ROUND(G475*H475,2))</f>
        <v/>
      </c>
      <c r="J475" s="50">
        <f>IF(G475="","",G475+N(I475))</f>
        <v/>
      </c>
      <c r="K475" s="45" t="n"/>
      <c r="L475" s="47" t="n"/>
      <c r="M475" s="48" t="n"/>
      <c r="N475" s="49" t="n"/>
      <c r="O475" s="50">
        <f>IF(M475="","",ROUND(M475*N475,2))</f>
        <v/>
      </c>
      <c r="P475" s="50">
        <f>IF(M475="","",M475+N(O475))</f>
        <v/>
      </c>
      <c r="Q475" s="45" t="n"/>
      <c r="R475" s="45" t="n"/>
      <c r="S475" s="51">
        <f>IF(L475="","",IF(COUNTIF(L$6:L475,L475)&gt;1,"",SUMIF(L$6:L$2000,L475,M$6:M$2000)-SUMIF(L$6:L$2000,L475,G$6:G$2000)))</f>
        <v/>
      </c>
      <c r="T475" s="46">
        <f>IF(AND(C475="",G475=""),"",IF(L475="","Nog factureren",IF(AND(G475&lt;&gt;"",OR(K475="",K475&gt;TODAY())),"Nog betalen",IF(OR(R475="",R475&gt;TODAY()),"Wacht op klant","Afgerond"))))</f>
        <v/>
      </c>
    </row>
    <row r="476">
      <c r="A476" s="45" t="n"/>
      <c r="B476" s="46">
        <f>IF(A476="","",YEAR(A476)&amp;" Q"&amp;ROUNDUP(MONTH(A476)/3,0))</f>
        <v/>
      </c>
      <c r="C476" s="47" t="n"/>
      <c r="D476" s="47" t="n"/>
      <c r="E476" s="47" t="n"/>
      <c r="F476" s="47" t="n"/>
      <c r="G476" s="48" t="n"/>
      <c r="H476" s="49" t="n"/>
      <c r="I476" s="50">
        <f>IF(G476="","",ROUND(G476*H476,2))</f>
        <v/>
      </c>
      <c r="J476" s="50">
        <f>IF(G476="","",G476+N(I476))</f>
        <v/>
      </c>
      <c r="K476" s="45" t="n"/>
      <c r="L476" s="47" t="n"/>
      <c r="M476" s="48" t="n"/>
      <c r="N476" s="49" t="n"/>
      <c r="O476" s="50">
        <f>IF(M476="","",ROUND(M476*N476,2))</f>
        <v/>
      </c>
      <c r="P476" s="50">
        <f>IF(M476="","",M476+N(O476))</f>
        <v/>
      </c>
      <c r="Q476" s="45" t="n"/>
      <c r="R476" s="45" t="n"/>
      <c r="S476" s="51">
        <f>IF(L476="","",IF(COUNTIF(L$6:L476,L476)&gt;1,"",SUMIF(L$6:L$2000,L476,M$6:M$2000)-SUMIF(L$6:L$2000,L476,G$6:G$2000)))</f>
        <v/>
      </c>
      <c r="T476" s="46">
        <f>IF(AND(C476="",G476=""),"",IF(L476="","Nog factureren",IF(AND(G476&lt;&gt;"",OR(K476="",K476&gt;TODAY())),"Nog betalen",IF(OR(R476="",R476&gt;TODAY()),"Wacht op klant","Afgerond"))))</f>
        <v/>
      </c>
    </row>
    <row r="477">
      <c r="A477" s="45" t="n"/>
      <c r="B477" s="46">
        <f>IF(A477="","",YEAR(A477)&amp;" Q"&amp;ROUNDUP(MONTH(A477)/3,0))</f>
        <v/>
      </c>
      <c r="C477" s="47" t="n"/>
      <c r="D477" s="47" t="n"/>
      <c r="E477" s="47" t="n"/>
      <c r="F477" s="47" t="n"/>
      <c r="G477" s="48" t="n"/>
      <c r="H477" s="49" t="n"/>
      <c r="I477" s="50">
        <f>IF(G477="","",ROUND(G477*H477,2))</f>
        <v/>
      </c>
      <c r="J477" s="50">
        <f>IF(G477="","",G477+N(I477))</f>
        <v/>
      </c>
      <c r="K477" s="45" t="n"/>
      <c r="L477" s="47" t="n"/>
      <c r="M477" s="48" t="n"/>
      <c r="N477" s="49" t="n"/>
      <c r="O477" s="50">
        <f>IF(M477="","",ROUND(M477*N477,2))</f>
        <v/>
      </c>
      <c r="P477" s="50">
        <f>IF(M477="","",M477+N(O477))</f>
        <v/>
      </c>
      <c r="Q477" s="45" t="n"/>
      <c r="R477" s="45" t="n"/>
      <c r="S477" s="51">
        <f>IF(L477="","",IF(COUNTIF(L$6:L477,L477)&gt;1,"",SUMIF(L$6:L$2000,L477,M$6:M$2000)-SUMIF(L$6:L$2000,L477,G$6:G$2000)))</f>
        <v/>
      </c>
      <c r="T477" s="46">
        <f>IF(AND(C477="",G477=""),"",IF(L477="","Nog factureren",IF(AND(G477&lt;&gt;"",OR(K477="",K477&gt;TODAY())),"Nog betalen",IF(OR(R477="",R477&gt;TODAY()),"Wacht op klant","Afgerond"))))</f>
        <v/>
      </c>
    </row>
    <row r="478">
      <c r="A478" s="45" t="n"/>
      <c r="B478" s="46">
        <f>IF(A478="","",YEAR(A478)&amp;" Q"&amp;ROUNDUP(MONTH(A478)/3,0))</f>
        <v/>
      </c>
      <c r="C478" s="47" t="n"/>
      <c r="D478" s="47" t="n"/>
      <c r="E478" s="47" t="n"/>
      <c r="F478" s="47" t="n"/>
      <c r="G478" s="48" t="n"/>
      <c r="H478" s="49" t="n"/>
      <c r="I478" s="50">
        <f>IF(G478="","",ROUND(G478*H478,2))</f>
        <v/>
      </c>
      <c r="J478" s="50">
        <f>IF(G478="","",G478+N(I478))</f>
        <v/>
      </c>
      <c r="K478" s="45" t="n"/>
      <c r="L478" s="47" t="n"/>
      <c r="M478" s="48" t="n"/>
      <c r="N478" s="49" t="n"/>
      <c r="O478" s="50">
        <f>IF(M478="","",ROUND(M478*N478,2))</f>
        <v/>
      </c>
      <c r="P478" s="50">
        <f>IF(M478="","",M478+N(O478))</f>
        <v/>
      </c>
      <c r="Q478" s="45" t="n"/>
      <c r="R478" s="45" t="n"/>
      <c r="S478" s="51">
        <f>IF(L478="","",IF(COUNTIF(L$6:L478,L478)&gt;1,"",SUMIF(L$6:L$2000,L478,M$6:M$2000)-SUMIF(L$6:L$2000,L478,G$6:G$2000)))</f>
        <v/>
      </c>
      <c r="T478" s="46">
        <f>IF(AND(C478="",G478=""),"",IF(L478="","Nog factureren",IF(AND(G478&lt;&gt;"",OR(K478="",K478&gt;TODAY())),"Nog betalen",IF(OR(R478="",R478&gt;TODAY()),"Wacht op klant","Afgerond"))))</f>
        <v/>
      </c>
    </row>
    <row r="479">
      <c r="A479" s="45" t="n"/>
      <c r="B479" s="46">
        <f>IF(A479="","",YEAR(A479)&amp;" Q"&amp;ROUNDUP(MONTH(A479)/3,0))</f>
        <v/>
      </c>
      <c r="C479" s="47" t="n"/>
      <c r="D479" s="47" t="n"/>
      <c r="E479" s="47" t="n"/>
      <c r="F479" s="47" t="n"/>
      <c r="G479" s="48" t="n"/>
      <c r="H479" s="49" t="n"/>
      <c r="I479" s="50">
        <f>IF(G479="","",ROUND(G479*H479,2))</f>
        <v/>
      </c>
      <c r="J479" s="50">
        <f>IF(G479="","",G479+N(I479))</f>
        <v/>
      </c>
      <c r="K479" s="45" t="n"/>
      <c r="L479" s="47" t="n"/>
      <c r="M479" s="48" t="n"/>
      <c r="N479" s="49" t="n"/>
      <c r="O479" s="50">
        <f>IF(M479="","",ROUND(M479*N479,2))</f>
        <v/>
      </c>
      <c r="P479" s="50">
        <f>IF(M479="","",M479+N(O479))</f>
        <v/>
      </c>
      <c r="Q479" s="45" t="n"/>
      <c r="R479" s="45" t="n"/>
      <c r="S479" s="51">
        <f>IF(L479="","",IF(COUNTIF(L$6:L479,L479)&gt;1,"",SUMIF(L$6:L$2000,L479,M$6:M$2000)-SUMIF(L$6:L$2000,L479,G$6:G$2000)))</f>
        <v/>
      </c>
      <c r="T479" s="46">
        <f>IF(AND(C479="",G479=""),"",IF(L479="","Nog factureren",IF(AND(G479&lt;&gt;"",OR(K479="",K479&gt;TODAY())),"Nog betalen",IF(OR(R479="",R479&gt;TODAY()),"Wacht op klant","Afgerond"))))</f>
        <v/>
      </c>
    </row>
    <row r="480">
      <c r="A480" s="45" t="n"/>
      <c r="B480" s="46">
        <f>IF(A480="","",YEAR(A480)&amp;" Q"&amp;ROUNDUP(MONTH(A480)/3,0))</f>
        <v/>
      </c>
      <c r="C480" s="47" t="n"/>
      <c r="D480" s="47" t="n"/>
      <c r="E480" s="47" t="n"/>
      <c r="F480" s="47" t="n"/>
      <c r="G480" s="48" t="n"/>
      <c r="H480" s="49" t="n"/>
      <c r="I480" s="50">
        <f>IF(G480="","",ROUND(G480*H480,2))</f>
        <v/>
      </c>
      <c r="J480" s="50">
        <f>IF(G480="","",G480+N(I480))</f>
        <v/>
      </c>
      <c r="K480" s="45" t="n"/>
      <c r="L480" s="47" t="n"/>
      <c r="M480" s="48" t="n"/>
      <c r="N480" s="49" t="n"/>
      <c r="O480" s="50">
        <f>IF(M480="","",ROUND(M480*N480,2))</f>
        <v/>
      </c>
      <c r="P480" s="50">
        <f>IF(M480="","",M480+N(O480))</f>
        <v/>
      </c>
      <c r="Q480" s="45" t="n"/>
      <c r="R480" s="45" t="n"/>
      <c r="S480" s="51">
        <f>IF(L480="","",IF(COUNTIF(L$6:L480,L480)&gt;1,"",SUMIF(L$6:L$2000,L480,M$6:M$2000)-SUMIF(L$6:L$2000,L480,G$6:G$2000)))</f>
        <v/>
      </c>
      <c r="T480" s="46">
        <f>IF(AND(C480="",G480=""),"",IF(L480="","Nog factureren",IF(AND(G480&lt;&gt;"",OR(K480="",K480&gt;TODAY())),"Nog betalen",IF(OR(R480="",R480&gt;TODAY()),"Wacht op klant","Afgerond"))))</f>
        <v/>
      </c>
    </row>
    <row r="481">
      <c r="A481" s="45" t="n"/>
      <c r="B481" s="46">
        <f>IF(A481="","",YEAR(A481)&amp;" Q"&amp;ROUNDUP(MONTH(A481)/3,0))</f>
        <v/>
      </c>
      <c r="C481" s="47" t="n"/>
      <c r="D481" s="47" t="n"/>
      <c r="E481" s="47" t="n"/>
      <c r="F481" s="47" t="n"/>
      <c r="G481" s="48" t="n"/>
      <c r="H481" s="49" t="n"/>
      <c r="I481" s="50">
        <f>IF(G481="","",ROUND(G481*H481,2))</f>
        <v/>
      </c>
      <c r="J481" s="50">
        <f>IF(G481="","",G481+N(I481))</f>
        <v/>
      </c>
      <c r="K481" s="45" t="n"/>
      <c r="L481" s="47" t="n"/>
      <c r="M481" s="48" t="n"/>
      <c r="N481" s="49" t="n"/>
      <c r="O481" s="50">
        <f>IF(M481="","",ROUND(M481*N481,2))</f>
        <v/>
      </c>
      <c r="P481" s="50">
        <f>IF(M481="","",M481+N(O481))</f>
        <v/>
      </c>
      <c r="Q481" s="45" t="n"/>
      <c r="R481" s="45" t="n"/>
      <c r="S481" s="51">
        <f>IF(L481="","",IF(COUNTIF(L$6:L481,L481)&gt;1,"",SUMIF(L$6:L$2000,L481,M$6:M$2000)-SUMIF(L$6:L$2000,L481,G$6:G$2000)))</f>
        <v/>
      </c>
      <c r="T481" s="46">
        <f>IF(AND(C481="",G481=""),"",IF(L481="","Nog factureren",IF(AND(G481&lt;&gt;"",OR(K481="",K481&gt;TODAY())),"Nog betalen",IF(OR(R481="",R481&gt;TODAY()),"Wacht op klant","Afgerond"))))</f>
        <v/>
      </c>
    </row>
    <row r="482">
      <c r="A482" s="45" t="n"/>
      <c r="B482" s="46">
        <f>IF(A482="","",YEAR(A482)&amp;" Q"&amp;ROUNDUP(MONTH(A482)/3,0))</f>
        <v/>
      </c>
      <c r="C482" s="47" t="n"/>
      <c r="D482" s="47" t="n"/>
      <c r="E482" s="47" t="n"/>
      <c r="F482" s="47" t="n"/>
      <c r="G482" s="48" t="n"/>
      <c r="H482" s="49" t="n"/>
      <c r="I482" s="50">
        <f>IF(G482="","",ROUND(G482*H482,2))</f>
        <v/>
      </c>
      <c r="J482" s="50">
        <f>IF(G482="","",G482+N(I482))</f>
        <v/>
      </c>
      <c r="K482" s="45" t="n"/>
      <c r="L482" s="47" t="n"/>
      <c r="M482" s="48" t="n"/>
      <c r="N482" s="49" t="n"/>
      <c r="O482" s="50">
        <f>IF(M482="","",ROUND(M482*N482,2))</f>
        <v/>
      </c>
      <c r="P482" s="50">
        <f>IF(M482="","",M482+N(O482))</f>
        <v/>
      </c>
      <c r="Q482" s="45" t="n"/>
      <c r="R482" s="45" t="n"/>
      <c r="S482" s="51">
        <f>IF(L482="","",IF(COUNTIF(L$6:L482,L482)&gt;1,"",SUMIF(L$6:L$2000,L482,M$6:M$2000)-SUMIF(L$6:L$2000,L482,G$6:G$2000)))</f>
        <v/>
      </c>
      <c r="T482" s="46">
        <f>IF(AND(C482="",G482=""),"",IF(L482="","Nog factureren",IF(AND(G482&lt;&gt;"",OR(K482="",K482&gt;TODAY())),"Nog betalen",IF(OR(R482="",R482&gt;TODAY()),"Wacht op klant","Afgerond"))))</f>
        <v/>
      </c>
    </row>
    <row r="483">
      <c r="A483" s="45" t="n"/>
      <c r="B483" s="46">
        <f>IF(A483="","",YEAR(A483)&amp;" Q"&amp;ROUNDUP(MONTH(A483)/3,0))</f>
        <v/>
      </c>
      <c r="C483" s="47" t="n"/>
      <c r="D483" s="47" t="n"/>
      <c r="E483" s="47" t="n"/>
      <c r="F483" s="47" t="n"/>
      <c r="G483" s="48" t="n"/>
      <c r="H483" s="49" t="n"/>
      <c r="I483" s="50">
        <f>IF(G483="","",ROUND(G483*H483,2))</f>
        <v/>
      </c>
      <c r="J483" s="50">
        <f>IF(G483="","",G483+N(I483))</f>
        <v/>
      </c>
      <c r="K483" s="45" t="n"/>
      <c r="L483" s="47" t="n"/>
      <c r="M483" s="48" t="n"/>
      <c r="N483" s="49" t="n"/>
      <c r="O483" s="50">
        <f>IF(M483="","",ROUND(M483*N483,2))</f>
        <v/>
      </c>
      <c r="P483" s="50">
        <f>IF(M483="","",M483+N(O483))</f>
        <v/>
      </c>
      <c r="Q483" s="45" t="n"/>
      <c r="R483" s="45" t="n"/>
      <c r="S483" s="51">
        <f>IF(L483="","",IF(COUNTIF(L$6:L483,L483)&gt;1,"",SUMIF(L$6:L$2000,L483,M$6:M$2000)-SUMIF(L$6:L$2000,L483,G$6:G$2000)))</f>
        <v/>
      </c>
      <c r="T483" s="46">
        <f>IF(AND(C483="",G483=""),"",IF(L483="","Nog factureren",IF(AND(G483&lt;&gt;"",OR(K483="",K483&gt;TODAY())),"Nog betalen",IF(OR(R483="",R483&gt;TODAY()),"Wacht op klant","Afgerond"))))</f>
        <v/>
      </c>
    </row>
    <row r="484">
      <c r="A484" s="45" t="n"/>
      <c r="B484" s="46">
        <f>IF(A484="","",YEAR(A484)&amp;" Q"&amp;ROUNDUP(MONTH(A484)/3,0))</f>
        <v/>
      </c>
      <c r="C484" s="47" t="n"/>
      <c r="D484" s="47" t="n"/>
      <c r="E484" s="47" t="n"/>
      <c r="F484" s="47" t="n"/>
      <c r="G484" s="48" t="n"/>
      <c r="H484" s="49" t="n"/>
      <c r="I484" s="50">
        <f>IF(G484="","",ROUND(G484*H484,2))</f>
        <v/>
      </c>
      <c r="J484" s="50">
        <f>IF(G484="","",G484+N(I484))</f>
        <v/>
      </c>
      <c r="K484" s="45" t="n"/>
      <c r="L484" s="47" t="n"/>
      <c r="M484" s="48" t="n"/>
      <c r="N484" s="49" t="n"/>
      <c r="O484" s="50">
        <f>IF(M484="","",ROUND(M484*N484,2))</f>
        <v/>
      </c>
      <c r="P484" s="50">
        <f>IF(M484="","",M484+N(O484))</f>
        <v/>
      </c>
      <c r="Q484" s="45" t="n"/>
      <c r="R484" s="45" t="n"/>
      <c r="S484" s="51">
        <f>IF(L484="","",IF(COUNTIF(L$6:L484,L484)&gt;1,"",SUMIF(L$6:L$2000,L484,M$6:M$2000)-SUMIF(L$6:L$2000,L484,G$6:G$2000)))</f>
        <v/>
      </c>
      <c r="T484" s="46">
        <f>IF(AND(C484="",G484=""),"",IF(L484="","Nog factureren",IF(AND(G484&lt;&gt;"",OR(K484="",K484&gt;TODAY())),"Nog betalen",IF(OR(R484="",R484&gt;TODAY()),"Wacht op klant","Afgerond"))))</f>
        <v/>
      </c>
    </row>
    <row r="485">
      <c r="A485" s="45" t="n"/>
      <c r="B485" s="46">
        <f>IF(A485="","",YEAR(A485)&amp;" Q"&amp;ROUNDUP(MONTH(A485)/3,0))</f>
        <v/>
      </c>
      <c r="C485" s="47" t="n"/>
      <c r="D485" s="47" t="n"/>
      <c r="E485" s="47" t="n"/>
      <c r="F485" s="47" t="n"/>
      <c r="G485" s="48" t="n"/>
      <c r="H485" s="49" t="n"/>
      <c r="I485" s="50">
        <f>IF(G485="","",ROUND(G485*H485,2))</f>
        <v/>
      </c>
      <c r="J485" s="50">
        <f>IF(G485="","",G485+N(I485))</f>
        <v/>
      </c>
      <c r="K485" s="45" t="n"/>
      <c r="L485" s="47" t="n"/>
      <c r="M485" s="48" t="n"/>
      <c r="N485" s="49" t="n"/>
      <c r="O485" s="50">
        <f>IF(M485="","",ROUND(M485*N485,2))</f>
        <v/>
      </c>
      <c r="P485" s="50">
        <f>IF(M485="","",M485+N(O485))</f>
        <v/>
      </c>
      <c r="Q485" s="45" t="n"/>
      <c r="R485" s="45" t="n"/>
      <c r="S485" s="51">
        <f>IF(L485="","",IF(COUNTIF(L$6:L485,L485)&gt;1,"",SUMIF(L$6:L$2000,L485,M$6:M$2000)-SUMIF(L$6:L$2000,L485,G$6:G$2000)))</f>
        <v/>
      </c>
      <c r="T485" s="46">
        <f>IF(AND(C485="",G485=""),"",IF(L485="","Nog factureren",IF(AND(G485&lt;&gt;"",OR(K485="",K485&gt;TODAY())),"Nog betalen",IF(OR(R485="",R485&gt;TODAY()),"Wacht op klant","Afgerond"))))</f>
        <v/>
      </c>
    </row>
    <row r="486">
      <c r="A486" s="45" t="n"/>
      <c r="B486" s="46">
        <f>IF(A486="","",YEAR(A486)&amp;" Q"&amp;ROUNDUP(MONTH(A486)/3,0))</f>
        <v/>
      </c>
      <c r="C486" s="47" t="n"/>
      <c r="D486" s="47" t="n"/>
      <c r="E486" s="47" t="n"/>
      <c r="F486" s="47" t="n"/>
      <c r="G486" s="48" t="n"/>
      <c r="H486" s="49" t="n"/>
      <c r="I486" s="50">
        <f>IF(G486="","",ROUND(G486*H486,2))</f>
        <v/>
      </c>
      <c r="J486" s="50">
        <f>IF(G486="","",G486+N(I486))</f>
        <v/>
      </c>
      <c r="K486" s="45" t="n"/>
      <c r="L486" s="47" t="n"/>
      <c r="M486" s="48" t="n"/>
      <c r="N486" s="49" t="n"/>
      <c r="O486" s="50">
        <f>IF(M486="","",ROUND(M486*N486,2))</f>
        <v/>
      </c>
      <c r="P486" s="50">
        <f>IF(M486="","",M486+N(O486))</f>
        <v/>
      </c>
      <c r="Q486" s="45" t="n"/>
      <c r="R486" s="45" t="n"/>
      <c r="S486" s="51">
        <f>IF(L486="","",IF(COUNTIF(L$6:L486,L486)&gt;1,"",SUMIF(L$6:L$2000,L486,M$6:M$2000)-SUMIF(L$6:L$2000,L486,G$6:G$2000)))</f>
        <v/>
      </c>
      <c r="T486" s="46">
        <f>IF(AND(C486="",G486=""),"",IF(L486="","Nog factureren",IF(AND(G486&lt;&gt;"",OR(K486="",K486&gt;TODAY())),"Nog betalen",IF(OR(R486="",R486&gt;TODAY()),"Wacht op klant","Afgerond"))))</f>
        <v/>
      </c>
    </row>
    <row r="487">
      <c r="A487" s="45" t="n"/>
      <c r="B487" s="46">
        <f>IF(A487="","",YEAR(A487)&amp;" Q"&amp;ROUNDUP(MONTH(A487)/3,0))</f>
        <v/>
      </c>
      <c r="C487" s="47" t="n"/>
      <c r="D487" s="47" t="n"/>
      <c r="E487" s="47" t="n"/>
      <c r="F487" s="47" t="n"/>
      <c r="G487" s="48" t="n"/>
      <c r="H487" s="49" t="n"/>
      <c r="I487" s="50">
        <f>IF(G487="","",ROUND(G487*H487,2))</f>
        <v/>
      </c>
      <c r="J487" s="50">
        <f>IF(G487="","",G487+N(I487))</f>
        <v/>
      </c>
      <c r="K487" s="45" t="n"/>
      <c r="L487" s="47" t="n"/>
      <c r="M487" s="48" t="n"/>
      <c r="N487" s="49" t="n"/>
      <c r="O487" s="50">
        <f>IF(M487="","",ROUND(M487*N487,2))</f>
        <v/>
      </c>
      <c r="P487" s="50">
        <f>IF(M487="","",M487+N(O487))</f>
        <v/>
      </c>
      <c r="Q487" s="45" t="n"/>
      <c r="R487" s="45" t="n"/>
      <c r="S487" s="51">
        <f>IF(L487="","",IF(COUNTIF(L$6:L487,L487)&gt;1,"",SUMIF(L$6:L$2000,L487,M$6:M$2000)-SUMIF(L$6:L$2000,L487,G$6:G$2000)))</f>
        <v/>
      </c>
      <c r="T487" s="46">
        <f>IF(AND(C487="",G487=""),"",IF(L487="","Nog factureren",IF(AND(G487&lt;&gt;"",OR(K487="",K487&gt;TODAY())),"Nog betalen",IF(OR(R487="",R487&gt;TODAY()),"Wacht op klant","Afgerond"))))</f>
        <v/>
      </c>
    </row>
    <row r="488">
      <c r="A488" s="45" t="n"/>
      <c r="B488" s="46">
        <f>IF(A488="","",YEAR(A488)&amp;" Q"&amp;ROUNDUP(MONTH(A488)/3,0))</f>
        <v/>
      </c>
      <c r="C488" s="47" t="n"/>
      <c r="D488" s="47" t="n"/>
      <c r="E488" s="47" t="n"/>
      <c r="F488" s="47" t="n"/>
      <c r="G488" s="48" t="n"/>
      <c r="H488" s="49" t="n"/>
      <c r="I488" s="50">
        <f>IF(G488="","",ROUND(G488*H488,2))</f>
        <v/>
      </c>
      <c r="J488" s="50">
        <f>IF(G488="","",G488+N(I488))</f>
        <v/>
      </c>
      <c r="K488" s="45" t="n"/>
      <c r="L488" s="47" t="n"/>
      <c r="M488" s="48" t="n"/>
      <c r="N488" s="49" t="n"/>
      <c r="O488" s="50">
        <f>IF(M488="","",ROUND(M488*N488,2))</f>
        <v/>
      </c>
      <c r="P488" s="50">
        <f>IF(M488="","",M488+N(O488))</f>
        <v/>
      </c>
      <c r="Q488" s="45" t="n"/>
      <c r="R488" s="45" t="n"/>
      <c r="S488" s="51">
        <f>IF(L488="","",IF(COUNTIF(L$6:L488,L488)&gt;1,"",SUMIF(L$6:L$2000,L488,M$6:M$2000)-SUMIF(L$6:L$2000,L488,G$6:G$2000)))</f>
        <v/>
      </c>
      <c r="T488" s="46">
        <f>IF(AND(C488="",G488=""),"",IF(L488="","Nog factureren",IF(AND(G488&lt;&gt;"",OR(K488="",K488&gt;TODAY())),"Nog betalen",IF(OR(R488="",R488&gt;TODAY()),"Wacht op klant","Afgerond"))))</f>
        <v/>
      </c>
    </row>
    <row r="489">
      <c r="A489" s="45" t="n"/>
      <c r="B489" s="46">
        <f>IF(A489="","",YEAR(A489)&amp;" Q"&amp;ROUNDUP(MONTH(A489)/3,0))</f>
        <v/>
      </c>
      <c r="C489" s="47" t="n"/>
      <c r="D489" s="47" t="n"/>
      <c r="E489" s="47" t="n"/>
      <c r="F489" s="47" t="n"/>
      <c r="G489" s="48" t="n"/>
      <c r="H489" s="49" t="n"/>
      <c r="I489" s="50">
        <f>IF(G489="","",ROUND(G489*H489,2))</f>
        <v/>
      </c>
      <c r="J489" s="50">
        <f>IF(G489="","",G489+N(I489))</f>
        <v/>
      </c>
      <c r="K489" s="45" t="n"/>
      <c r="L489" s="47" t="n"/>
      <c r="M489" s="48" t="n"/>
      <c r="N489" s="49" t="n"/>
      <c r="O489" s="50">
        <f>IF(M489="","",ROUND(M489*N489,2))</f>
        <v/>
      </c>
      <c r="P489" s="50">
        <f>IF(M489="","",M489+N(O489))</f>
        <v/>
      </c>
      <c r="Q489" s="45" t="n"/>
      <c r="R489" s="45" t="n"/>
      <c r="S489" s="51">
        <f>IF(L489="","",IF(COUNTIF(L$6:L489,L489)&gt;1,"",SUMIF(L$6:L$2000,L489,M$6:M$2000)-SUMIF(L$6:L$2000,L489,G$6:G$2000)))</f>
        <v/>
      </c>
      <c r="T489" s="46">
        <f>IF(AND(C489="",G489=""),"",IF(L489="","Nog factureren",IF(AND(G489&lt;&gt;"",OR(K489="",K489&gt;TODAY())),"Nog betalen",IF(OR(R489="",R489&gt;TODAY()),"Wacht op klant","Afgerond"))))</f>
        <v/>
      </c>
    </row>
    <row r="490">
      <c r="A490" s="45" t="n"/>
      <c r="B490" s="46">
        <f>IF(A490="","",YEAR(A490)&amp;" Q"&amp;ROUNDUP(MONTH(A490)/3,0))</f>
        <v/>
      </c>
      <c r="C490" s="47" t="n"/>
      <c r="D490" s="47" t="n"/>
      <c r="E490" s="47" t="n"/>
      <c r="F490" s="47" t="n"/>
      <c r="G490" s="48" t="n"/>
      <c r="H490" s="49" t="n"/>
      <c r="I490" s="50">
        <f>IF(G490="","",ROUND(G490*H490,2))</f>
        <v/>
      </c>
      <c r="J490" s="50">
        <f>IF(G490="","",G490+N(I490))</f>
        <v/>
      </c>
      <c r="K490" s="45" t="n"/>
      <c r="L490" s="47" t="n"/>
      <c r="M490" s="48" t="n"/>
      <c r="N490" s="49" t="n"/>
      <c r="O490" s="50">
        <f>IF(M490="","",ROUND(M490*N490,2))</f>
        <v/>
      </c>
      <c r="P490" s="50">
        <f>IF(M490="","",M490+N(O490))</f>
        <v/>
      </c>
      <c r="Q490" s="45" t="n"/>
      <c r="R490" s="45" t="n"/>
      <c r="S490" s="51">
        <f>IF(L490="","",IF(COUNTIF(L$6:L490,L490)&gt;1,"",SUMIF(L$6:L$2000,L490,M$6:M$2000)-SUMIF(L$6:L$2000,L490,G$6:G$2000)))</f>
        <v/>
      </c>
      <c r="T490" s="46">
        <f>IF(AND(C490="",G490=""),"",IF(L490="","Nog factureren",IF(AND(G490&lt;&gt;"",OR(K490="",K490&gt;TODAY())),"Nog betalen",IF(OR(R490="",R490&gt;TODAY()),"Wacht op klant","Afgerond"))))</f>
        <v/>
      </c>
    </row>
    <row r="491">
      <c r="A491" s="45" t="n"/>
      <c r="B491" s="46">
        <f>IF(A491="","",YEAR(A491)&amp;" Q"&amp;ROUNDUP(MONTH(A491)/3,0))</f>
        <v/>
      </c>
      <c r="C491" s="47" t="n"/>
      <c r="D491" s="47" t="n"/>
      <c r="E491" s="47" t="n"/>
      <c r="F491" s="47" t="n"/>
      <c r="G491" s="48" t="n"/>
      <c r="H491" s="49" t="n"/>
      <c r="I491" s="50">
        <f>IF(G491="","",ROUND(G491*H491,2))</f>
        <v/>
      </c>
      <c r="J491" s="50">
        <f>IF(G491="","",G491+N(I491))</f>
        <v/>
      </c>
      <c r="K491" s="45" t="n"/>
      <c r="L491" s="47" t="n"/>
      <c r="M491" s="48" t="n"/>
      <c r="N491" s="49" t="n"/>
      <c r="O491" s="50">
        <f>IF(M491="","",ROUND(M491*N491,2))</f>
        <v/>
      </c>
      <c r="P491" s="50">
        <f>IF(M491="","",M491+N(O491))</f>
        <v/>
      </c>
      <c r="Q491" s="45" t="n"/>
      <c r="R491" s="45" t="n"/>
      <c r="S491" s="51">
        <f>IF(L491="","",IF(COUNTIF(L$6:L491,L491)&gt;1,"",SUMIF(L$6:L$2000,L491,M$6:M$2000)-SUMIF(L$6:L$2000,L491,G$6:G$2000)))</f>
        <v/>
      </c>
      <c r="T491" s="46">
        <f>IF(AND(C491="",G491=""),"",IF(L491="","Nog factureren",IF(AND(G491&lt;&gt;"",OR(K491="",K491&gt;TODAY())),"Nog betalen",IF(OR(R491="",R491&gt;TODAY()),"Wacht op klant","Afgerond"))))</f>
        <v/>
      </c>
    </row>
    <row r="492">
      <c r="A492" s="45" t="n"/>
      <c r="B492" s="46">
        <f>IF(A492="","",YEAR(A492)&amp;" Q"&amp;ROUNDUP(MONTH(A492)/3,0))</f>
        <v/>
      </c>
      <c r="C492" s="47" t="n"/>
      <c r="D492" s="47" t="n"/>
      <c r="E492" s="47" t="n"/>
      <c r="F492" s="47" t="n"/>
      <c r="G492" s="48" t="n"/>
      <c r="H492" s="49" t="n"/>
      <c r="I492" s="50">
        <f>IF(G492="","",ROUND(G492*H492,2))</f>
        <v/>
      </c>
      <c r="J492" s="50">
        <f>IF(G492="","",G492+N(I492))</f>
        <v/>
      </c>
      <c r="K492" s="45" t="n"/>
      <c r="L492" s="47" t="n"/>
      <c r="M492" s="48" t="n"/>
      <c r="N492" s="49" t="n"/>
      <c r="O492" s="50">
        <f>IF(M492="","",ROUND(M492*N492,2))</f>
        <v/>
      </c>
      <c r="P492" s="50">
        <f>IF(M492="","",M492+N(O492))</f>
        <v/>
      </c>
      <c r="Q492" s="45" t="n"/>
      <c r="R492" s="45" t="n"/>
      <c r="S492" s="51">
        <f>IF(L492="","",IF(COUNTIF(L$6:L492,L492)&gt;1,"",SUMIF(L$6:L$2000,L492,M$6:M$2000)-SUMIF(L$6:L$2000,L492,G$6:G$2000)))</f>
        <v/>
      </c>
      <c r="T492" s="46">
        <f>IF(AND(C492="",G492=""),"",IF(L492="","Nog factureren",IF(AND(G492&lt;&gt;"",OR(K492="",K492&gt;TODAY())),"Nog betalen",IF(OR(R492="",R492&gt;TODAY()),"Wacht op klant","Afgerond"))))</f>
        <v/>
      </c>
    </row>
    <row r="493">
      <c r="A493" s="45" t="n"/>
      <c r="B493" s="46">
        <f>IF(A493="","",YEAR(A493)&amp;" Q"&amp;ROUNDUP(MONTH(A493)/3,0))</f>
        <v/>
      </c>
      <c r="C493" s="47" t="n"/>
      <c r="D493" s="47" t="n"/>
      <c r="E493" s="47" t="n"/>
      <c r="F493" s="47" t="n"/>
      <c r="G493" s="48" t="n"/>
      <c r="H493" s="49" t="n"/>
      <c r="I493" s="50">
        <f>IF(G493="","",ROUND(G493*H493,2))</f>
        <v/>
      </c>
      <c r="J493" s="50">
        <f>IF(G493="","",G493+N(I493))</f>
        <v/>
      </c>
      <c r="K493" s="45" t="n"/>
      <c r="L493" s="47" t="n"/>
      <c r="M493" s="48" t="n"/>
      <c r="N493" s="49" t="n"/>
      <c r="O493" s="50">
        <f>IF(M493="","",ROUND(M493*N493,2))</f>
        <v/>
      </c>
      <c r="P493" s="50">
        <f>IF(M493="","",M493+N(O493))</f>
        <v/>
      </c>
      <c r="Q493" s="45" t="n"/>
      <c r="R493" s="45" t="n"/>
      <c r="S493" s="51">
        <f>IF(L493="","",IF(COUNTIF(L$6:L493,L493)&gt;1,"",SUMIF(L$6:L$2000,L493,M$6:M$2000)-SUMIF(L$6:L$2000,L493,G$6:G$2000)))</f>
        <v/>
      </c>
      <c r="T493" s="46">
        <f>IF(AND(C493="",G493=""),"",IF(L493="","Nog factureren",IF(AND(G493&lt;&gt;"",OR(K493="",K493&gt;TODAY())),"Nog betalen",IF(OR(R493="",R493&gt;TODAY()),"Wacht op klant","Afgerond"))))</f>
        <v/>
      </c>
    </row>
    <row r="494">
      <c r="A494" s="45" t="n"/>
      <c r="B494" s="46">
        <f>IF(A494="","",YEAR(A494)&amp;" Q"&amp;ROUNDUP(MONTH(A494)/3,0))</f>
        <v/>
      </c>
      <c r="C494" s="47" t="n"/>
      <c r="D494" s="47" t="n"/>
      <c r="E494" s="47" t="n"/>
      <c r="F494" s="47" t="n"/>
      <c r="G494" s="48" t="n"/>
      <c r="H494" s="49" t="n"/>
      <c r="I494" s="50">
        <f>IF(G494="","",ROUND(G494*H494,2))</f>
        <v/>
      </c>
      <c r="J494" s="50">
        <f>IF(G494="","",G494+N(I494))</f>
        <v/>
      </c>
      <c r="K494" s="45" t="n"/>
      <c r="L494" s="47" t="n"/>
      <c r="M494" s="48" t="n"/>
      <c r="N494" s="49" t="n"/>
      <c r="O494" s="50">
        <f>IF(M494="","",ROUND(M494*N494,2))</f>
        <v/>
      </c>
      <c r="P494" s="50">
        <f>IF(M494="","",M494+N(O494))</f>
        <v/>
      </c>
      <c r="Q494" s="45" t="n"/>
      <c r="R494" s="45" t="n"/>
      <c r="S494" s="51">
        <f>IF(L494="","",IF(COUNTIF(L$6:L494,L494)&gt;1,"",SUMIF(L$6:L$2000,L494,M$6:M$2000)-SUMIF(L$6:L$2000,L494,G$6:G$2000)))</f>
        <v/>
      </c>
      <c r="T494" s="46">
        <f>IF(AND(C494="",G494=""),"",IF(L494="","Nog factureren",IF(AND(G494&lt;&gt;"",OR(K494="",K494&gt;TODAY())),"Nog betalen",IF(OR(R494="",R494&gt;TODAY()),"Wacht op klant","Afgerond"))))</f>
        <v/>
      </c>
    </row>
    <row r="495">
      <c r="A495" s="45" t="n"/>
      <c r="B495" s="46">
        <f>IF(A495="","",YEAR(A495)&amp;" Q"&amp;ROUNDUP(MONTH(A495)/3,0))</f>
        <v/>
      </c>
      <c r="C495" s="47" t="n"/>
      <c r="D495" s="47" t="n"/>
      <c r="E495" s="47" t="n"/>
      <c r="F495" s="47" t="n"/>
      <c r="G495" s="48" t="n"/>
      <c r="H495" s="49" t="n"/>
      <c r="I495" s="50">
        <f>IF(G495="","",ROUND(G495*H495,2))</f>
        <v/>
      </c>
      <c r="J495" s="50">
        <f>IF(G495="","",G495+N(I495))</f>
        <v/>
      </c>
      <c r="K495" s="45" t="n"/>
      <c r="L495" s="47" t="n"/>
      <c r="M495" s="48" t="n"/>
      <c r="N495" s="49" t="n"/>
      <c r="O495" s="50">
        <f>IF(M495="","",ROUND(M495*N495,2))</f>
        <v/>
      </c>
      <c r="P495" s="50">
        <f>IF(M495="","",M495+N(O495))</f>
        <v/>
      </c>
      <c r="Q495" s="45" t="n"/>
      <c r="R495" s="45" t="n"/>
      <c r="S495" s="51">
        <f>IF(L495="","",IF(COUNTIF(L$6:L495,L495)&gt;1,"",SUMIF(L$6:L$2000,L495,M$6:M$2000)-SUMIF(L$6:L$2000,L495,G$6:G$2000)))</f>
        <v/>
      </c>
      <c r="T495" s="46">
        <f>IF(AND(C495="",G495=""),"",IF(L495="","Nog factureren",IF(AND(G495&lt;&gt;"",OR(K495="",K495&gt;TODAY())),"Nog betalen",IF(OR(R495="",R495&gt;TODAY()),"Wacht op klant","Afgerond"))))</f>
        <v/>
      </c>
    </row>
    <row r="496">
      <c r="A496" s="45" t="n"/>
      <c r="B496" s="46">
        <f>IF(A496="","",YEAR(A496)&amp;" Q"&amp;ROUNDUP(MONTH(A496)/3,0))</f>
        <v/>
      </c>
      <c r="C496" s="47" t="n"/>
      <c r="D496" s="47" t="n"/>
      <c r="E496" s="47" t="n"/>
      <c r="F496" s="47" t="n"/>
      <c r="G496" s="48" t="n"/>
      <c r="H496" s="49" t="n"/>
      <c r="I496" s="50">
        <f>IF(G496="","",ROUND(G496*H496,2))</f>
        <v/>
      </c>
      <c r="J496" s="50">
        <f>IF(G496="","",G496+N(I496))</f>
        <v/>
      </c>
      <c r="K496" s="45" t="n"/>
      <c r="L496" s="47" t="n"/>
      <c r="M496" s="48" t="n"/>
      <c r="N496" s="49" t="n"/>
      <c r="O496" s="50">
        <f>IF(M496="","",ROUND(M496*N496,2))</f>
        <v/>
      </c>
      <c r="P496" s="50">
        <f>IF(M496="","",M496+N(O496))</f>
        <v/>
      </c>
      <c r="Q496" s="45" t="n"/>
      <c r="R496" s="45" t="n"/>
      <c r="S496" s="51">
        <f>IF(L496="","",IF(COUNTIF(L$6:L496,L496)&gt;1,"",SUMIF(L$6:L$2000,L496,M$6:M$2000)-SUMIF(L$6:L$2000,L496,G$6:G$2000)))</f>
        <v/>
      </c>
      <c r="T496" s="46">
        <f>IF(AND(C496="",G496=""),"",IF(L496="","Nog factureren",IF(AND(G496&lt;&gt;"",OR(K496="",K496&gt;TODAY())),"Nog betalen",IF(OR(R496="",R496&gt;TODAY()),"Wacht op klant","Afgerond"))))</f>
        <v/>
      </c>
    </row>
    <row r="497">
      <c r="A497" s="45" t="n"/>
      <c r="B497" s="46">
        <f>IF(A497="","",YEAR(A497)&amp;" Q"&amp;ROUNDUP(MONTH(A497)/3,0))</f>
        <v/>
      </c>
      <c r="C497" s="47" t="n"/>
      <c r="D497" s="47" t="n"/>
      <c r="E497" s="47" t="n"/>
      <c r="F497" s="47" t="n"/>
      <c r="G497" s="48" t="n"/>
      <c r="H497" s="49" t="n"/>
      <c r="I497" s="50">
        <f>IF(G497="","",ROUND(G497*H497,2))</f>
        <v/>
      </c>
      <c r="J497" s="50">
        <f>IF(G497="","",G497+N(I497))</f>
        <v/>
      </c>
      <c r="K497" s="45" t="n"/>
      <c r="L497" s="47" t="n"/>
      <c r="M497" s="48" t="n"/>
      <c r="N497" s="49" t="n"/>
      <c r="O497" s="50">
        <f>IF(M497="","",ROUND(M497*N497,2))</f>
        <v/>
      </c>
      <c r="P497" s="50">
        <f>IF(M497="","",M497+N(O497))</f>
        <v/>
      </c>
      <c r="Q497" s="45" t="n"/>
      <c r="R497" s="45" t="n"/>
      <c r="S497" s="51">
        <f>IF(L497="","",IF(COUNTIF(L$6:L497,L497)&gt;1,"",SUMIF(L$6:L$2000,L497,M$6:M$2000)-SUMIF(L$6:L$2000,L497,G$6:G$2000)))</f>
        <v/>
      </c>
      <c r="T497" s="46">
        <f>IF(AND(C497="",G497=""),"",IF(L497="","Nog factureren",IF(AND(G497&lt;&gt;"",OR(K497="",K497&gt;TODAY())),"Nog betalen",IF(OR(R497="",R497&gt;TODAY()),"Wacht op klant","Afgerond"))))</f>
        <v/>
      </c>
    </row>
    <row r="498">
      <c r="A498" s="45" t="n"/>
      <c r="B498" s="46">
        <f>IF(A498="","",YEAR(A498)&amp;" Q"&amp;ROUNDUP(MONTH(A498)/3,0))</f>
        <v/>
      </c>
      <c r="C498" s="47" t="n"/>
      <c r="D498" s="47" t="n"/>
      <c r="E498" s="47" t="n"/>
      <c r="F498" s="47" t="n"/>
      <c r="G498" s="48" t="n"/>
      <c r="H498" s="49" t="n"/>
      <c r="I498" s="50">
        <f>IF(G498="","",ROUND(G498*H498,2))</f>
        <v/>
      </c>
      <c r="J498" s="50">
        <f>IF(G498="","",G498+N(I498))</f>
        <v/>
      </c>
      <c r="K498" s="45" t="n"/>
      <c r="L498" s="47" t="n"/>
      <c r="M498" s="48" t="n"/>
      <c r="N498" s="49" t="n"/>
      <c r="O498" s="50">
        <f>IF(M498="","",ROUND(M498*N498,2))</f>
        <v/>
      </c>
      <c r="P498" s="50">
        <f>IF(M498="","",M498+N(O498))</f>
        <v/>
      </c>
      <c r="Q498" s="45" t="n"/>
      <c r="R498" s="45" t="n"/>
      <c r="S498" s="51">
        <f>IF(L498="","",IF(COUNTIF(L$6:L498,L498)&gt;1,"",SUMIF(L$6:L$2000,L498,M$6:M$2000)-SUMIF(L$6:L$2000,L498,G$6:G$2000)))</f>
        <v/>
      </c>
      <c r="T498" s="46">
        <f>IF(AND(C498="",G498=""),"",IF(L498="","Nog factureren",IF(AND(G498&lt;&gt;"",OR(K498="",K498&gt;TODAY())),"Nog betalen",IF(OR(R498="",R498&gt;TODAY()),"Wacht op klant","Afgerond"))))</f>
        <v/>
      </c>
    </row>
    <row r="499">
      <c r="A499" s="45" t="n"/>
      <c r="B499" s="46">
        <f>IF(A499="","",YEAR(A499)&amp;" Q"&amp;ROUNDUP(MONTH(A499)/3,0))</f>
        <v/>
      </c>
      <c r="C499" s="47" t="n"/>
      <c r="D499" s="47" t="n"/>
      <c r="E499" s="47" t="n"/>
      <c r="F499" s="47" t="n"/>
      <c r="G499" s="48" t="n"/>
      <c r="H499" s="49" t="n"/>
      <c r="I499" s="50">
        <f>IF(G499="","",ROUND(G499*H499,2))</f>
        <v/>
      </c>
      <c r="J499" s="50">
        <f>IF(G499="","",G499+N(I499))</f>
        <v/>
      </c>
      <c r="K499" s="45" t="n"/>
      <c r="L499" s="47" t="n"/>
      <c r="M499" s="48" t="n"/>
      <c r="N499" s="49" t="n"/>
      <c r="O499" s="50">
        <f>IF(M499="","",ROUND(M499*N499,2))</f>
        <v/>
      </c>
      <c r="P499" s="50">
        <f>IF(M499="","",M499+N(O499))</f>
        <v/>
      </c>
      <c r="Q499" s="45" t="n"/>
      <c r="R499" s="45" t="n"/>
      <c r="S499" s="51">
        <f>IF(L499="","",IF(COUNTIF(L$6:L499,L499)&gt;1,"",SUMIF(L$6:L$2000,L499,M$6:M$2000)-SUMIF(L$6:L$2000,L499,G$6:G$2000)))</f>
        <v/>
      </c>
      <c r="T499" s="46">
        <f>IF(AND(C499="",G499=""),"",IF(L499="","Nog factureren",IF(AND(G499&lt;&gt;"",OR(K499="",K499&gt;TODAY())),"Nog betalen",IF(OR(R499="",R499&gt;TODAY()),"Wacht op klant","Afgerond"))))</f>
        <v/>
      </c>
    </row>
    <row r="500">
      <c r="A500" s="45" t="n"/>
      <c r="B500" s="46">
        <f>IF(A500="","",YEAR(A500)&amp;" Q"&amp;ROUNDUP(MONTH(A500)/3,0))</f>
        <v/>
      </c>
      <c r="C500" s="47" t="n"/>
      <c r="D500" s="47" t="n"/>
      <c r="E500" s="47" t="n"/>
      <c r="F500" s="47" t="n"/>
      <c r="G500" s="48" t="n"/>
      <c r="H500" s="49" t="n"/>
      <c r="I500" s="50">
        <f>IF(G500="","",ROUND(G500*H500,2))</f>
        <v/>
      </c>
      <c r="J500" s="50">
        <f>IF(G500="","",G500+N(I500))</f>
        <v/>
      </c>
      <c r="K500" s="45" t="n"/>
      <c r="L500" s="47" t="n"/>
      <c r="M500" s="48" t="n"/>
      <c r="N500" s="49" t="n"/>
      <c r="O500" s="50">
        <f>IF(M500="","",ROUND(M500*N500,2))</f>
        <v/>
      </c>
      <c r="P500" s="50">
        <f>IF(M500="","",M500+N(O500))</f>
        <v/>
      </c>
      <c r="Q500" s="45" t="n"/>
      <c r="R500" s="45" t="n"/>
      <c r="S500" s="51">
        <f>IF(L500="","",IF(COUNTIF(L$6:L500,L500)&gt;1,"",SUMIF(L$6:L$2000,L500,M$6:M$2000)-SUMIF(L$6:L$2000,L500,G$6:G$2000)))</f>
        <v/>
      </c>
      <c r="T500" s="46">
        <f>IF(AND(C500="",G500=""),"",IF(L500="","Nog factureren",IF(AND(G500&lt;&gt;"",OR(K500="",K500&gt;TODAY())),"Nog betalen",IF(OR(R500="",R500&gt;TODAY()),"Wacht op klant","Afgerond"))))</f>
        <v/>
      </c>
    </row>
    <row r="501">
      <c r="A501" s="45" t="n"/>
      <c r="B501" s="46">
        <f>IF(A501="","",YEAR(A501)&amp;" Q"&amp;ROUNDUP(MONTH(A501)/3,0))</f>
        <v/>
      </c>
      <c r="C501" s="47" t="n"/>
      <c r="D501" s="47" t="n"/>
      <c r="E501" s="47" t="n"/>
      <c r="F501" s="47" t="n"/>
      <c r="G501" s="48" t="n"/>
      <c r="H501" s="49" t="n"/>
      <c r="I501" s="50">
        <f>IF(G501="","",ROUND(G501*H501,2))</f>
        <v/>
      </c>
      <c r="J501" s="50">
        <f>IF(G501="","",G501+N(I501))</f>
        <v/>
      </c>
      <c r="K501" s="45" t="n"/>
      <c r="L501" s="47" t="n"/>
      <c r="M501" s="48" t="n"/>
      <c r="N501" s="49" t="n"/>
      <c r="O501" s="50">
        <f>IF(M501="","",ROUND(M501*N501,2))</f>
        <v/>
      </c>
      <c r="P501" s="50">
        <f>IF(M501="","",M501+N(O501))</f>
        <v/>
      </c>
      <c r="Q501" s="45" t="n"/>
      <c r="R501" s="45" t="n"/>
      <c r="S501" s="51">
        <f>IF(L501="","",IF(COUNTIF(L$6:L501,L501)&gt;1,"",SUMIF(L$6:L$2000,L501,M$6:M$2000)-SUMIF(L$6:L$2000,L501,G$6:G$2000)))</f>
        <v/>
      </c>
      <c r="T501" s="46">
        <f>IF(AND(C501="",G501=""),"",IF(L501="","Nog factureren",IF(AND(G501&lt;&gt;"",OR(K501="",K501&gt;TODAY())),"Nog betalen",IF(OR(R501="",R501&gt;TODAY()),"Wacht op klant","Afgerond"))))</f>
        <v/>
      </c>
    </row>
    <row r="502">
      <c r="A502" s="45" t="n"/>
      <c r="B502" s="46">
        <f>IF(A502="","",YEAR(A502)&amp;" Q"&amp;ROUNDUP(MONTH(A502)/3,0))</f>
        <v/>
      </c>
      <c r="C502" s="47" t="n"/>
      <c r="D502" s="47" t="n"/>
      <c r="E502" s="47" t="n"/>
      <c r="F502" s="47" t="n"/>
      <c r="G502" s="48" t="n"/>
      <c r="H502" s="49" t="n"/>
      <c r="I502" s="50">
        <f>IF(G502="","",ROUND(G502*H502,2))</f>
        <v/>
      </c>
      <c r="J502" s="50">
        <f>IF(G502="","",G502+N(I502))</f>
        <v/>
      </c>
      <c r="K502" s="45" t="n"/>
      <c r="L502" s="47" t="n"/>
      <c r="M502" s="48" t="n"/>
      <c r="N502" s="49" t="n"/>
      <c r="O502" s="50">
        <f>IF(M502="","",ROUND(M502*N502,2))</f>
        <v/>
      </c>
      <c r="P502" s="50">
        <f>IF(M502="","",M502+N(O502))</f>
        <v/>
      </c>
      <c r="Q502" s="45" t="n"/>
      <c r="R502" s="45" t="n"/>
      <c r="S502" s="51">
        <f>IF(L502="","",IF(COUNTIF(L$6:L502,L502)&gt;1,"",SUMIF(L$6:L$2000,L502,M$6:M$2000)-SUMIF(L$6:L$2000,L502,G$6:G$2000)))</f>
        <v/>
      </c>
      <c r="T502" s="46">
        <f>IF(AND(C502="",G502=""),"",IF(L502="","Nog factureren",IF(AND(G502&lt;&gt;"",OR(K502="",K502&gt;TODAY())),"Nog betalen",IF(OR(R502="",R502&gt;TODAY()),"Wacht op klant","Afgerond"))))</f>
        <v/>
      </c>
    </row>
    <row r="503">
      <c r="A503" s="45" t="n"/>
      <c r="B503" s="46">
        <f>IF(A503="","",YEAR(A503)&amp;" Q"&amp;ROUNDUP(MONTH(A503)/3,0))</f>
        <v/>
      </c>
      <c r="C503" s="47" t="n"/>
      <c r="D503" s="47" t="n"/>
      <c r="E503" s="47" t="n"/>
      <c r="F503" s="47" t="n"/>
      <c r="G503" s="48" t="n"/>
      <c r="H503" s="49" t="n"/>
      <c r="I503" s="50">
        <f>IF(G503="","",ROUND(G503*H503,2))</f>
        <v/>
      </c>
      <c r="J503" s="50">
        <f>IF(G503="","",G503+N(I503))</f>
        <v/>
      </c>
      <c r="K503" s="45" t="n"/>
      <c r="L503" s="47" t="n"/>
      <c r="M503" s="48" t="n"/>
      <c r="N503" s="49" t="n"/>
      <c r="O503" s="50">
        <f>IF(M503="","",ROUND(M503*N503,2))</f>
        <v/>
      </c>
      <c r="P503" s="50">
        <f>IF(M503="","",M503+N(O503))</f>
        <v/>
      </c>
      <c r="Q503" s="45" t="n"/>
      <c r="R503" s="45" t="n"/>
      <c r="S503" s="51">
        <f>IF(L503="","",IF(COUNTIF(L$6:L503,L503)&gt;1,"",SUMIF(L$6:L$2000,L503,M$6:M$2000)-SUMIF(L$6:L$2000,L503,G$6:G$2000)))</f>
        <v/>
      </c>
      <c r="T503" s="46">
        <f>IF(AND(C503="",G503=""),"",IF(L503="","Nog factureren",IF(AND(G503&lt;&gt;"",OR(K503="",K503&gt;TODAY())),"Nog betalen",IF(OR(R503="",R503&gt;TODAY()),"Wacht op klant","Afgerond"))))</f>
        <v/>
      </c>
    </row>
    <row r="504">
      <c r="A504" s="45" t="n"/>
      <c r="B504" s="46">
        <f>IF(A504="","",YEAR(A504)&amp;" Q"&amp;ROUNDUP(MONTH(A504)/3,0))</f>
        <v/>
      </c>
      <c r="C504" s="47" t="n"/>
      <c r="D504" s="47" t="n"/>
      <c r="E504" s="47" t="n"/>
      <c r="F504" s="47" t="n"/>
      <c r="G504" s="48" t="n"/>
      <c r="H504" s="49" t="n"/>
      <c r="I504" s="50">
        <f>IF(G504="","",ROUND(G504*H504,2))</f>
        <v/>
      </c>
      <c r="J504" s="50">
        <f>IF(G504="","",G504+N(I504))</f>
        <v/>
      </c>
      <c r="K504" s="45" t="n"/>
      <c r="L504" s="47" t="n"/>
      <c r="M504" s="48" t="n"/>
      <c r="N504" s="49" t="n"/>
      <c r="O504" s="50">
        <f>IF(M504="","",ROUND(M504*N504,2))</f>
        <v/>
      </c>
      <c r="P504" s="50">
        <f>IF(M504="","",M504+N(O504))</f>
        <v/>
      </c>
      <c r="Q504" s="45" t="n"/>
      <c r="R504" s="45" t="n"/>
      <c r="S504" s="51">
        <f>IF(L504="","",IF(COUNTIF(L$6:L504,L504)&gt;1,"",SUMIF(L$6:L$2000,L504,M$6:M$2000)-SUMIF(L$6:L$2000,L504,G$6:G$2000)))</f>
        <v/>
      </c>
      <c r="T504" s="46">
        <f>IF(AND(C504="",G504=""),"",IF(L504="","Nog factureren",IF(AND(G504&lt;&gt;"",OR(K504="",K504&gt;TODAY())),"Nog betalen",IF(OR(R504="",R504&gt;TODAY()),"Wacht op klant","Afgerond"))))</f>
        <v/>
      </c>
    </row>
    <row r="505">
      <c r="A505" s="45" t="n"/>
      <c r="B505" s="46">
        <f>IF(A505="","",YEAR(A505)&amp;" Q"&amp;ROUNDUP(MONTH(A505)/3,0))</f>
        <v/>
      </c>
      <c r="C505" s="47" t="n"/>
      <c r="D505" s="47" t="n"/>
      <c r="E505" s="47" t="n"/>
      <c r="F505" s="47" t="n"/>
      <c r="G505" s="48" t="n"/>
      <c r="H505" s="49" t="n"/>
      <c r="I505" s="50">
        <f>IF(G505="","",ROUND(G505*H505,2))</f>
        <v/>
      </c>
      <c r="J505" s="50">
        <f>IF(G505="","",G505+N(I505))</f>
        <v/>
      </c>
      <c r="K505" s="45" t="n"/>
      <c r="L505" s="47" t="n"/>
      <c r="M505" s="48" t="n"/>
      <c r="N505" s="49" t="n"/>
      <c r="O505" s="50">
        <f>IF(M505="","",ROUND(M505*N505,2))</f>
        <v/>
      </c>
      <c r="P505" s="50">
        <f>IF(M505="","",M505+N(O505))</f>
        <v/>
      </c>
      <c r="Q505" s="45" t="n"/>
      <c r="R505" s="45" t="n"/>
      <c r="S505" s="51">
        <f>IF(L505="","",IF(COUNTIF(L$6:L505,L505)&gt;1,"",SUMIF(L$6:L$2000,L505,M$6:M$2000)-SUMIF(L$6:L$2000,L505,G$6:G$2000)))</f>
        <v/>
      </c>
      <c r="T505" s="46">
        <f>IF(AND(C505="",G505=""),"",IF(L505="","Nog factureren",IF(AND(G505&lt;&gt;"",OR(K505="",K505&gt;TODAY())),"Nog betalen",IF(OR(R505="",R505&gt;TODAY()),"Wacht op klant","Afgerond"))))</f>
        <v/>
      </c>
    </row>
    <row r="506">
      <c r="A506" s="45" t="n"/>
      <c r="B506" s="46">
        <f>IF(A506="","",YEAR(A506)&amp;" Q"&amp;ROUNDUP(MONTH(A506)/3,0))</f>
        <v/>
      </c>
      <c r="C506" s="47" t="n"/>
      <c r="D506" s="47" t="n"/>
      <c r="E506" s="47" t="n"/>
      <c r="F506" s="47" t="n"/>
      <c r="G506" s="48" t="n"/>
      <c r="H506" s="49" t="n"/>
      <c r="I506" s="50">
        <f>IF(G506="","",ROUND(G506*H506,2))</f>
        <v/>
      </c>
      <c r="J506" s="50">
        <f>IF(G506="","",G506+N(I506))</f>
        <v/>
      </c>
      <c r="K506" s="45" t="n"/>
      <c r="L506" s="47" t="n"/>
      <c r="M506" s="48" t="n"/>
      <c r="N506" s="49" t="n"/>
      <c r="O506" s="50">
        <f>IF(M506="","",ROUND(M506*N506,2))</f>
        <v/>
      </c>
      <c r="P506" s="50">
        <f>IF(M506="","",M506+N(O506))</f>
        <v/>
      </c>
      <c r="Q506" s="45" t="n"/>
      <c r="R506" s="45" t="n"/>
      <c r="S506" s="51">
        <f>IF(L506="","",IF(COUNTIF(L$6:L506,L506)&gt;1,"",SUMIF(L$6:L$2000,L506,M$6:M$2000)-SUMIF(L$6:L$2000,L506,G$6:G$2000)))</f>
        <v/>
      </c>
      <c r="T506" s="46">
        <f>IF(AND(C506="",G506=""),"",IF(L506="","Nog factureren",IF(AND(G506&lt;&gt;"",OR(K506="",K506&gt;TODAY())),"Nog betalen",IF(OR(R506="",R506&gt;TODAY()),"Wacht op klant","Afgerond"))))</f>
        <v/>
      </c>
    </row>
    <row r="507">
      <c r="A507" s="45" t="n"/>
      <c r="B507" s="46">
        <f>IF(A507="","",YEAR(A507)&amp;" Q"&amp;ROUNDUP(MONTH(A507)/3,0))</f>
        <v/>
      </c>
      <c r="C507" s="47" t="n"/>
      <c r="D507" s="47" t="n"/>
      <c r="E507" s="47" t="n"/>
      <c r="F507" s="47" t="n"/>
      <c r="G507" s="48" t="n"/>
      <c r="H507" s="49" t="n"/>
      <c r="I507" s="50">
        <f>IF(G507="","",ROUND(G507*H507,2))</f>
        <v/>
      </c>
      <c r="J507" s="50">
        <f>IF(G507="","",G507+N(I507))</f>
        <v/>
      </c>
      <c r="K507" s="45" t="n"/>
      <c r="L507" s="47" t="n"/>
      <c r="M507" s="48" t="n"/>
      <c r="N507" s="49" t="n"/>
      <c r="O507" s="50">
        <f>IF(M507="","",ROUND(M507*N507,2))</f>
        <v/>
      </c>
      <c r="P507" s="50">
        <f>IF(M507="","",M507+N(O507))</f>
        <v/>
      </c>
      <c r="Q507" s="45" t="n"/>
      <c r="R507" s="45" t="n"/>
      <c r="S507" s="51">
        <f>IF(L507="","",IF(COUNTIF(L$6:L507,L507)&gt;1,"",SUMIF(L$6:L$2000,L507,M$6:M$2000)-SUMIF(L$6:L$2000,L507,G$6:G$2000)))</f>
        <v/>
      </c>
      <c r="T507" s="46">
        <f>IF(AND(C507="",G507=""),"",IF(L507="","Nog factureren",IF(AND(G507&lt;&gt;"",OR(K507="",K507&gt;TODAY())),"Nog betalen",IF(OR(R507="",R507&gt;TODAY()),"Wacht op klant","Afgerond"))))</f>
        <v/>
      </c>
    </row>
    <row r="508">
      <c r="A508" s="45" t="n"/>
      <c r="B508" s="46">
        <f>IF(A508="","",YEAR(A508)&amp;" Q"&amp;ROUNDUP(MONTH(A508)/3,0))</f>
        <v/>
      </c>
      <c r="C508" s="47" t="n"/>
      <c r="D508" s="47" t="n"/>
      <c r="E508" s="47" t="n"/>
      <c r="F508" s="47" t="n"/>
      <c r="G508" s="48" t="n"/>
      <c r="H508" s="49" t="n"/>
      <c r="I508" s="50">
        <f>IF(G508="","",ROUND(G508*H508,2))</f>
        <v/>
      </c>
      <c r="J508" s="50">
        <f>IF(G508="","",G508+N(I508))</f>
        <v/>
      </c>
      <c r="K508" s="45" t="n"/>
      <c r="L508" s="47" t="n"/>
      <c r="M508" s="48" t="n"/>
      <c r="N508" s="49" t="n"/>
      <c r="O508" s="50">
        <f>IF(M508="","",ROUND(M508*N508,2))</f>
        <v/>
      </c>
      <c r="P508" s="50">
        <f>IF(M508="","",M508+N(O508))</f>
        <v/>
      </c>
      <c r="Q508" s="45" t="n"/>
      <c r="R508" s="45" t="n"/>
      <c r="S508" s="51">
        <f>IF(L508="","",IF(COUNTIF(L$6:L508,L508)&gt;1,"",SUMIF(L$6:L$2000,L508,M$6:M$2000)-SUMIF(L$6:L$2000,L508,G$6:G$2000)))</f>
        <v/>
      </c>
      <c r="T508" s="46">
        <f>IF(AND(C508="",G508=""),"",IF(L508="","Nog factureren",IF(AND(G508&lt;&gt;"",OR(K508="",K508&gt;TODAY())),"Nog betalen",IF(OR(R508="",R508&gt;TODAY()),"Wacht op klant","Afgerond"))))</f>
        <v/>
      </c>
    </row>
    <row r="509">
      <c r="A509" s="45" t="n"/>
      <c r="B509" s="46">
        <f>IF(A509="","",YEAR(A509)&amp;" Q"&amp;ROUNDUP(MONTH(A509)/3,0))</f>
        <v/>
      </c>
      <c r="C509" s="47" t="n"/>
      <c r="D509" s="47" t="n"/>
      <c r="E509" s="47" t="n"/>
      <c r="F509" s="47" t="n"/>
      <c r="G509" s="48" t="n"/>
      <c r="H509" s="49" t="n"/>
      <c r="I509" s="50">
        <f>IF(G509="","",ROUND(G509*H509,2))</f>
        <v/>
      </c>
      <c r="J509" s="50">
        <f>IF(G509="","",G509+N(I509))</f>
        <v/>
      </c>
      <c r="K509" s="45" t="n"/>
      <c r="L509" s="47" t="n"/>
      <c r="M509" s="48" t="n"/>
      <c r="N509" s="49" t="n"/>
      <c r="O509" s="50">
        <f>IF(M509="","",ROUND(M509*N509,2))</f>
        <v/>
      </c>
      <c r="P509" s="50">
        <f>IF(M509="","",M509+N(O509))</f>
        <v/>
      </c>
      <c r="Q509" s="45" t="n"/>
      <c r="R509" s="45" t="n"/>
      <c r="S509" s="51">
        <f>IF(L509="","",IF(COUNTIF(L$6:L509,L509)&gt;1,"",SUMIF(L$6:L$2000,L509,M$6:M$2000)-SUMIF(L$6:L$2000,L509,G$6:G$2000)))</f>
        <v/>
      </c>
      <c r="T509" s="46">
        <f>IF(AND(C509="",G509=""),"",IF(L509="","Nog factureren",IF(AND(G509&lt;&gt;"",OR(K509="",K509&gt;TODAY())),"Nog betalen",IF(OR(R509="",R509&gt;TODAY()),"Wacht op klant","Afgerond"))))</f>
        <v/>
      </c>
    </row>
    <row r="510">
      <c r="A510" s="45" t="n"/>
      <c r="B510" s="46">
        <f>IF(A510="","",YEAR(A510)&amp;" Q"&amp;ROUNDUP(MONTH(A510)/3,0))</f>
        <v/>
      </c>
      <c r="C510" s="47" t="n"/>
      <c r="D510" s="47" t="n"/>
      <c r="E510" s="47" t="n"/>
      <c r="F510" s="47" t="n"/>
      <c r="G510" s="48" t="n"/>
      <c r="H510" s="49" t="n"/>
      <c r="I510" s="50">
        <f>IF(G510="","",ROUND(G510*H510,2))</f>
        <v/>
      </c>
      <c r="J510" s="50">
        <f>IF(G510="","",G510+N(I510))</f>
        <v/>
      </c>
      <c r="K510" s="45" t="n"/>
      <c r="L510" s="47" t="n"/>
      <c r="M510" s="48" t="n"/>
      <c r="N510" s="49" t="n"/>
      <c r="O510" s="50">
        <f>IF(M510="","",ROUND(M510*N510,2))</f>
        <v/>
      </c>
      <c r="P510" s="50">
        <f>IF(M510="","",M510+N(O510))</f>
        <v/>
      </c>
      <c r="Q510" s="45" t="n"/>
      <c r="R510" s="45" t="n"/>
      <c r="S510" s="51">
        <f>IF(L510="","",IF(COUNTIF(L$6:L510,L510)&gt;1,"",SUMIF(L$6:L$2000,L510,M$6:M$2000)-SUMIF(L$6:L$2000,L510,G$6:G$2000)))</f>
        <v/>
      </c>
      <c r="T510" s="46">
        <f>IF(AND(C510="",G510=""),"",IF(L510="","Nog factureren",IF(AND(G510&lt;&gt;"",OR(K510="",K510&gt;TODAY())),"Nog betalen",IF(OR(R510="",R510&gt;TODAY()),"Wacht op klant","Afgerond"))))</f>
        <v/>
      </c>
    </row>
    <row r="511">
      <c r="A511" s="45" t="n"/>
      <c r="B511" s="46">
        <f>IF(A511="","",YEAR(A511)&amp;" Q"&amp;ROUNDUP(MONTH(A511)/3,0))</f>
        <v/>
      </c>
      <c r="C511" s="47" t="n"/>
      <c r="D511" s="47" t="n"/>
      <c r="E511" s="47" t="n"/>
      <c r="F511" s="47" t="n"/>
      <c r="G511" s="48" t="n"/>
      <c r="H511" s="49" t="n"/>
      <c r="I511" s="50">
        <f>IF(G511="","",ROUND(G511*H511,2))</f>
        <v/>
      </c>
      <c r="J511" s="50">
        <f>IF(G511="","",G511+N(I511))</f>
        <v/>
      </c>
      <c r="K511" s="45" t="n"/>
      <c r="L511" s="47" t="n"/>
      <c r="M511" s="48" t="n"/>
      <c r="N511" s="49" t="n"/>
      <c r="O511" s="50">
        <f>IF(M511="","",ROUND(M511*N511,2))</f>
        <v/>
      </c>
      <c r="P511" s="50">
        <f>IF(M511="","",M511+N(O511))</f>
        <v/>
      </c>
      <c r="Q511" s="45" t="n"/>
      <c r="R511" s="45" t="n"/>
      <c r="S511" s="51">
        <f>IF(L511="","",IF(COUNTIF(L$6:L511,L511)&gt;1,"",SUMIF(L$6:L$2000,L511,M$6:M$2000)-SUMIF(L$6:L$2000,L511,G$6:G$2000)))</f>
        <v/>
      </c>
      <c r="T511" s="46">
        <f>IF(AND(C511="",G511=""),"",IF(L511="","Nog factureren",IF(AND(G511&lt;&gt;"",OR(K511="",K511&gt;TODAY())),"Nog betalen",IF(OR(R511="",R511&gt;TODAY()),"Wacht op klant","Afgerond"))))</f>
        <v/>
      </c>
    </row>
    <row r="512">
      <c r="A512" s="45" t="n"/>
      <c r="B512" s="46">
        <f>IF(A512="","",YEAR(A512)&amp;" Q"&amp;ROUNDUP(MONTH(A512)/3,0))</f>
        <v/>
      </c>
      <c r="C512" s="47" t="n"/>
      <c r="D512" s="47" t="n"/>
      <c r="E512" s="47" t="n"/>
      <c r="F512" s="47" t="n"/>
      <c r="G512" s="48" t="n"/>
      <c r="H512" s="49" t="n"/>
      <c r="I512" s="50">
        <f>IF(G512="","",ROUND(G512*H512,2))</f>
        <v/>
      </c>
      <c r="J512" s="50">
        <f>IF(G512="","",G512+N(I512))</f>
        <v/>
      </c>
      <c r="K512" s="45" t="n"/>
      <c r="L512" s="47" t="n"/>
      <c r="M512" s="48" t="n"/>
      <c r="N512" s="49" t="n"/>
      <c r="O512" s="50">
        <f>IF(M512="","",ROUND(M512*N512,2))</f>
        <v/>
      </c>
      <c r="P512" s="50">
        <f>IF(M512="","",M512+N(O512))</f>
        <v/>
      </c>
      <c r="Q512" s="45" t="n"/>
      <c r="R512" s="45" t="n"/>
      <c r="S512" s="51">
        <f>IF(L512="","",IF(COUNTIF(L$6:L512,L512)&gt;1,"",SUMIF(L$6:L$2000,L512,M$6:M$2000)-SUMIF(L$6:L$2000,L512,G$6:G$2000)))</f>
        <v/>
      </c>
      <c r="T512" s="46">
        <f>IF(AND(C512="",G512=""),"",IF(L512="","Nog factureren",IF(AND(G512&lt;&gt;"",OR(K512="",K512&gt;TODAY())),"Nog betalen",IF(OR(R512="",R512&gt;TODAY()),"Wacht op klant","Afgerond"))))</f>
        <v/>
      </c>
    </row>
    <row r="513">
      <c r="A513" s="45" t="n"/>
      <c r="B513" s="46">
        <f>IF(A513="","",YEAR(A513)&amp;" Q"&amp;ROUNDUP(MONTH(A513)/3,0))</f>
        <v/>
      </c>
      <c r="C513" s="47" t="n"/>
      <c r="D513" s="47" t="n"/>
      <c r="E513" s="47" t="n"/>
      <c r="F513" s="47" t="n"/>
      <c r="G513" s="48" t="n"/>
      <c r="H513" s="49" t="n"/>
      <c r="I513" s="50">
        <f>IF(G513="","",ROUND(G513*H513,2))</f>
        <v/>
      </c>
      <c r="J513" s="50">
        <f>IF(G513="","",G513+N(I513))</f>
        <v/>
      </c>
      <c r="K513" s="45" t="n"/>
      <c r="L513" s="47" t="n"/>
      <c r="M513" s="48" t="n"/>
      <c r="N513" s="49" t="n"/>
      <c r="O513" s="50">
        <f>IF(M513="","",ROUND(M513*N513,2))</f>
        <v/>
      </c>
      <c r="P513" s="50">
        <f>IF(M513="","",M513+N(O513))</f>
        <v/>
      </c>
      <c r="Q513" s="45" t="n"/>
      <c r="R513" s="45" t="n"/>
      <c r="S513" s="51">
        <f>IF(L513="","",IF(COUNTIF(L$6:L513,L513)&gt;1,"",SUMIF(L$6:L$2000,L513,M$6:M$2000)-SUMIF(L$6:L$2000,L513,G$6:G$2000)))</f>
        <v/>
      </c>
      <c r="T513" s="46">
        <f>IF(AND(C513="",G513=""),"",IF(L513="","Nog factureren",IF(AND(G513&lt;&gt;"",OR(K513="",K513&gt;TODAY())),"Nog betalen",IF(OR(R513="",R513&gt;TODAY()),"Wacht op klant","Afgerond"))))</f>
        <v/>
      </c>
    </row>
    <row r="514">
      <c r="A514" s="45" t="n"/>
      <c r="B514" s="46">
        <f>IF(A514="","",YEAR(A514)&amp;" Q"&amp;ROUNDUP(MONTH(A514)/3,0))</f>
        <v/>
      </c>
      <c r="C514" s="47" t="n"/>
      <c r="D514" s="47" t="n"/>
      <c r="E514" s="47" t="n"/>
      <c r="F514" s="47" t="n"/>
      <c r="G514" s="48" t="n"/>
      <c r="H514" s="49" t="n"/>
      <c r="I514" s="50">
        <f>IF(G514="","",ROUND(G514*H514,2))</f>
        <v/>
      </c>
      <c r="J514" s="50">
        <f>IF(G514="","",G514+N(I514))</f>
        <v/>
      </c>
      <c r="K514" s="45" t="n"/>
      <c r="L514" s="47" t="n"/>
      <c r="M514" s="48" t="n"/>
      <c r="N514" s="49" t="n"/>
      <c r="O514" s="50">
        <f>IF(M514="","",ROUND(M514*N514,2))</f>
        <v/>
      </c>
      <c r="P514" s="50">
        <f>IF(M514="","",M514+N(O514))</f>
        <v/>
      </c>
      <c r="Q514" s="45" t="n"/>
      <c r="R514" s="45" t="n"/>
      <c r="S514" s="51">
        <f>IF(L514="","",IF(COUNTIF(L$6:L514,L514)&gt;1,"",SUMIF(L$6:L$2000,L514,M$6:M$2000)-SUMIF(L$6:L$2000,L514,G$6:G$2000)))</f>
        <v/>
      </c>
      <c r="T514" s="46">
        <f>IF(AND(C514="",G514=""),"",IF(L514="","Nog factureren",IF(AND(G514&lt;&gt;"",OR(K514="",K514&gt;TODAY())),"Nog betalen",IF(OR(R514="",R514&gt;TODAY()),"Wacht op klant","Afgerond"))))</f>
        <v/>
      </c>
    </row>
    <row r="515">
      <c r="A515" s="45" t="n"/>
      <c r="B515" s="46">
        <f>IF(A515="","",YEAR(A515)&amp;" Q"&amp;ROUNDUP(MONTH(A515)/3,0))</f>
        <v/>
      </c>
      <c r="C515" s="47" t="n"/>
      <c r="D515" s="47" t="n"/>
      <c r="E515" s="47" t="n"/>
      <c r="F515" s="47" t="n"/>
      <c r="G515" s="48" t="n"/>
      <c r="H515" s="49" t="n"/>
      <c r="I515" s="50">
        <f>IF(G515="","",ROUND(G515*H515,2))</f>
        <v/>
      </c>
      <c r="J515" s="50">
        <f>IF(G515="","",G515+N(I515))</f>
        <v/>
      </c>
      <c r="K515" s="45" t="n"/>
      <c r="L515" s="47" t="n"/>
      <c r="M515" s="48" t="n"/>
      <c r="N515" s="49" t="n"/>
      <c r="O515" s="50">
        <f>IF(M515="","",ROUND(M515*N515,2))</f>
        <v/>
      </c>
      <c r="P515" s="50">
        <f>IF(M515="","",M515+N(O515))</f>
        <v/>
      </c>
      <c r="Q515" s="45" t="n"/>
      <c r="R515" s="45" t="n"/>
      <c r="S515" s="51">
        <f>IF(L515="","",IF(COUNTIF(L$6:L515,L515)&gt;1,"",SUMIF(L$6:L$2000,L515,M$6:M$2000)-SUMIF(L$6:L$2000,L515,G$6:G$2000)))</f>
        <v/>
      </c>
      <c r="T515" s="46">
        <f>IF(AND(C515="",G515=""),"",IF(L515="","Nog factureren",IF(AND(G515&lt;&gt;"",OR(K515="",K515&gt;TODAY())),"Nog betalen",IF(OR(R515="",R515&gt;TODAY()),"Wacht op klant","Afgerond"))))</f>
        <v/>
      </c>
    </row>
    <row r="516">
      <c r="A516" s="45" t="n"/>
      <c r="B516" s="46">
        <f>IF(A516="","",YEAR(A516)&amp;" Q"&amp;ROUNDUP(MONTH(A516)/3,0))</f>
        <v/>
      </c>
      <c r="C516" s="47" t="n"/>
      <c r="D516" s="47" t="n"/>
      <c r="E516" s="47" t="n"/>
      <c r="F516" s="47" t="n"/>
      <c r="G516" s="48" t="n"/>
      <c r="H516" s="49" t="n"/>
      <c r="I516" s="50">
        <f>IF(G516="","",ROUND(G516*H516,2))</f>
        <v/>
      </c>
      <c r="J516" s="50">
        <f>IF(G516="","",G516+N(I516))</f>
        <v/>
      </c>
      <c r="K516" s="45" t="n"/>
      <c r="L516" s="47" t="n"/>
      <c r="M516" s="48" t="n"/>
      <c r="N516" s="49" t="n"/>
      <c r="O516" s="50">
        <f>IF(M516="","",ROUND(M516*N516,2))</f>
        <v/>
      </c>
      <c r="P516" s="50">
        <f>IF(M516="","",M516+N(O516))</f>
        <v/>
      </c>
      <c r="Q516" s="45" t="n"/>
      <c r="R516" s="45" t="n"/>
      <c r="S516" s="51">
        <f>IF(L516="","",IF(COUNTIF(L$6:L516,L516)&gt;1,"",SUMIF(L$6:L$2000,L516,M$6:M$2000)-SUMIF(L$6:L$2000,L516,G$6:G$2000)))</f>
        <v/>
      </c>
      <c r="T516" s="46">
        <f>IF(AND(C516="",G516=""),"",IF(L516="","Nog factureren",IF(AND(G516&lt;&gt;"",OR(K516="",K516&gt;TODAY())),"Nog betalen",IF(OR(R516="",R516&gt;TODAY()),"Wacht op klant","Afgerond"))))</f>
        <v/>
      </c>
    </row>
    <row r="517">
      <c r="A517" s="45" t="n"/>
      <c r="B517" s="46">
        <f>IF(A517="","",YEAR(A517)&amp;" Q"&amp;ROUNDUP(MONTH(A517)/3,0))</f>
        <v/>
      </c>
      <c r="C517" s="47" t="n"/>
      <c r="D517" s="47" t="n"/>
      <c r="E517" s="47" t="n"/>
      <c r="F517" s="47" t="n"/>
      <c r="G517" s="48" t="n"/>
      <c r="H517" s="49" t="n"/>
      <c r="I517" s="50">
        <f>IF(G517="","",ROUND(G517*H517,2))</f>
        <v/>
      </c>
      <c r="J517" s="50">
        <f>IF(G517="","",G517+N(I517))</f>
        <v/>
      </c>
      <c r="K517" s="45" t="n"/>
      <c r="L517" s="47" t="n"/>
      <c r="M517" s="48" t="n"/>
      <c r="N517" s="49" t="n"/>
      <c r="O517" s="50">
        <f>IF(M517="","",ROUND(M517*N517,2))</f>
        <v/>
      </c>
      <c r="P517" s="50">
        <f>IF(M517="","",M517+N(O517))</f>
        <v/>
      </c>
      <c r="Q517" s="45" t="n"/>
      <c r="R517" s="45" t="n"/>
      <c r="S517" s="51">
        <f>IF(L517="","",IF(COUNTIF(L$6:L517,L517)&gt;1,"",SUMIF(L$6:L$2000,L517,M$6:M$2000)-SUMIF(L$6:L$2000,L517,G$6:G$2000)))</f>
        <v/>
      </c>
      <c r="T517" s="46">
        <f>IF(AND(C517="",G517=""),"",IF(L517="","Nog factureren",IF(AND(G517&lt;&gt;"",OR(K517="",K517&gt;TODAY())),"Nog betalen",IF(OR(R517="",R517&gt;TODAY()),"Wacht op klant","Afgerond"))))</f>
        <v/>
      </c>
    </row>
    <row r="518">
      <c r="A518" s="45" t="n"/>
      <c r="B518" s="46">
        <f>IF(A518="","",YEAR(A518)&amp;" Q"&amp;ROUNDUP(MONTH(A518)/3,0))</f>
        <v/>
      </c>
      <c r="C518" s="47" t="n"/>
      <c r="D518" s="47" t="n"/>
      <c r="E518" s="47" t="n"/>
      <c r="F518" s="47" t="n"/>
      <c r="G518" s="48" t="n"/>
      <c r="H518" s="49" t="n"/>
      <c r="I518" s="50">
        <f>IF(G518="","",ROUND(G518*H518,2))</f>
        <v/>
      </c>
      <c r="J518" s="50">
        <f>IF(G518="","",G518+N(I518))</f>
        <v/>
      </c>
      <c r="K518" s="45" t="n"/>
      <c r="L518" s="47" t="n"/>
      <c r="M518" s="48" t="n"/>
      <c r="N518" s="49" t="n"/>
      <c r="O518" s="50">
        <f>IF(M518="","",ROUND(M518*N518,2))</f>
        <v/>
      </c>
      <c r="P518" s="50">
        <f>IF(M518="","",M518+N(O518))</f>
        <v/>
      </c>
      <c r="Q518" s="45" t="n"/>
      <c r="R518" s="45" t="n"/>
      <c r="S518" s="51">
        <f>IF(L518="","",IF(COUNTIF(L$6:L518,L518)&gt;1,"",SUMIF(L$6:L$2000,L518,M$6:M$2000)-SUMIF(L$6:L$2000,L518,G$6:G$2000)))</f>
        <v/>
      </c>
      <c r="T518" s="46">
        <f>IF(AND(C518="",G518=""),"",IF(L518="","Nog factureren",IF(AND(G518&lt;&gt;"",OR(K518="",K518&gt;TODAY())),"Nog betalen",IF(OR(R518="",R518&gt;TODAY()),"Wacht op klant","Afgerond"))))</f>
        <v/>
      </c>
    </row>
    <row r="519">
      <c r="A519" s="45" t="n"/>
      <c r="B519" s="46">
        <f>IF(A519="","",YEAR(A519)&amp;" Q"&amp;ROUNDUP(MONTH(A519)/3,0))</f>
        <v/>
      </c>
      <c r="C519" s="47" t="n"/>
      <c r="D519" s="47" t="n"/>
      <c r="E519" s="47" t="n"/>
      <c r="F519" s="47" t="n"/>
      <c r="G519" s="48" t="n"/>
      <c r="H519" s="49" t="n"/>
      <c r="I519" s="50">
        <f>IF(G519="","",ROUND(G519*H519,2))</f>
        <v/>
      </c>
      <c r="J519" s="50">
        <f>IF(G519="","",G519+N(I519))</f>
        <v/>
      </c>
      <c r="K519" s="45" t="n"/>
      <c r="L519" s="47" t="n"/>
      <c r="M519" s="48" t="n"/>
      <c r="N519" s="49" t="n"/>
      <c r="O519" s="50">
        <f>IF(M519="","",ROUND(M519*N519,2))</f>
        <v/>
      </c>
      <c r="P519" s="50">
        <f>IF(M519="","",M519+N(O519))</f>
        <v/>
      </c>
      <c r="Q519" s="45" t="n"/>
      <c r="R519" s="45" t="n"/>
      <c r="S519" s="51">
        <f>IF(L519="","",IF(COUNTIF(L$6:L519,L519)&gt;1,"",SUMIF(L$6:L$2000,L519,M$6:M$2000)-SUMIF(L$6:L$2000,L519,G$6:G$2000)))</f>
        <v/>
      </c>
      <c r="T519" s="46">
        <f>IF(AND(C519="",G519=""),"",IF(L519="","Nog factureren",IF(AND(G519&lt;&gt;"",OR(K519="",K519&gt;TODAY())),"Nog betalen",IF(OR(R519="",R519&gt;TODAY()),"Wacht op klant","Afgerond"))))</f>
        <v/>
      </c>
    </row>
    <row r="520">
      <c r="A520" s="45" t="n"/>
      <c r="B520" s="46">
        <f>IF(A520="","",YEAR(A520)&amp;" Q"&amp;ROUNDUP(MONTH(A520)/3,0))</f>
        <v/>
      </c>
      <c r="C520" s="47" t="n"/>
      <c r="D520" s="47" t="n"/>
      <c r="E520" s="47" t="n"/>
      <c r="F520" s="47" t="n"/>
      <c r="G520" s="48" t="n"/>
      <c r="H520" s="49" t="n"/>
      <c r="I520" s="50">
        <f>IF(G520="","",ROUND(G520*H520,2))</f>
        <v/>
      </c>
      <c r="J520" s="50">
        <f>IF(G520="","",G520+N(I520))</f>
        <v/>
      </c>
      <c r="K520" s="45" t="n"/>
      <c r="L520" s="47" t="n"/>
      <c r="M520" s="48" t="n"/>
      <c r="N520" s="49" t="n"/>
      <c r="O520" s="50">
        <f>IF(M520="","",ROUND(M520*N520,2))</f>
        <v/>
      </c>
      <c r="P520" s="50">
        <f>IF(M520="","",M520+N(O520))</f>
        <v/>
      </c>
      <c r="Q520" s="45" t="n"/>
      <c r="R520" s="45" t="n"/>
      <c r="S520" s="51">
        <f>IF(L520="","",IF(COUNTIF(L$6:L520,L520)&gt;1,"",SUMIF(L$6:L$2000,L520,M$6:M$2000)-SUMIF(L$6:L$2000,L520,G$6:G$2000)))</f>
        <v/>
      </c>
      <c r="T520" s="46">
        <f>IF(AND(C520="",G520=""),"",IF(L520="","Nog factureren",IF(AND(G520&lt;&gt;"",OR(K520="",K520&gt;TODAY())),"Nog betalen",IF(OR(R520="",R520&gt;TODAY()),"Wacht op klant","Afgerond"))))</f>
        <v/>
      </c>
    </row>
    <row r="521">
      <c r="A521" s="45" t="n"/>
      <c r="B521" s="46">
        <f>IF(A521="","",YEAR(A521)&amp;" Q"&amp;ROUNDUP(MONTH(A521)/3,0))</f>
        <v/>
      </c>
      <c r="C521" s="47" t="n"/>
      <c r="D521" s="47" t="n"/>
      <c r="E521" s="47" t="n"/>
      <c r="F521" s="47" t="n"/>
      <c r="G521" s="48" t="n"/>
      <c r="H521" s="49" t="n"/>
      <c r="I521" s="50">
        <f>IF(G521="","",ROUND(G521*H521,2))</f>
        <v/>
      </c>
      <c r="J521" s="50">
        <f>IF(G521="","",G521+N(I521))</f>
        <v/>
      </c>
      <c r="K521" s="45" t="n"/>
      <c r="L521" s="47" t="n"/>
      <c r="M521" s="48" t="n"/>
      <c r="N521" s="49" t="n"/>
      <c r="O521" s="50">
        <f>IF(M521="","",ROUND(M521*N521,2))</f>
        <v/>
      </c>
      <c r="P521" s="50">
        <f>IF(M521="","",M521+N(O521))</f>
        <v/>
      </c>
      <c r="Q521" s="45" t="n"/>
      <c r="R521" s="45" t="n"/>
      <c r="S521" s="51">
        <f>IF(L521="","",IF(COUNTIF(L$6:L521,L521)&gt;1,"",SUMIF(L$6:L$2000,L521,M$6:M$2000)-SUMIF(L$6:L$2000,L521,G$6:G$2000)))</f>
        <v/>
      </c>
      <c r="T521" s="46">
        <f>IF(AND(C521="",G521=""),"",IF(L521="","Nog factureren",IF(AND(G521&lt;&gt;"",OR(K521="",K521&gt;TODAY())),"Nog betalen",IF(OR(R521="",R521&gt;TODAY()),"Wacht op klant","Afgerond"))))</f>
        <v/>
      </c>
    </row>
    <row r="522">
      <c r="A522" s="45" t="n"/>
      <c r="B522" s="46">
        <f>IF(A522="","",YEAR(A522)&amp;" Q"&amp;ROUNDUP(MONTH(A522)/3,0))</f>
        <v/>
      </c>
      <c r="C522" s="47" t="n"/>
      <c r="D522" s="47" t="n"/>
      <c r="E522" s="47" t="n"/>
      <c r="F522" s="47" t="n"/>
      <c r="G522" s="48" t="n"/>
      <c r="H522" s="49" t="n"/>
      <c r="I522" s="50">
        <f>IF(G522="","",ROUND(G522*H522,2))</f>
        <v/>
      </c>
      <c r="J522" s="50">
        <f>IF(G522="","",G522+N(I522))</f>
        <v/>
      </c>
      <c r="K522" s="45" t="n"/>
      <c r="L522" s="47" t="n"/>
      <c r="M522" s="48" t="n"/>
      <c r="N522" s="49" t="n"/>
      <c r="O522" s="50">
        <f>IF(M522="","",ROUND(M522*N522,2))</f>
        <v/>
      </c>
      <c r="P522" s="50">
        <f>IF(M522="","",M522+N(O522))</f>
        <v/>
      </c>
      <c r="Q522" s="45" t="n"/>
      <c r="R522" s="45" t="n"/>
      <c r="S522" s="51">
        <f>IF(L522="","",IF(COUNTIF(L$6:L522,L522)&gt;1,"",SUMIF(L$6:L$2000,L522,M$6:M$2000)-SUMIF(L$6:L$2000,L522,G$6:G$2000)))</f>
        <v/>
      </c>
      <c r="T522" s="46">
        <f>IF(AND(C522="",G522=""),"",IF(L522="","Nog factureren",IF(AND(G522&lt;&gt;"",OR(K522="",K522&gt;TODAY())),"Nog betalen",IF(OR(R522="",R522&gt;TODAY()),"Wacht op klant","Afgerond"))))</f>
        <v/>
      </c>
    </row>
    <row r="523">
      <c r="A523" s="45" t="n"/>
      <c r="B523" s="46">
        <f>IF(A523="","",YEAR(A523)&amp;" Q"&amp;ROUNDUP(MONTH(A523)/3,0))</f>
        <v/>
      </c>
      <c r="C523" s="47" t="n"/>
      <c r="D523" s="47" t="n"/>
      <c r="E523" s="47" t="n"/>
      <c r="F523" s="47" t="n"/>
      <c r="G523" s="48" t="n"/>
      <c r="H523" s="49" t="n"/>
      <c r="I523" s="50">
        <f>IF(G523="","",ROUND(G523*H523,2))</f>
        <v/>
      </c>
      <c r="J523" s="50">
        <f>IF(G523="","",G523+N(I523))</f>
        <v/>
      </c>
      <c r="K523" s="45" t="n"/>
      <c r="L523" s="47" t="n"/>
      <c r="M523" s="48" t="n"/>
      <c r="N523" s="49" t="n"/>
      <c r="O523" s="50">
        <f>IF(M523="","",ROUND(M523*N523,2))</f>
        <v/>
      </c>
      <c r="P523" s="50">
        <f>IF(M523="","",M523+N(O523))</f>
        <v/>
      </c>
      <c r="Q523" s="45" t="n"/>
      <c r="R523" s="45" t="n"/>
      <c r="S523" s="51">
        <f>IF(L523="","",IF(COUNTIF(L$6:L523,L523)&gt;1,"",SUMIF(L$6:L$2000,L523,M$6:M$2000)-SUMIF(L$6:L$2000,L523,G$6:G$2000)))</f>
        <v/>
      </c>
      <c r="T523" s="46">
        <f>IF(AND(C523="",G523=""),"",IF(L523="","Nog factureren",IF(AND(G523&lt;&gt;"",OR(K523="",K523&gt;TODAY())),"Nog betalen",IF(OR(R523="",R523&gt;TODAY()),"Wacht op klant","Afgerond"))))</f>
        <v/>
      </c>
    </row>
    <row r="524">
      <c r="A524" s="45" t="n"/>
      <c r="B524" s="46">
        <f>IF(A524="","",YEAR(A524)&amp;" Q"&amp;ROUNDUP(MONTH(A524)/3,0))</f>
        <v/>
      </c>
      <c r="C524" s="47" t="n"/>
      <c r="D524" s="47" t="n"/>
      <c r="E524" s="47" t="n"/>
      <c r="F524" s="47" t="n"/>
      <c r="G524" s="48" t="n"/>
      <c r="H524" s="49" t="n"/>
      <c r="I524" s="50">
        <f>IF(G524="","",ROUND(G524*H524,2))</f>
        <v/>
      </c>
      <c r="J524" s="50">
        <f>IF(G524="","",G524+N(I524))</f>
        <v/>
      </c>
      <c r="K524" s="45" t="n"/>
      <c r="L524" s="47" t="n"/>
      <c r="M524" s="48" t="n"/>
      <c r="N524" s="49" t="n"/>
      <c r="O524" s="50">
        <f>IF(M524="","",ROUND(M524*N524,2))</f>
        <v/>
      </c>
      <c r="P524" s="50">
        <f>IF(M524="","",M524+N(O524))</f>
        <v/>
      </c>
      <c r="Q524" s="45" t="n"/>
      <c r="R524" s="45" t="n"/>
      <c r="S524" s="51">
        <f>IF(L524="","",IF(COUNTIF(L$6:L524,L524)&gt;1,"",SUMIF(L$6:L$2000,L524,M$6:M$2000)-SUMIF(L$6:L$2000,L524,G$6:G$2000)))</f>
        <v/>
      </c>
      <c r="T524" s="46">
        <f>IF(AND(C524="",G524=""),"",IF(L524="","Nog factureren",IF(AND(G524&lt;&gt;"",OR(K524="",K524&gt;TODAY())),"Nog betalen",IF(OR(R524="",R524&gt;TODAY()),"Wacht op klant","Afgerond"))))</f>
        <v/>
      </c>
    </row>
    <row r="525">
      <c r="A525" s="45" t="n"/>
      <c r="B525" s="46">
        <f>IF(A525="","",YEAR(A525)&amp;" Q"&amp;ROUNDUP(MONTH(A525)/3,0))</f>
        <v/>
      </c>
      <c r="C525" s="47" t="n"/>
      <c r="D525" s="47" t="n"/>
      <c r="E525" s="47" t="n"/>
      <c r="F525" s="47" t="n"/>
      <c r="G525" s="48" t="n"/>
      <c r="H525" s="49" t="n"/>
      <c r="I525" s="50">
        <f>IF(G525="","",ROUND(G525*H525,2))</f>
        <v/>
      </c>
      <c r="J525" s="50">
        <f>IF(G525="","",G525+N(I525))</f>
        <v/>
      </c>
      <c r="K525" s="45" t="n"/>
      <c r="L525" s="47" t="n"/>
      <c r="M525" s="48" t="n"/>
      <c r="N525" s="49" t="n"/>
      <c r="O525" s="50">
        <f>IF(M525="","",ROUND(M525*N525,2))</f>
        <v/>
      </c>
      <c r="P525" s="50">
        <f>IF(M525="","",M525+N(O525))</f>
        <v/>
      </c>
      <c r="Q525" s="45" t="n"/>
      <c r="R525" s="45" t="n"/>
      <c r="S525" s="51">
        <f>IF(L525="","",IF(COUNTIF(L$6:L525,L525)&gt;1,"",SUMIF(L$6:L$2000,L525,M$6:M$2000)-SUMIF(L$6:L$2000,L525,G$6:G$2000)))</f>
        <v/>
      </c>
      <c r="T525" s="46">
        <f>IF(AND(C525="",G525=""),"",IF(L525="","Nog factureren",IF(AND(G525&lt;&gt;"",OR(K525="",K525&gt;TODAY())),"Nog betalen",IF(OR(R525="",R525&gt;TODAY()),"Wacht op klant","Afgerond"))))</f>
        <v/>
      </c>
    </row>
    <row r="526">
      <c r="A526" s="45" t="n"/>
      <c r="B526" s="46">
        <f>IF(A526="","",YEAR(A526)&amp;" Q"&amp;ROUNDUP(MONTH(A526)/3,0))</f>
        <v/>
      </c>
      <c r="C526" s="47" t="n"/>
      <c r="D526" s="47" t="n"/>
      <c r="E526" s="47" t="n"/>
      <c r="F526" s="47" t="n"/>
      <c r="G526" s="48" t="n"/>
      <c r="H526" s="49" t="n"/>
      <c r="I526" s="50">
        <f>IF(G526="","",ROUND(G526*H526,2))</f>
        <v/>
      </c>
      <c r="J526" s="50">
        <f>IF(G526="","",G526+N(I526))</f>
        <v/>
      </c>
      <c r="K526" s="45" t="n"/>
      <c r="L526" s="47" t="n"/>
      <c r="M526" s="48" t="n"/>
      <c r="N526" s="49" t="n"/>
      <c r="O526" s="50">
        <f>IF(M526="","",ROUND(M526*N526,2))</f>
        <v/>
      </c>
      <c r="P526" s="50">
        <f>IF(M526="","",M526+N(O526))</f>
        <v/>
      </c>
      <c r="Q526" s="45" t="n"/>
      <c r="R526" s="45" t="n"/>
      <c r="S526" s="51">
        <f>IF(L526="","",IF(COUNTIF(L$6:L526,L526)&gt;1,"",SUMIF(L$6:L$2000,L526,M$6:M$2000)-SUMIF(L$6:L$2000,L526,G$6:G$2000)))</f>
        <v/>
      </c>
      <c r="T526" s="46">
        <f>IF(AND(C526="",G526=""),"",IF(L526="","Nog factureren",IF(AND(G526&lt;&gt;"",OR(K526="",K526&gt;TODAY())),"Nog betalen",IF(OR(R526="",R526&gt;TODAY()),"Wacht op klant","Afgerond"))))</f>
        <v/>
      </c>
    </row>
    <row r="527">
      <c r="A527" s="45" t="n"/>
      <c r="B527" s="46">
        <f>IF(A527="","",YEAR(A527)&amp;" Q"&amp;ROUNDUP(MONTH(A527)/3,0))</f>
        <v/>
      </c>
      <c r="C527" s="47" t="n"/>
      <c r="D527" s="47" t="n"/>
      <c r="E527" s="47" t="n"/>
      <c r="F527" s="47" t="n"/>
      <c r="G527" s="48" t="n"/>
      <c r="H527" s="49" t="n"/>
      <c r="I527" s="50">
        <f>IF(G527="","",ROUND(G527*H527,2))</f>
        <v/>
      </c>
      <c r="J527" s="50">
        <f>IF(G527="","",G527+N(I527))</f>
        <v/>
      </c>
      <c r="K527" s="45" t="n"/>
      <c r="L527" s="47" t="n"/>
      <c r="M527" s="48" t="n"/>
      <c r="N527" s="49" t="n"/>
      <c r="O527" s="50">
        <f>IF(M527="","",ROUND(M527*N527,2))</f>
        <v/>
      </c>
      <c r="P527" s="50">
        <f>IF(M527="","",M527+N(O527))</f>
        <v/>
      </c>
      <c r="Q527" s="45" t="n"/>
      <c r="R527" s="45" t="n"/>
      <c r="S527" s="51">
        <f>IF(L527="","",IF(COUNTIF(L$6:L527,L527)&gt;1,"",SUMIF(L$6:L$2000,L527,M$6:M$2000)-SUMIF(L$6:L$2000,L527,G$6:G$2000)))</f>
        <v/>
      </c>
      <c r="T527" s="46">
        <f>IF(AND(C527="",G527=""),"",IF(L527="","Nog factureren",IF(AND(G527&lt;&gt;"",OR(K527="",K527&gt;TODAY())),"Nog betalen",IF(OR(R527="",R527&gt;TODAY()),"Wacht op klant","Afgerond"))))</f>
        <v/>
      </c>
    </row>
    <row r="528">
      <c r="A528" s="45" t="n"/>
      <c r="B528" s="46">
        <f>IF(A528="","",YEAR(A528)&amp;" Q"&amp;ROUNDUP(MONTH(A528)/3,0))</f>
        <v/>
      </c>
      <c r="C528" s="47" t="n"/>
      <c r="D528" s="47" t="n"/>
      <c r="E528" s="47" t="n"/>
      <c r="F528" s="47" t="n"/>
      <c r="G528" s="48" t="n"/>
      <c r="H528" s="49" t="n"/>
      <c r="I528" s="50">
        <f>IF(G528="","",ROUND(G528*H528,2))</f>
        <v/>
      </c>
      <c r="J528" s="50">
        <f>IF(G528="","",G528+N(I528))</f>
        <v/>
      </c>
      <c r="K528" s="45" t="n"/>
      <c r="L528" s="47" t="n"/>
      <c r="M528" s="48" t="n"/>
      <c r="N528" s="49" t="n"/>
      <c r="O528" s="50">
        <f>IF(M528="","",ROUND(M528*N528,2))</f>
        <v/>
      </c>
      <c r="P528" s="50">
        <f>IF(M528="","",M528+N(O528))</f>
        <v/>
      </c>
      <c r="Q528" s="45" t="n"/>
      <c r="R528" s="45" t="n"/>
      <c r="S528" s="51">
        <f>IF(L528="","",IF(COUNTIF(L$6:L528,L528)&gt;1,"",SUMIF(L$6:L$2000,L528,M$6:M$2000)-SUMIF(L$6:L$2000,L528,G$6:G$2000)))</f>
        <v/>
      </c>
      <c r="T528" s="46">
        <f>IF(AND(C528="",G528=""),"",IF(L528="","Nog factureren",IF(AND(G528&lt;&gt;"",OR(K528="",K528&gt;TODAY())),"Nog betalen",IF(OR(R528="",R528&gt;TODAY()),"Wacht op klant","Afgerond"))))</f>
        <v/>
      </c>
    </row>
    <row r="529">
      <c r="A529" s="45" t="n"/>
      <c r="B529" s="46">
        <f>IF(A529="","",YEAR(A529)&amp;" Q"&amp;ROUNDUP(MONTH(A529)/3,0))</f>
        <v/>
      </c>
      <c r="C529" s="47" t="n"/>
      <c r="D529" s="47" t="n"/>
      <c r="E529" s="47" t="n"/>
      <c r="F529" s="47" t="n"/>
      <c r="G529" s="48" t="n"/>
      <c r="H529" s="49" t="n"/>
      <c r="I529" s="50">
        <f>IF(G529="","",ROUND(G529*H529,2))</f>
        <v/>
      </c>
      <c r="J529" s="50">
        <f>IF(G529="","",G529+N(I529))</f>
        <v/>
      </c>
      <c r="K529" s="45" t="n"/>
      <c r="L529" s="47" t="n"/>
      <c r="M529" s="48" t="n"/>
      <c r="N529" s="49" t="n"/>
      <c r="O529" s="50">
        <f>IF(M529="","",ROUND(M529*N529,2))</f>
        <v/>
      </c>
      <c r="P529" s="50">
        <f>IF(M529="","",M529+N(O529))</f>
        <v/>
      </c>
      <c r="Q529" s="45" t="n"/>
      <c r="R529" s="45" t="n"/>
      <c r="S529" s="51">
        <f>IF(L529="","",IF(COUNTIF(L$6:L529,L529)&gt;1,"",SUMIF(L$6:L$2000,L529,M$6:M$2000)-SUMIF(L$6:L$2000,L529,G$6:G$2000)))</f>
        <v/>
      </c>
      <c r="T529" s="46">
        <f>IF(AND(C529="",G529=""),"",IF(L529="","Nog factureren",IF(AND(G529&lt;&gt;"",OR(K529="",K529&gt;TODAY())),"Nog betalen",IF(OR(R529="",R529&gt;TODAY()),"Wacht op klant","Afgerond"))))</f>
        <v/>
      </c>
    </row>
    <row r="530">
      <c r="A530" s="45" t="n"/>
      <c r="B530" s="46">
        <f>IF(A530="","",YEAR(A530)&amp;" Q"&amp;ROUNDUP(MONTH(A530)/3,0))</f>
        <v/>
      </c>
      <c r="C530" s="47" t="n"/>
      <c r="D530" s="47" t="n"/>
      <c r="E530" s="47" t="n"/>
      <c r="F530" s="47" t="n"/>
      <c r="G530" s="48" t="n"/>
      <c r="H530" s="49" t="n"/>
      <c r="I530" s="50">
        <f>IF(G530="","",ROUND(G530*H530,2))</f>
        <v/>
      </c>
      <c r="J530" s="50">
        <f>IF(G530="","",G530+N(I530))</f>
        <v/>
      </c>
      <c r="K530" s="45" t="n"/>
      <c r="L530" s="47" t="n"/>
      <c r="M530" s="48" t="n"/>
      <c r="N530" s="49" t="n"/>
      <c r="O530" s="50">
        <f>IF(M530="","",ROUND(M530*N530,2))</f>
        <v/>
      </c>
      <c r="P530" s="50">
        <f>IF(M530="","",M530+N(O530))</f>
        <v/>
      </c>
      <c r="Q530" s="45" t="n"/>
      <c r="R530" s="45" t="n"/>
      <c r="S530" s="51">
        <f>IF(L530="","",IF(COUNTIF(L$6:L530,L530)&gt;1,"",SUMIF(L$6:L$2000,L530,M$6:M$2000)-SUMIF(L$6:L$2000,L530,G$6:G$2000)))</f>
        <v/>
      </c>
      <c r="T530" s="46">
        <f>IF(AND(C530="",G530=""),"",IF(L530="","Nog factureren",IF(AND(G530&lt;&gt;"",OR(K530="",K530&gt;TODAY())),"Nog betalen",IF(OR(R530="",R530&gt;TODAY()),"Wacht op klant","Afgerond"))))</f>
        <v/>
      </c>
    </row>
    <row r="531">
      <c r="A531" s="45" t="n"/>
      <c r="B531" s="46">
        <f>IF(A531="","",YEAR(A531)&amp;" Q"&amp;ROUNDUP(MONTH(A531)/3,0))</f>
        <v/>
      </c>
      <c r="C531" s="47" t="n"/>
      <c r="D531" s="47" t="n"/>
      <c r="E531" s="47" t="n"/>
      <c r="F531" s="47" t="n"/>
      <c r="G531" s="48" t="n"/>
      <c r="H531" s="49" t="n"/>
      <c r="I531" s="50">
        <f>IF(G531="","",ROUND(G531*H531,2))</f>
        <v/>
      </c>
      <c r="J531" s="50">
        <f>IF(G531="","",G531+N(I531))</f>
        <v/>
      </c>
      <c r="K531" s="45" t="n"/>
      <c r="L531" s="47" t="n"/>
      <c r="M531" s="48" t="n"/>
      <c r="N531" s="49" t="n"/>
      <c r="O531" s="50">
        <f>IF(M531="","",ROUND(M531*N531,2))</f>
        <v/>
      </c>
      <c r="P531" s="50">
        <f>IF(M531="","",M531+N(O531))</f>
        <v/>
      </c>
      <c r="Q531" s="45" t="n"/>
      <c r="R531" s="45" t="n"/>
      <c r="S531" s="51">
        <f>IF(L531="","",IF(COUNTIF(L$6:L531,L531)&gt;1,"",SUMIF(L$6:L$2000,L531,M$6:M$2000)-SUMIF(L$6:L$2000,L531,G$6:G$2000)))</f>
        <v/>
      </c>
      <c r="T531" s="46">
        <f>IF(AND(C531="",G531=""),"",IF(L531="","Nog factureren",IF(AND(G531&lt;&gt;"",OR(K531="",K531&gt;TODAY())),"Nog betalen",IF(OR(R531="",R531&gt;TODAY()),"Wacht op klant","Afgerond"))))</f>
        <v/>
      </c>
    </row>
    <row r="532">
      <c r="A532" s="45" t="n"/>
      <c r="B532" s="46">
        <f>IF(A532="","",YEAR(A532)&amp;" Q"&amp;ROUNDUP(MONTH(A532)/3,0))</f>
        <v/>
      </c>
      <c r="C532" s="47" t="n"/>
      <c r="D532" s="47" t="n"/>
      <c r="E532" s="47" t="n"/>
      <c r="F532" s="47" t="n"/>
      <c r="G532" s="48" t="n"/>
      <c r="H532" s="49" t="n"/>
      <c r="I532" s="50">
        <f>IF(G532="","",ROUND(G532*H532,2))</f>
        <v/>
      </c>
      <c r="J532" s="50">
        <f>IF(G532="","",G532+N(I532))</f>
        <v/>
      </c>
      <c r="K532" s="45" t="n"/>
      <c r="L532" s="47" t="n"/>
      <c r="M532" s="48" t="n"/>
      <c r="N532" s="49" t="n"/>
      <c r="O532" s="50">
        <f>IF(M532="","",ROUND(M532*N532,2))</f>
        <v/>
      </c>
      <c r="P532" s="50">
        <f>IF(M532="","",M532+N(O532))</f>
        <v/>
      </c>
      <c r="Q532" s="45" t="n"/>
      <c r="R532" s="45" t="n"/>
      <c r="S532" s="51">
        <f>IF(L532="","",IF(COUNTIF(L$6:L532,L532)&gt;1,"",SUMIF(L$6:L$2000,L532,M$6:M$2000)-SUMIF(L$6:L$2000,L532,G$6:G$2000)))</f>
        <v/>
      </c>
      <c r="T532" s="46">
        <f>IF(AND(C532="",G532=""),"",IF(L532="","Nog factureren",IF(AND(G532&lt;&gt;"",OR(K532="",K532&gt;TODAY())),"Nog betalen",IF(OR(R532="",R532&gt;TODAY()),"Wacht op klant","Afgerond"))))</f>
        <v/>
      </c>
    </row>
    <row r="533">
      <c r="A533" s="45" t="n"/>
      <c r="B533" s="46">
        <f>IF(A533="","",YEAR(A533)&amp;" Q"&amp;ROUNDUP(MONTH(A533)/3,0))</f>
        <v/>
      </c>
      <c r="C533" s="47" t="n"/>
      <c r="D533" s="47" t="n"/>
      <c r="E533" s="47" t="n"/>
      <c r="F533" s="47" t="n"/>
      <c r="G533" s="48" t="n"/>
      <c r="H533" s="49" t="n"/>
      <c r="I533" s="50">
        <f>IF(G533="","",ROUND(G533*H533,2))</f>
        <v/>
      </c>
      <c r="J533" s="50">
        <f>IF(G533="","",G533+N(I533))</f>
        <v/>
      </c>
      <c r="K533" s="45" t="n"/>
      <c r="L533" s="47" t="n"/>
      <c r="M533" s="48" t="n"/>
      <c r="N533" s="49" t="n"/>
      <c r="O533" s="50">
        <f>IF(M533="","",ROUND(M533*N533,2))</f>
        <v/>
      </c>
      <c r="P533" s="50">
        <f>IF(M533="","",M533+N(O533))</f>
        <v/>
      </c>
      <c r="Q533" s="45" t="n"/>
      <c r="R533" s="45" t="n"/>
      <c r="S533" s="51">
        <f>IF(L533="","",IF(COUNTIF(L$6:L533,L533)&gt;1,"",SUMIF(L$6:L$2000,L533,M$6:M$2000)-SUMIF(L$6:L$2000,L533,G$6:G$2000)))</f>
        <v/>
      </c>
      <c r="T533" s="46">
        <f>IF(AND(C533="",G533=""),"",IF(L533="","Nog factureren",IF(AND(G533&lt;&gt;"",OR(K533="",K533&gt;TODAY())),"Nog betalen",IF(OR(R533="",R533&gt;TODAY()),"Wacht op klant","Afgerond"))))</f>
        <v/>
      </c>
    </row>
    <row r="534">
      <c r="A534" s="45" t="n"/>
      <c r="B534" s="46">
        <f>IF(A534="","",YEAR(A534)&amp;" Q"&amp;ROUNDUP(MONTH(A534)/3,0))</f>
        <v/>
      </c>
      <c r="C534" s="47" t="n"/>
      <c r="D534" s="47" t="n"/>
      <c r="E534" s="47" t="n"/>
      <c r="F534" s="47" t="n"/>
      <c r="G534" s="48" t="n"/>
      <c r="H534" s="49" t="n"/>
      <c r="I534" s="50">
        <f>IF(G534="","",ROUND(G534*H534,2))</f>
        <v/>
      </c>
      <c r="J534" s="50">
        <f>IF(G534="","",G534+N(I534))</f>
        <v/>
      </c>
      <c r="K534" s="45" t="n"/>
      <c r="L534" s="47" t="n"/>
      <c r="M534" s="48" t="n"/>
      <c r="N534" s="49" t="n"/>
      <c r="O534" s="50">
        <f>IF(M534="","",ROUND(M534*N534,2))</f>
        <v/>
      </c>
      <c r="P534" s="50">
        <f>IF(M534="","",M534+N(O534))</f>
        <v/>
      </c>
      <c r="Q534" s="45" t="n"/>
      <c r="R534" s="45" t="n"/>
      <c r="S534" s="51">
        <f>IF(L534="","",IF(COUNTIF(L$6:L534,L534)&gt;1,"",SUMIF(L$6:L$2000,L534,M$6:M$2000)-SUMIF(L$6:L$2000,L534,G$6:G$2000)))</f>
        <v/>
      </c>
      <c r="T534" s="46">
        <f>IF(AND(C534="",G534=""),"",IF(L534="","Nog factureren",IF(AND(G534&lt;&gt;"",OR(K534="",K534&gt;TODAY())),"Nog betalen",IF(OR(R534="",R534&gt;TODAY()),"Wacht op klant","Afgerond"))))</f>
        <v/>
      </c>
    </row>
    <row r="535">
      <c r="A535" s="45" t="n"/>
      <c r="B535" s="46">
        <f>IF(A535="","",YEAR(A535)&amp;" Q"&amp;ROUNDUP(MONTH(A535)/3,0))</f>
        <v/>
      </c>
      <c r="C535" s="47" t="n"/>
      <c r="D535" s="47" t="n"/>
      <c r="E535" s="47" t="n"/>
      <c r="F535" s="47" t="n"/>
      <c r="G535" s="48" t="n"/>
      <c r="H535" s="49" t="n"/>
      <c r="I535" s="50">
        <f>IF(G535="","",ROUND(G535*H535,2))</f>
        <v/>
      </c>
      <c r="J535" s="50">
        <f>IF(G535="","",G535+N(I535))</f>
        <v/>
      </c>
      <c r="K535" s="45" t="n"/>
      <c r="L535" s="47" t="n"/>
      <c r="M535" s="48" t="n"/>
      <c r="N535" s="49" t="n"/>
      <c r="O535" s="50">
        <f>IF(M535="","",ROUND(M535*N535,2))</f>
        <v/>
      </c>
      <c r="P535" s="50">
        <f>IF(M535="","",M535+N(O535))</f>
        <v/>
      </c>
      <c r="Q535" s="45" t="n"/>
      <c r="R535" s="45" t="n"/>
      <c r="S535" s="51">
        <f>IF(L535="","",IF(COUNTIF(L$6:L535,L535)&gt;1,"",SUMIF(L$6:L$2000,L535,M$6:M$2000)-SUMIF(L$6:L$2000,L535,G$6:G$2000)))</f>
        <v/>
      </c>
      <c r="T535" s="46">
        <f>IF(AND(C535="",G535=""),"",IF(L535="","Nog factureren",IF(AND(G535&lt;&gt;"",OR(K535="",K535&gt;TODAY())),"Nog betalen",IF(OR(R535="",R535&gt;TODAY()),"Wacht op klant","Afgerond"))))</f>
        <v/>
      </c>
    </row>
    <row r="536">
      <c r="A536" s="45" t="n"/>
      <c r="B536" s="46">
        <f>IF(A536="","",YEAR(A536)&amp;" Q"&amp;ROUNDUP(MONTH(A536)/3,0))</f>
        <v/>
      </c>
      <c r="C536" s="47" t="n"/>
      <c r="D536" s="47" t="n"/>
      <c r="E536" s="47" t="n"/>
      <c r="F536" s="47" t="n"/>
      <c r="G536" s="48" t="n"/>
      <c r="H536" s="49" t="n"/>
      <c r="I536" s="50">
        <f>IF(G536="","",ROUND(G536*H536,2))</f>
        <v/>
      </c>
      <c r="J536" s="50">
        <f>IF(G536="","",G536+N(I536))</f>
        <v/>
      </c>
      <c r="K536" s="45" t="n"/>
      <c r="L536" s="47" t="n"/>
      <c r="M536" s="48" t="n"/>
      <c r="N536" s="49" t="n"/>
      <c r="O536" s="50">
        <f>IF(M536="","",ROUND(M536*N536,2))</f>
        <v/>
      </c>
      <c r="P536" s="50">
        <f>IF(M536="","",M536+N(O536))</f>
        <v/>
      </c>
      <c r="Q536" s="45" t="n"/>
      <c r="R536" s="45" t="n"/>
      <c r="S536" s="51">
        <f>IF(L536="","",IF(COUNTIF(L$6:L536,L536)&gt;1,"",SUMIF(L$6:L$2000,L536,M$6:M$2000)-SUMIF(L$6:L$2000,L536,G$6:G$2000)))</f>
        <v/>
      </c>
      <c r="T536" s="46">
        <f>IF(AND(C536="",G536=""),"",IF(L536="","Nog factureren",IF(AND(G536&lt;&gt;"",OR(K536="",K536&gt;TODAY())),"Nog betalen",IF(OR(R536="",R536&gt;TODAY()),"Wacht op klant","Afgerond"))))</f>
        <v/>
      </c>
    </row>
    <row r="537">
      <c r="A537" s="45" t="n"/>
      <c r="B537" s="46">
        <f>IF(A537="","",YEAR(A537)&amp;" Q"&amp;ROUNDUP(MONTH(A537)/3,0))</f>
        <v/>
      </c>
      <c r="C537" s="47" t="n"/>
      <c r="D537" s="47" t="n"/>
      <c r="E537" s="47" t="n"/>
      <c r="F537" s="47" t="n"/>
      <c r="G537" s="48" t="n"/>
      <c r="H537" s="49" t="n"/>
      <c r="I537" s="50">
        <f>IF(G537="","",ROUND(G537*H537,2))</f>
        <v/>
      </c>
      <c r="J537" s="50">
        <f>IF(G537="","",G537+N(I537))</f>
        <v/>
      </c>
      <c r="K537" s="45" t="n"/>
      <c r="L537" s="47" t="n"/>
      <c r="M537" s="48" t="n"/>
      <c r="N537" s="49" t="n"/>
      <c r="O537" s="50">
        <f>IF(M537="","",ROUND(M537*N537,2))</f>
        <v/>
      </c>
      <c r="P537" s="50">
        <f>IF(M537="","",M537+N(O537))</f>
        <v/>
      </c>
      <c r="Q537" s="45" t="n"/>
      <c r="R537" s="45" t="n"/>
      <c r="S537" s="51">
        <f>IF(L537="","",IF(COUNTIF(L$6:L537,L537)&gt;1,"",SUMIF(L$6:L$2000,L537,M$6:M$2000)-SUMIF(L$6:L$2000,L537,G$6:G$2000)))</f>
        <v/>
      </c>
      <c r="T537" s="46">
        <f>IF(AND(C537="",G537=""),"",IF(L537="","Nog factureren",IF(AND(G537&lt;&gt;"",OR(K537="",K537&gt;TODAY())),"Nog betalen",IF(OR(R537="",R537&gt;TODAY()),"Wacht op klant","Afgerond"))))</f>
        <v/>
      </c>
    </row>
    <row r="538">
      <c r="A538" s="45" t="n"/>
      <c r="B538" s="46">
        <f>IF(A538="","",YEAR(A538)&amp;" Q"&amp;ROUNDUP(MONTH(A538)/3,0))</f>
        <v/>
      </c>
      <c r="C538" s="47" t="n"/>
      <c r="D538" s="47" t="n"/>
      <c r="E538" s="47" t="n"/>
      <c r="F538" s="47" t="n"/>
      <c r="G538" s="48" t="n"/>
      <c r="H538" s="49" t="n"/>
      <c r="I538" s="50">
        <f>IF(G538="","",ROUND(G538*H538,2))</f>
        <v/>
      </c>
      <c r="J538" s="50">
        <f>IF(G538="","",G538+N(I538))</f>
        <v/>
      </c>
      <c r="K538" s="45" t="n"/>
      <c r="L538" s="47" t="n"/>
      <c r="M538" s="48" t="n"/>
      <c r="N538" s="49" t="n"/>
      <c r="O538" s="50">
        <f>IF(M538="","",ROUND(M538*N538,2))</f>
        <v/>
      </c>
      <c r="P538" s="50">
        <f>IF(M538="","",M538+N(O538))</f>
        <v/>
      </c>
      <c r="Q538" s="45" t="n"/>
      <c r="R538" s="45" t="n"/>
      <c r="S538" s="51">
        <f>IF(L538="","",IF(COUNTIF(L$6:L538,L538)&gt;1,"",SUMIF(L$6:L$2000,L538,M$6:M$2000)-SUMIF(L$6:L$2000,L538,G$6:G$2000)))</f>
        <v/>
      </c>
      <c r="T538" s="46">
        <f>IF(AND(C538="",G538=""),"",IF(L538="","Nog factureren",IF(AND(G538&lt;&gt;"",OR(K538="",K538&gt;TODAY())),"Nog betalen",IF(OR(R538="",R538&gt;TODAY()),"Wacht op klant","Afgerond"))))</f>
        <v/>
      </c>
    </row>
    <row r="539">
      <c r="A539" s="45" t="n"/>
      <c r="B539" s="46">
        <f>IF(A539="","",YEAR(A539)&amp;" Q"&amp;ROUNDUP(MONTH(A539)/3,0))</f>
        <v/>
      </c>
      <c r="C539" s="47" t="n"/>
      <c r="D539" s="47" t="n"/>
      <c r="E539" s="47" t="n"/>
      <c r="F539" s="47" t="n"/>
      <c r="G539" s="48" t="n"/>
      <c r="H539" s="49" t="n"/>
      <c r="I539" s="50">
        <f>IF(G539="","",ROUND(G539*H539,2))</f>
        <v/>
      </c>
      <c r="J539" s="50">
        <f>IF(G539="","",G539+N(I539))</f>
        <v/>
      </c>
      <c r="K539" s="45" t="n"/>
      <c r="L539" s="47" t="n"/>
      <c r="M539" s="48" t="n"/>
      <c r="N539" s="49" t="n"/>
      <c r="O539" s="50">
        <f>IF(M539="","",ROUND(M539*N539,2))</f>
        <v/>
      </c>
      <c r="P539" s="50">
        <f>IF(M539="","",M539+N(O539))</f>
        <v/>
      </c>
      <c r="Q539" s="45" t="n"/>
      <c r="R539" s="45" t="n"/>
      <c r="S539" s="51">
        <f>IF(L539="","",IF(COUNTIF(L$6:L539,L539)&gt;1,"",SUMIF(L$6:L$2000,L539,M$6:M$2000)-SUMIF(L$6:L$2000,L539,G$6:G$2000)))</f>
        <v/>
      </c>
      <c r="T539" s="46">
        <f>IF(AND(C539="",G539=""),"",IF(L539="","Nog factureren",IF(AND(G539&lt;&gt;"",OR(K539="",K539&gt;TODAY())),"Nog betalen",IF(OR(R539="",R539&gt;TODAY()),"Wacht op klant","Afgerond"))))</f>
        <v/>
      </c>
    </row>
    <row r="540">
      <c r="A540" s="45" t="n"/>
      <c r="B540" s="46">
        <f>IF(A540="","",YEAR(A540)&amp;" Q"&amp;ROUNDUP(MONTH(A540)/3,0))</f>
        <v/>
      </c>
      <c r="C540" s="47" t="n"/>
      <c r="D540" s="47" t="n"/>
      <c r="E540" s="47" t="n"/>
      <c r="F540" s="47" t="n"/>
      <c r="G540" s="48" t="n"/>
      <c r="H540" s="49" t="n"/>
      <c r="I540" s="50">
        <f>IF(G540="","",ROUND(G540*H540,2))</f>
        <v/>
      </c>
      <c r="J540" s="50">
        <f>IF(G540="","",G540+N(I540))</f>
        <v/>
      </c>
      <c r="K540" s="45" t="n"/>
      <c r="L540" s="47" t="n"/>
      <c r="M540" s="48" t="n"/>
      <c r="N540" s="49" t="n"/>
      <c r="O540" s="50">
        <f>IF(M540="","",ROUND(M540*N540,2))</f>
        <v/>
      </c>
      <c r="P540" s="50">
        <f>IF(M540="","",M540+N(O540))</f>
        <v/>
      </c>
      <c r="Q540" s="45" t="n"/>
      <c r="R540" s="45" t="n"/>
      <c r="S540" s="51">
        <f>IF(L540="","",IF(COUNTIF(L$6:L540,L540)&gt;1,"",SUMIF(L$6:L$2000,L540,M$6:M$2000)-SUMIF(L$6:L$2000,L540,G$6:G$2000)))</f>
        <v/>
      </c>
      <c r="T540" s="46">
        <f>IF(AND(C540="",G540=""),"",IF(L540="","Nog factureren",IF(AND(G540&lt;&gt;"",OR(K540="",K540&gt;TODAY())),"Nog betalen",IF(OR(R540="",R540&gt;TODAY()),"Wacht op klant","Afgerond"))))</f>
        <v/>
      </c>
    </row>
    <row r="541">
      <c r="A541" s="45" t="n"/>
      <c r="B541" s="46">
        <f>IF(A541="","",YEAR(A541)&amp;" Q"&amp;ROUNDUP(MONTH(A541)/3,0))</f>
        <v/>
      </c>
      <c r="C541" s="47" t="n"/>
      <c r="D541" s="47" t="n"/>
      <c r="E541" s="47" t="n"/>
      <c r="F541" s="47" t="n"/>
      <c r="G541" s="48" t="n"/>
      <c r="H541" s="49" t="n"/>
      <c r="I541" s="50">
        <f>IF(G541="","",ROUND(G541*H541,2))</f>
        <v/>
      </c>
      <c r="J541" s="50">
        <f>IF(G541="","",G541+N(I541))</f>
        <v/>
      </c>
      <c r="K541" s="45" t="n"/>
      <c r="L541" s="47" t="n"/>
      <c r="M541" s="48" t="n"/>
      <c r="N541" s="49" t="n"/>
      <c r="O541" s="50">
        <f>IF(M541="","",ROUND(M541*N541,2))</f>
        <v/>
      </c>
      <c r="P541" s="50">
        <f>IF(M541="","",M541+N(O541))</f>
        <v/>
      </c>
      <c r="Q541" s="45" t="n"/>
      <c r="R541" s="45" t="n"/>
      <c r="S541" s="51">
        <f>IF(L541="","",IF(COUNTIF(L$6:L541,L541)&gt;1,"",SUMIF(L$6:L$2000,L541,M$6:M$2000)-SUMIF(L$6:L$2000,L541,G$6:G$2000)))</f>
        <v/>
      </c>
      <c r="T541" s="46">
        <f>IF(AND(C541="",G541=""),"",IF(L541="","Nog factureren",IF(AND(G541&lt;&gt;"",OR(K541="",K541&gt;TODAY())),"Nog betalen",IF(OR(R541="",R541&gt;TODAY()),"Wacht op klant","Afgerond"))))</f>
        <v/>
      </c>
    </row>
    <row r="542">
      <c r="A542" s="45" t="n"/>
      <c r="B542" s="46">
        <f>IF(A542="","",YEAR(A542)&amp;" Q"&amp;ROUNDUP(MONTH(A542)/3,0))</f>
        <v/>
      </c>
      <c r="C542" s="47" t="n"/>
      <c r="D542" s="47" t="n"/>
      <c r="E542" s="47" t="n"/>
      <c r="F542" s="47" t="n"/>
      <c r="G542" s="48" t="n"/>
      <c r="H542" s="49" t="n"/>
      <c r="I542" s="50">
        <f>IF(G542="","",ROUND(G542*H542,2))</f>
        <v/>
      </c>
      <c r="J542" s="50">
        <f>IF(G542="","",G542+N(I542))</f>
        <v/>
      </c>
      <c r="K542" s="45" t="n"/>
      <c r="L542" s="47" t="n"/>
      <c r="M542" s="48" t="n"/>
      <c r="N542" s="49" t="n"/>
      <c r="O542" s="50">
        <f>IF(M542="","",ROUND(M542*N542,2))</f>
        <v/>
      </c>
      <c r="P542" s="50">
        <f>IF(M542="","",M542+N(O542))</f>
        <v/>
      </c>
      <c r="Q542" s="45" t="n"/>
      <c r="R542" s="45" t="n"/>
      <c r="S542" s="51">
        <f>IF(L542="","",IF(COUNTIF(L$6:L542,L542)&gt;1,"",SUMIF(L$6:L$2000,L542,M$6:M$2000)-SUMIF(L$6:L$2000,L542,G$6:G$2000)))</f>
        <v/>
      </c>
      <c r="T542" s="46">
        <f>IF(AND(C542="",G542=""),"",IF(L542="","Nog factureren",IF(AND(G542&lt;&gt;"",OR(K542="",K542&gt;TODAY())),"Nog betalen",IF(OR(R542="",R542&gt;TODAY()),"Wacht op klant","Afgerond"))))</f>
        <v/>
      </c>
    </row>
    <row r="543">
      <c r="A543" s="45" t="n"/>
      <c r="B543" s="46">
        <f>IF(A543="","",YEAR(A543)&amp;" Q"&amp;ROUNDUP(MONTH(A543)/3,0))</f>
        <v/>
      </c>
      <c r="C543" s="47" t="n"/>
      <c r="D543" s="47" t="n"/>
      <c r="E543" s="47" t="n"/>
      <c r="F543" s="47" t="n"/>
      <c r="G543" s="48" t="n"/>
      <c r="H543" s="49" t="n"/>
      <c r="I543" s="50">
        <f>IF(G543="","",ROUND(G543*H543,2))</f>
        <v/>
      </c>
      <c r="J543" s="50">
        <f>IF(G543="","",G543+N(I543))</f>
        <v/>
      </c>
      <c r="K543" s="45" t="n"/>
      <c r="L543" s="47" t="n"/>
      <c r="M543" s="48" t="n"/>
      <c r="N543" s="49" t="n"/>
      <c r="O543" s="50">
        <f>IF(M543="","",ROUND(M543*N543,2))</f>
        <v/>
      </c>
      <c r="P543" s="50">
        <f>IF(M543="","",M543+N(O543))</f>
        <v/>
      </c>
      <c r="Q543" s="45" t="n"/>
      <c r="R543" s="45" t="n"/>
      <c r="S543" s="51">
        <f>IF(L543="","",IF(COUNTIF(L$6:L543,L543)&gt;1,"",SUMIF(L$6:L$2000,L543,M$6:M$2000)-SUMIF(L$6:L$2000,L543,G$6:G$2000)))</f>
        <v/>
      </c>
      <c r="T543" s="46">
        <f>IF(AND(C543="",G543=""),"",IF(L543="","Nog factureren",IF(AND(G543&lt;&gt;"",OR(K543="",K543&gt;TODAY())),"Nog betalen",IF(OR(R543="",R543&gt;TODAY()),"Wacht op klant","Afgerond"))))</f>
        <v/>
      </c>
    </row>
    <row r="544">
      <c r="A544" s="45" t="n"/>
      <c r="B544" s="46">
        <f>IF(A544="","",YEAR(A544)&amp;" Q"&amp;ROUNDUP(MONTH(A544)/3,0))</f>
        <v/>
      </c>
      <c r="C544" s="47" t="n"/>
      <c r="D544" s="47" t="n"/>
      <c r="E544" s="47" t="n"/>
      <c r="F544" s="47" t="n"/>
      <c r="G544" s="48" t="n"/>
      <c r="H544" s="49" t="n"/>
      <c r="I544" s="50">
        <f>IF(G544="","",ROUND(G544*H544,2))</f>
        <v/>
      </c>
      <c r="J544" s="50">
        <f>IF(G544="","",G544+N(I544))</f>
        <v/>
      </c>
      <c r="K544" s="45" t="n"/>
      <c r="L544" s="47" t="n"/>
      <c r="M544" s="48" t="n"/>
      <c r="N544" s="49" t="n"/>
      <c r="O544" s="50">
        <f>IF(M544="","",ROUND(M544*N544,2))</f>
        <v/>
      </c>
      <c r="P544" s="50">
        <f>IF(M544="","",M544+N(O544))</f>
        <v/>
      </c>
      <c r="Q544" s="45" t="n"/>
      <c r="R544" s="45" t="n"/>
      <c r="S544" s="51">
        <f>IF(L544="","",IF(COUNTIF(L$6:L544,L544)&gt;1,"",SUMIF(L$6:L$2000,L544,M$6:M$2000)-SUMIF(L$6:L$2000,L544,G$6:G$2000)))</f>
        <v/>
      </c>
      <c r="T544" s="46">
        <f>IF(AND(C544="",G544=""),"",IF(L544="","Nog factureren",IF(AND(G544&lt;&gt;"",OR(K544="",K544&gt;TODAY())),"Nog betalen",IF(OR(R544="",R544&gt;TODAY()),"Wacht op klant","Afgerond"))))</f>
        <v/>
      </c>
    </row>
    <row r="545">
      <c r="A545" s="45" t="n"/>
      <c r="B545" s="46">
        <f>IF(A545="","",YEAR(A545)&amp;" Q"&amp;ROUNDUP(MONTH(A545)/3,0))</f>
        <v/>
      </c>
      <c r="C545" s="47" t="n"/>
      <c r="D545" s="47" t="n"/>
      <c r="E545" s="47" t="n"/>
      <c r="F545" s="47" t="n"/>
      <c r="G545" s="48" t="n"/>
      <c r="H545" s="49" t="n"/>
      <c r="I545" s="50">
        <f>IF(G545="","",ROUND(G545*H545,2))</f>
        <v/>
      </c>
      <c r="J545" s="50">
        <f>IF(G545="","",G545+N(I545))</f>
        <v/>
      </c>
      <c r="K545" s="45" t="n"/>
      <c r="L545" s="47" t="n"/>
      <c r="M545" s="48" t="n"/>
      <c r="N545" s="49" t="n"/>
      <c r="O545" s="50">
        <f>IF(M545="","",ROUND(M545*N545,2))</f>
        <v/>
      </c>
      <c r="P545" s="50">
        <f>IF(M545="","",M545+N(O545))</f>
        <v/>
      </c>
      <c r="Q545" s="45" t="n"/>
      <c r="R545" s="45" t="n"/>
      <c r="S545" s="51">
        <f>IF(L545="","",IF(COUNTIF(L$6:L545,L545)&gt;1,"",SUMIF(L$6:L$2000,L545,M$6:M$2000)-SUMIF(L$6:L$2000,L545,G$6:G$2000)))</f>
        <v/>
      </c>
      <c r="T545" s="46">
        <f>IF(AND(C545="",G545=""),"",IF(L545="","Nog factureren",IF(AND(G545&lt;&gt;"",OR(K545="",K545&gt;TODAY())),"Nog betalen",IF(OR(R545="",R545&gt;TODAY()),"Wacht op klant","Afgerond"))))</f>
        <v/>
      </c>
    </row>
    <row r="546">
      <c r="A546" s="45" t="n"/>
      <c r="B546" s="46">
        <f>IF(A546="","",YEAR(A546)&amp;" Q"&amp;ROUNDUP(MONTH(A546)/3,0))</f>
        <v/>
      </c>
      <c r="C546" s="47" t="n"/>
      <c r="D546" s="47" t="n"/>
      <c r="E546" s="47" t="n"/>
      <c r="F546" s="47" t="n"/>
      <c r="G546" s="48" t="n"/>
      <c r="H546" s="49" t="n"/>
      <c r="I546" s="50">
        <f>IF(G546="","",ROUND(G546*H546,2))</f>
        <v/>
      </c>
      <c r="J546" s="50">
        <f>IF(G546="","",G546+N(I546))</f>
        <v/>
      </c>
      <c r="K546" s="45" t="n"/>
      <c r="L546" s="47" t="n"/>
      <c r="M546" s="48" t="n"/>
      <c r="N546" s="49" t="n"/>
      <c r="O546" s="50">
        <f>IF(M546="","",ROUND(M546*N546,2))</f>
        <v/>
      </c>
      <c r="P546" s="50">
        <f>IF(M546="","",M546+N(O546))</f>
        <v/>
      </c>
      <c r="Q546" s="45" t="n"/>
      <c r="R546" s="45" t="n"/>
      <c r="S546" s="51">
        <f>IF(L546="","",IF(COUNTIF(L$6:L546,L546)&gt;1,"",SUMIF(L$6:L$2000,L546,M$6:M$2000)-SUMIF(L$6:L$2000,L546,G$6:G$2000)))</f>
        <v/>
      </c>
      <c r="T546" s="46">
        <f>IF(AND(C546="",G546=""),"",IF(L546="","Nog factureren",IF(AND(G546&lt;&gt;"",OR(K546="",K546&gt;TODAY())),"Nog betalen",IF(OR(R546="",R546&gt;TODAY()),"Wacht op klant","Afgerond"))))</f>
        <v/>
      </c>
    </row>
    <row r="547">
      <c r="A547" s="45" t="n"/>
      <c r="B547" s="46">
        <f>IF(A547="","",YEAR(A547)&amp;" Q"&amp;ROUNDUP(MONTH(A547)/3,0))</f>
        <v/>
      </c>
      <c r="C547" s="47" t="n"/>
      <c r="D547" s="47" t="n"/>
      <c r="E547" s="47" t="n"/>
      <c r="F547" s="47" t="n"/>
      <c r="G547" s="48" t="n"/>
      <c r="H547" s="49" t="n"/>
      <c r="I547" s="50">
        <f>IF(G547="","",ROUND(G547*H547,2))</f>
        <v/>
      </c>
      <c r="J547" s="50">
        <f>IF(G547="","",G547+N(I547))</f>
        <v/>
      </c>
      <c r="K547" s="45" t="n"/>
      <c r="L547" s="47" t="n"/>
      <c r="M547" s="48" t="n"/>
      <c r="N547" s="49" t="n"/>
      <c r="O547" s="50">
        <f>IF(M547="","",ROUND(M547*N547,2))</f>
        <v/>
      </c>
      <c r="P547" s="50">
        <f>IF(M547="","",M547+N(O547))</f>
        <v/>
      </c>
      <c r="Q547" s="45" t="n"/>
      <c r="R547" s="45" t="n"/>
      <c r="S547" s="51">
        <f>IF(L547="","",IF(COUNTIF(L$6:L547,L547)&gt;1,"",SUMIF(L$6:L$2000,L547,M$6:M$2000)-SUMIF(L$6:L$2000,L547,G$6:G$2000)))</f>
        <v/>
      </c>
      <c r="T547" s="46">
        <f>IF(AND(C547="",G547=""),"",IF(L547="","Nog factureren",IF(AND(G547&lt;&gt;"",OR(K547="",K547&gt;TODAY())),"Nog betalen",IF(OR(R547="",R547&gt;TODAY()),"Wacht op klant","Afgerond"))))</f>
        <v/>
      </c>
    </row>
    <row r="548">
      <c r="A548" s="45" t="n"/>
      <c r="B548" s="46">
        <f>IF(A548="","",YEAR(A548)&amp;" Q"&amp;ROUNDUP(MONTH(A548)/3,0))</f>
        <v/>
      </c>
      <c r="C548" s="47" t="n"/>
      <c r="D548" s="47" t="n"/>
      <c r="E548" s="47" t="n"/>
      <c r="F548" s="47" t="n"/>
      <c r="G548" s="48" t="n"/>
      <c r="H548" s="49" t="n"/>
      <c r="I548" s="50">
        <f>IF(G548="","",ROUND(G548*H548,2))</f>
        <v/>
      </c>
      <c r="J548" s="50">
        <f>IF(G548="","",G548+N(I548))</f>
        <v/>
      </c>
      <c r="K548" s="45" t="n"/>
      <c r="L548" s="47" t="n"/>
      <c r="M548" s="48" t="n"/>
      <c r="N548" s="49" t="n"/>
      <c r="O548" s="50">
        <f>IF(M548="","",ROUND(M548*N548,2))</f>
        <v/>
      </c>
      <c r="P548" s="50">
        <f>IF(M548="","",M548+N(O548))</f>
        <v/>
      </c>
      <c r="Q548" s="45" t="n"/>
      <c r="R548" s="45" t="n"/>
      <c r="S548" s="51">
        <f>IF(L548="","",IF(COUNTIF(L$6:L548,L548)&gt;1,"",SUMIF(L$6:L$2000,L548,M$6:M$2000)-SUMIF(L$6:L$2000,L548,G$6:G$2000)))</f>
        <v/>
      </c>
      <c r="T548" s="46">
        <f>IF(AND(C548="",G548=""),"",IF(L548="","Nog factureren",IF(AND(G548&lt;&gt;"",OR(K548="",K548&gt;TODAY())),"Nog betalen",IF(OR(R548="",R548&gt;TODAY()),"Wacht op klant","Afgerond"))))</f>
        <v/>
      </c>
    </row>
    <row r="549">
      <c r="A549" s="45" t="n"/>
      <c r="B549" s="46">
        <f>IF(A549="","",YEAR(A549)&amp;" Q"&amp;ROUNDUP(MONTH(A549)/3,0))</f>
        <v/>
      </c>
      <c r="C549" s="47" t="n"/>
      <c r="D549" s="47" t="n"/>
      <c r="E549" s="47" t="n"/>
      <c r="F549" s="47" t="n"/>
      <c r="G549" s="48" t="n"/>
      <c r="H549" s="49" t="n"/>
      <c r="I549" s="50">
        <f>IF(G549="","",ROUND(G549*H549,2))</f>
        <v/>
      </c>
      <c r="J549" s="50">
        <f>IF(G549="","",G549+N(I549))</f>
        <v/>
      </c>
      <c r="K549" s="45" t="n"/>
      <c r="L549" s="47" t="n"/>
      <c r="M549" s="48" t="n"/>
      <c r="N549" s="49" t="n"/>
      <c r="O549" s="50">
        <f>IF(M549="","",ROUND(M549*N549,2))</f>
        <v/>
      </c>
      <c r="P549" s="50">
        <f>IF(M549="","",M549+N(O549))</f>
        <v/>
      </c>
      <c r="Q549" s="45" t="n"/>
      <c r="R549" s="45" t="n"/>
      <c r="S549" s="51">
        <f>IF(L549="","",IF(COUNTIF(L$6:L549,L549)&gt;1,"",SUMIF(L$6:L$2000,L549,M$6:M$2000)-SUMIF(L$6:L$2000,L549,G$6:G$2000)))</f>
        <v/>
      </c>
      <c r="T549" s="46">
        <f>IF(AND(C549="",G549=""),"",IF(L549="","Nog factureren",IF(AND(G549&lt;&gt;"",OR(K549="",K549&gt;TODAY())),"Nog betalen",IF(OR(R549="",R549&gt;TODAY()),"Wacht op klant","Afgerond"))))</f>
        <v/>
      </c>
    </row>
    <row r="550">
      <c r="A550" s="45" t="n"/>
      <c r="B550" s="46">
        <f>IF(A550="","",YEAR(A550)&amp;" Q"&amp;ROUNDUP(MONTH(A550)/3,0))</f>
        <v/>
      </c>
      <c r="C550" s="47" t="n"/>
      <c r="D550" s="47" t="n"/>
      <c r="E550" s="47" t="n"/>
      <c r="F550" s="47" t="n"/>
      <c r="G550" s="48" t="n"/>
      <c r="H550" s="49" t="n"/>
      <c r="I550" s="50">
        <f>IF(G550="","",ROUND(G550*H550,2))</f>
        <v/>
      </c>
      <c r="J550" s="50">
        <f>IF(G550="","",G550+N(I550))</f>
        <v/>
      </c>
      <c r="K550" s="45" t="n"/>
      <c r="L550" s="47" t="n"/>
      <c r="M550" s="48" t="n"/>
      <c r="N550" s="49" t="n"/>
      <c r="O550" s="50">
        <f>IF(M550="","",ROUND(M550*N550,2))</f>
        <v/>
      </c>
      <c r="P550" s="50">
        <f>IF(M550="","",M550+N(O550))</f>
        <v/>
      </c>
      <c r="Q550" s="45" t="n"/>
      <c r="R550" s="45" t="n"/>
      <c r="S550" s="51">
        <f>IF(L550="","",IF(COUNTIF(L$6:L550,L550)&gt;1,"",SUMIF(L$6:L$2000,L550,M$6:M$2000)-SUMIF(L$6:L$2000,L550,G$6:G$2000)))</f>
        <v/>
      </c>
      <c r="T550" s="46">
        <f>IF(AND(C550="",G550=""),"",IF(L550="","Nog factureren",IF(AND(G550&lt;&gt;"",OR(K550="",K550&gt;TODAY())),"Nog betalen",IF(OR(R550="",R550&gt;TODAY()),"Wacht op klant","Afgerond"))))</f>
        <v/>
      </c>
    </row>
    <row r="551">
      <c r="A551" s="45" t="n"/>
      <c r="B551" s="46">
        <f>IF(A551="","",YEAR(A551)&amp;" Q"&amp;ROUNDUP(MONTH(A551)/3,0))</f>
        <v/>
      </c>
      <c r="C551" s="47" t="n"/>
      <c r="D551" s="47" t="n"/>
      <c r="E551" s="47" t="n"/>
      <c r="F551" s="47" t="n"/>
      <c r="G551" s="48" t="n"/>
      <c r="H551" s="49" t="n"/>
      <c r="I551" s="50">
        <f>IF(G551="","",ROUND(G551*H551,2))</f>
        <v/>
      </c>
      <c r="J551" s="50">
        <f>IF(G551="","",G551+N(I551))</f>
        <v/>
      </c>
      <c r="K551" s="45" t="n"/>
      <c r="L551" s="47" t="n"/>
      <c r="M551" s="48" t="n"/>
      <c r="N551" s="49" t="n"/>
      <c r="O551" s="50">
        <f>IF(M551="","",ROUND(M551*N551,2))</f>
        <v/>
      </c>
      <c r="P551" s="50">
        <f>IF(M551="","",M551+N(O551))</f>
        <v/>
      </c>
      <c r="Q551" s="45" t="n"/>
      <c r="R551" s="45" t="n"/>
      <c r="S551" s="51">
        <f>IF(L551="","",IF(COUNTIF(L$6:L551,L551)&gt;1,"",SUMIF(L$6:L$2000,L551,M$6:M$2000)-SUMIF(L$6:L$2000,L551,G$6:G$2000)))</f>
        <v/>
      </c>
      <c r="T551" s="46">
        <f>IF(AND(C551="",G551=""),"",IF(L551="","Nog factureren",IF(AND(G551&lt;&gt;"",OR(K551="",K551&gt;TODAY())),"Nog betalen",IF(OR(R551="",R551&gt;TODAY()),"Wacht op klant","Afgerond"))))</f>
        <v/>
      </c>
    </row>
    <row r="552">
      <c r="A552" s="45" t="n"/>
      <c r="B552" s="46">
        <f>IF(A552="","",YEAR(A552)&amp;" Q"&amp;ROUNDUP(MONTH(A552)/3,0))</f>
        <v/>
      </c>
      <c r="C552" s="47" t="n"/>
      <c r="D552" s="47" t="n"/>
      <c r="E552" s="47" t="n"/>
      <c r="F552" s="47" t="n"/>
      <c r="G552" s="48" t="n"/>
      <c r="H552" s="49" t="n"/>
      <c r="I552" s="50">
        <f>IF(G552="","",ROUND(G552*H552,2))</f>
        <v/>
      </c>
      <c r="J552" s="50">
        <f>IF(G552="","",G552+N(I552))</f>
        <v/>
      </c>
      <c r="K552" s="45" t="n"/>
      <c r="L552" s="47" t="n"/>
      <c r="M552" s="48" t="n"/>
      <c r="N552" s="49" t="n"/>
      <c r="O552" s="50">
        <f>IF(M552="","",ROUND(M552*N552,2))</f>
        <v/>
      </c>
      <c r="P552" s="50">
        <f>IF(M552="","",M552+N(O552))</f>
        <v/>
      </c>
      <c r="Q552" s="45" t="n"/>
      <c r="R552" s="45" t="n"/>
      <c r="S552" s="51">
        <f>IF(L552="","",IF(COUNTIF(L$6:L552,L552)&gt;1,"",SUMIF(L$6:L$2000,L552,M$6:M$2000)-SUMIF(L$6:L$2000,L552,G$6:G$2000)))</f>
        <v/>
      </c>
      <c r="T552" s="46">
        <f>IF(AND(C552="",G552=""),"",IF(L552="","Nog factureren",IF(AND(G552&lt;&gt;"",OR(K552="",K552&gt;TODAY())),"Nog betalen",IF(OR(R552="",R552&gt;TODAY()),"Wacht op klant","Afgerond"))))</f>
        <v/>
      </c>
    </row>
    <row r="553">
      <c r="A553" s="45" t="n"/>
      <c r="B553" s="46">
        <f>IF(A553="","",YEAR(A553)&amp;" Q"&amp;ROUNDUP(MONTH(A553)/3,0))</f>
        <v/>
      </c>
      <c r="C553" s="47" t="n"/>
      <c r="D553" s="47" t="n"/>
      <c r="E553" s="47" t="n"/>
      <c r="F553" s="47" t="n"/>
      <c r="G553" s="48" t="n"/>
      <c r="H553" s="49" t="n"/>
      <c r="I553" s="50">
        <f>IF(G553="","",ROUND(G553*H553,2))</f>
        <v/>
      </c>
      <c r="J553" s="50">
        <f>IF(G553="","",G553+N(I553))</f>
        <v/>
      </c>
      <c r="K553" s="45" t="n"/>
      <c r="L553" s="47" t="n"/>
      <c r="M553" s="48" t="n"/>
      <c r="N553" s="49" t="n"/>
      <c r="O553" s="50">
        <f>IF(M553="","",ROUND(M553*N553,2))</f>
        <v/>
      </c>
      <c r="P553" s="50">
        <f>IF(M553="","",M553+N(O553))</f>
        <v/>
      </c>
      <c r="Q553" s="45" t="n"/>
      <c r="R553" s="45" t="n"/>
      <c r="S553" s="51">
        <f>IF(L553="","",IF(COUNTIF(L$6:L553,L553)&gt;1,"",SUMIF(L$6:L$2000,L553,M$6:M$2000)-SUMIF(L$6:L$2000,L553,G$6:G$2000)))</f>
        <v/>
      </c>
      <c r="T553" s="46">
        <f>IF(AND(C553="",G553=""),"",IF(L553="","Nog factureren",IF(AND(G553&lt;&gt;"",OR(K553="",K553&gt;TODAY())),"Nog betalen",IF(OR(R553="",R553&gt;TODAY()),"Wacht op klant","Afgerond"))))</f>
        <v/>
      </c>
    </row>
    <row r="554">
      <c r="A554" s="45" t="n"/>
      <c r="B554" s="46">
        <f>IF(A554="","",YEAR(A554)&amp;" Q"&amp;ROUNDUP(MONTH(A554)/3,0))</f>
        <v/>
      </c>
      <c r="C554" s="47" t="n"/>
      <c r="D554" s="47" t="n"/>
      <c r="E554" s="47" t="n"/>
      <c r="F554" s="47" t="n"/>
      <c r="G554" s="48" t="n"/>
      <c r="H554" s="49" t="n"/>
      <c r="I554" s="50">
        <f>IF(G554="","",ROUND(G554*H554,2))</f>
        <v/>
      </c>
      <c r="J554" s="50">
        <f>IF(G554="","",G554+N(I554))</f>
        <v/>
      </c>
      <c r="K554" s="45" t="n"/>
      <c r="L554" s="47" t="n"/>
      <c r="M554" s="48" t="n"/>
      <c r="N554" s="49" t="n"/>
      <c r="O554" s="50">
        <f>IF(M554="","",ROUND(M554*N554,2))</f>
        <v/>
      </c>
      <c r="P554" s="50">
        <f>IF(M554="","",M554+N(O554))</f>
        <v/>
      </c>
      <c r="Q554" s="45" t="n"/>
      <c r="R554" s="45" t="n"/>
      <c r="S554" s="51">
        <f>IF(L554="","",IF(COUNTIF(L$6:L554,L554)&gt;1,"",SUMIF(L$6:L$2000,L554,M$6:M$2000)-SUMIF(L$6:L$2000,L554,G$6:G$2000)))</f>
        <v/>
      </c>
      <c r="T554" s="46">
        <f>IF(AND(C554="",G554=""),"",IF(L554="","Nog factureren",IF(AND(G554&lt;&gt;"",OR(K554="",K554&gt;TODAY())),"Nog betalen",IF(OR(R554="",R554&gt;TODAY()),"Wacht op klant","Afgerond"))))</f>
        <v/>
      </c>
    </row>
    <row r="555">
      <c r="A555" s="45" t="n"/>
      <c r="B555" s="46">
        <f>IF(A555="","",YEAR(A555)&amp;" Q"&amp;ROUNDUP(MONTH(A555)/3,0))</f>
        <v/>
      </c>
      <c r="C555" s="47" t="n"/>
      <c r="D555" s="47" t="n"/>
      <c r="E555" s="47" t="n"/>
      <c r="F555" s="47" t="n"/>
      <c r="G555" s="48" t="n"/>
      <c r="H555" s="49" t="n"/>
      <c r="I555" s="50">
        <f>IF(G555="","",ROUND(G555*H555,2))</f>
        <v/>
      </c>
      <c r="J555" s="50">
        <f>IF(G555="","",G555+N(I555))</f>
        <v/>
      </c>
      <c r="K555" s="45" t="n"/>
      <c r="L555" s="47" t="n"/>
      <c r="M555" s="48" t="n"/>
      <c r="N555" s="49" t="n"/>
      <c r="O555" s="50">
        <f>IF(M555="","",ROUND(M555*N555,2))</f>
        <v/>
      </c>
      <c r="P555" s="50">
        <f>IF(M555="","",M555+N(O555))</f>
        <v/>
      </c>
      <c r="Q555" s="45" t="n"/>
      <c r="R555" s="45" t="n"/>
      <c r="S555" s="51">
        <f>IF(L555="","",IF(COUNTIF(L$6:L555,L555)&gt;1,"",SUMIF(L$6:L$2000,L555,M$6:M$2000)-SUMIF(L$6:L$2000,L555,G$6:G$2000)))</f>
        <v/>
      </c>
      <c r="T555" s="46">
        <f>IF(AND(C555="",G555=""),"",IF(L555="","Nog factureren",IF(AND(G555&lt;&gt;"",OR(K555="",K555&gt;TODAY())),"Nog betalen",IF(OR(R555="",R555&gt;TODAY()),"Wacht op klant","Afgerond"))))</f>
        <v/>
      </c>
    </row>
    <row r="556">
      <c r="A556" s="45" t="n"/>
      <c r="B556" s="46">
        <f>IF(A556="","",YEAR(A556)&amp;" Q"&amp;ROUNDUP(MONTH(A556)/3,0))</f>
        <v/>
      </c>
      <c r="C556" s="47" t="n"/>
      <c r="D556" s="47" t="n"/>
      <c r="E556" s="47" t="n"/>
      <c r="F556" s="47" t="n"/>
      <c r="G556" s="48" t="n"/>
      <c r="H556" s="49" t="n"/>
      <c r="I556" s="50">
        <f>IF(G556="","",ROUND(G556*H556,2))</f>
        <v/>
      </c>
      <c r="J556" s="50">
        <f>IF(G556="","",G556+N(I556))</f>
        <v/>
      </c>
      <c r="K556" s="45" t="n"/>
      <c r="L556" s="47" t="n"/>
      <c r="M556" s="48" t="n"/>
      <c r="N556" s="49" t="n"/>
      <c r="O556" s="50">
        <f>IF(M556="","",ROUND(M556*N556,2))</f>
        <v/>
      </c>
      <c r="P556" s="50">
        <f>IF(M556="","",M556+N(O556))</f>
        <v/>
      </c>
      <c r="Q556" s="45" t="n"/>
      <c r="R556" s="45" t="n"/>
      <c r="S556" s="51">
        <f>IF(L556="","",IF(COUNTIF(L$6:L556,L556)&gt;1,"",SUMIF(L$6:L$2000,L556,M$6:M$2000)-SUMIF(L$6:L$2000,L556,G$6:G$2000)))</f>
        <v/>
      </c>
      <c r="T556" s="46">
        <f>IF(AND(C556="",G556=""),"",IF(L556="","Nog factureren",IF(AND(G556&lt;&gt;"",OR(K556="",K556&gt;TODAY())),"Nog betalen",IF(OR(R556="",R556&gt;TODAY()),"Wacht op klant","Afgerond"))))</f>
        <v/>
      </c>
    </row>
    <row r="557">
      <c r="A557" s="45" t="n"/>
      <c r="B557" s="46">
        <f>IF(A557="","",YEAR(A557)&amp;" Q"&amp;ROUNDUP(MONTH(A557)/3,0))</f>
        <v/>
      </c>
      <c r="C557" s="47" t="n"/>
      <c r="D557" s="47" t="n"/>
      <c r="E557" s="47" t="n"/>
      <c r="F557" s="47" t="n"/>
      <c r="G557" s="48" t="n"/>
      <c r="H557" s="49" t="n"/>
      <c r="I557" s="50">
        <f>IF(G557="","",ROUND(G557*H557,2))</f>
        <v/>
      </c>
      <c r="J557" s="50">
        <f>IF(G557="","",G557+N(I557))</f>
        <v/>
      </c>
      <c r="K557" s="45" t="n"/>
      <c r="L557" s="47" t="n"/>
      <c r="M557" s="48" t="n"/>
      <c r="N557" s="49" t="n"/>
      <c r="O557" s="50">
        <f>IF(M557="","",ROUND(M557*N557,2))</f>
        <v/>
      </c>
      <c r="P557" s="50">
        <f>IF(M557="","",M557+N(O557))</f>
        <v/>
      </c>
      <c r="Q557" s="45" t="n"/>
      <c r="R557" s="45" t="n"/>
      <c r="S557" s="51">
        <f>IF(L557="","",IF(COUNTIF(L$6:L557,L557)&gt;1,"",SUMIF(L$6:L$2000,L557,M$6:M$2000)-SUMIF(L$6:L$2000,L557,G$6:G$2000)))</f>
        <v/>
      </c>
      <c r="T557" s="46">
        <f>IF(AND(C557="",G557=""),"",IF(L557="","Nog factureren",IF(AND(G557&lt;&gt;"",OR(K557="",K557&gt;TODAY())),"Nog betalen",IF(OR(R557="",R557&gt;TODAY()),"Wacht op klant","Afgerond"))))</f>
        <v/>
      </c>
    </row>
    <row r="558">
      <c r="A558" s="45" t="n"/>
      <c r="B558" s="46">
        <f>IF(A558="","",YEAR(A558)&amp;" Q"&amp;ROUNDUP(MONTH(A558)/3,0))</f>
        <v/>
      </c>
      <c r="C558" s="47" t="n"/>
      <c r="D558" s="47" t="n"/>
      <c r="E558" s="47" t="n"/>
      <c r="F558" s="47" t="n"/>
      <c r="G558" s="48" t="n"/>
      <c r="H558" s="49" t="n"/>
      <c r="I558" s="50">
        <f>IF(G558="","",ROUND(G558*H558,2))</f>
        <v/>
      </c>
      <c r="J558" s="50">
        <f>IF(G558="","",G558+N(I558))</f>
        <v/>
      </c>
      <c r="K558" s="45" t="n"/>
      <c r="L558" s="47" t="n"/>
      <c r="M558" s="48" t="n"/>
      <c r="N558" s="49" t="n"/>
      <c r="O558" s="50">
        <f>IF(M558="","",ROUND(M558*N558,2))</f>
        <v/>
      </c>
      <c r="P558" s="50">
        <f>IF(M558="","",M558+N(O558))</f>
        <v/>
      </c>
      <c r="Q558" s="45" t="n"/>
      <c r="R558" s="45" t="n"/>
      <c r="S558" s="51">
        <f>IF(L558="","",IF(COUNTIF(L$6:L558,L558)&gt;1,"",SUMIF(L$6:L$2000,L558,M$6:M$2000)-SUMIF(L$6:L$2000,L558,G$6:G$2000)))</f>
        <v/>
      </c>
      <c r="T558" s="46">
        <f>IF(AND(C558="",G558=""),"",IF(L558="","Nog factureren",IF(AND(G558&lt;&gt;"",OR(K558="",K558&gt;TODAY())),"Nog betalen",IF(OR(R558="",R558&gt;TODAY()),"Wacht op klant","Afgerond"))))</f>
        <v/>
      </c>
    </row>
    <row r="559">
      <c r="A559" s="45" t="n"/>
      <c r="B559" s="46">
        <f>IF(A559="","",YEAR(A559)&amp;" Q"&amp;ROUNDUP(MONTH(A559)/3,0))</f>
        <v/>
      </c>
      <c r="C559" s="47" t="n"/>
      <c r="D559" s="47" t="n"/>
      <c r="E559" s="47" t="n"/>
      <c r="F559" s="47" t="n"/>
      <c r="G559" s="48" t="n"/>
      <c r="H559" s="49" t="n"/>
      <c r="I559" s="50">
        <f>IF(G559="","",ROUND(G559*H559,2))</f>
        <v/>
      </c>
      <c r="J559" s="50">
        <f>IF(G559="","",G559+N(I559))</f>
        <v/>
      </c>
      <c r="K559" s="45" t="n"/>
      <c r="L559" s="47" t="n"/>
      <c r="M559" s="48" t="n"/>
      <c r="N559" s="49" t="n"/>
      <c r="O559" s="50">
        <f>IF(M559="","",ROUND(M559*N559,2))</f>
        <v/>
      </c>
      <c r="P559" s="50">
        <f>IF(M559="","",M559+N(O559))</f>
        <v/>
      </c>
      <c r="Q559" s="45" t="n"/>
      <c r="R559" s="45" t="n"/>
      <c r="S559" s="51">
        <f>IF(L559="","",IF(COUNTIF(L$6:L559,L559)&gt;1,"",SUMIF(L$6:L$2000,L559,M$6:M$2000)-SUMIF(L$6:L$2000,L559,G$6:G$2000)))</f>
        <v/>
      </c>
      <c r="T559" s="46">
        <f>IF(AND(C559="",G559=""),"",IF(L559="","Nog factureren",IF(AND(G559&lt;&gt;"",OR(K559="",K559&gt;TODAY())),"Nog betalen",IF(OR(R559="",R559&gt;TODAY()),"Wacht op klant","Afgerond"))))</f>
        <v/>
      </c>
    </row>
    <row r="560">
      <c r="A560" s="45" t="n"/>
      <c r="B560" s="46">
        <f>IF(A560="","",YEAR(A560)&amp;" Q"&amp;ROUNDUP(MONTH(A560)/3,0))</f>
        <v/>
      </c>
      <c r="C560" s="47" t="n"/>
      <c r="D560" s="47" t="n"/>
      <c r="E560" s="47" t="n"/>
      <c r="F560" s="47" t="n"/>
      <c r="G560" s="48" t="n"/>
      <c r="H560" s="49" t="n"/>
      <c r="I560" s="50">
        <f>IF(G560="","",ROUND(G560*H560,2))</f>
        <v/>
      </c>
      <c r="J560" s="50">
        <f>IF(G560="","",G560+N(I560))</f>
        <v/>
      </c>
      <c r="K560" s="45" t="n"/>
      <c r="L560" s="47" t="n"/>
      <c r="M560" s="48" t="n"/>
      <c r="N560" s="49" t="n"/>
      <c r="O560" s="50">
        <f>IF(M560="","",ROUND(M560*N560,2))</f>
        <v/>
      </c>
      <c r="P560" s="50">
        <f>IF(M560="","",M560+N(O560))</f>
        <v/>
      </c>
      <c r="Q560" s="45" t="n"/>
      <c r="R560" s="45" t="n"/>
      <c r="S560" s="51">
        <f>IF(L560="","",IF(COUNTIF(L$6:L560,L560)&gt;1,"",SUMIF(L$6:L$2000,L560,M$6:M$2000)-SUMIF(L$6:L$2000,L560,G$6:G$2000)))</f>
        <v/>
      </c>
      <c r="T560" s="46">
        <f>IF(AND(C560="",G560=""),"",IF(L560="","Nog factureren",IF(AND(G560&lt;&gt;"",OR(K560="",K560&gt;TODAY())),"Nog betalen",IF(OR(R560="",R560&gt;TODAY()),"Wacht op klant","Afgerond"))))</f>
        <v/>
      </c>
    </row>
    <row r="561">
      <c r="A561" s="45" t="n"/>
      <c r="B561" s="46">
        <f>IF(A561="","",YEAR(A561)&amp;" Q"&amp;ROUNDUP(MONTH(A561)/3,0))</f>
        <v/>
      </c>
      <c r="C561" s="47" t="n"/>
      <c r="D561" s="47" t="n"/>
      <c r="E561" s="47" t="n"/>
      <c r="F561" s="47" t="n"/>
      <c r="G561" s="48" t="n"/>
      <c r="H561" s="49" t="n"/>
      <c r="I561" s="50">
        <f>IF(G561="","",ROUND(G561*H561,2))</f>
        <v/>
      </c>
      <c r="J561" s="50">
        <f>IF(G561="","",G561+N(I561))</f>
        <v/>
      </c>
      <c r="K561" s="45" t="n"/>
      <c r="L561" s="47" t="n"/>
      <c r="M561" s="48" t="n"/>
      <c r="N561" s="49" t="n"/>
      <c r="O561" s="50">
        <f>IF(M561="","",ROUND(M561*N561,2))</f>
        <v/>
      </c>
      <c r="P561" s="50">
        <f>IF(M561="","",M561+N(O561))</f>
        <v/>
      </c>
      <c r="Q561" s="45" t="n"/>
      <c r="R561" s="45" t="n"/>
      <c r="S561" s="51">
        <f>IF(L561="","",IF(COUNTIF(L$6:L561,L561)&gt;1,"",SUMIF(L$6:L$2000,L561,M$6:M$2000)-SUMIF(L$6:L$2000,L561,G$6:G$2000)))</f>
        <v/>
      </c>
      <c r="T561" s="46">
        <f>IF(AND(C561="",G561=""),"",IF(L561="","Nog factureren",IF(AND(G561&lt;&gt;"",OR(K561="",K561&gt;TODAY())),"Nog betalen",IF(OR(R561="",R561&gt;TODAY()),"Wacht op klant","Afgerond"))))</f>
        <v/>
      </c>
    </row>
    <row r="562">
      <c r="A562" s="45" t="n"/>
      <c r="B562" s="46">
        <f>IF(A562="","",YEAR(A562)&amp;" Q"&amp;ROUNDUP(MONTH(A562)/3,0))</f>
        <v/>
      </c>
      <c r="C562" s="47" t="n"/>
      <c r="D562" s="47" t="n"/>
      <c r="E562" s="47" t="n"/>
      <c r="F562" s="47" t="n"/>
      <c r="G562" s="48" t="n"/>
      <c r="H562" s="49" t="n"/>
      <c r="I562" s="50">
        <f>IF(G562="","",ROUND(G562*H562,2))</f>
        <v/>
      </c>
      <c r="J562" s="50">
        <f>IF(G562="","",G562+N(I562))</f>
        <v/>
      </c>
      <c r="K562" s="45" t="n"/>
      <c r="L562" s="47" t="n"/>
      <c r="M562" s="48" t="n"/>
      <c r="N562" s="49" t="n"/>
      <c r="O562" s="50">
        <f>IF(M562="","",ROUND(M562*N562,2))</f>
        <v/>
      </c>
      <c r="P562" s="50">
        <f>IF(M562="","",M562+N(O562))</f>
        <v/>
      </c>
      <c r="Q562" s="45" t="n"/>
      <c r="R562" s="45" t="n"/>
      <c r="S562" s="51">
        <f>IF(L562="","",IF(COUNTIF(L$6:L562,L562)&gt;1,"",SUMIF(L$6:L$2000,L562,M$6:M$2000)-SUMIF(L$6:L$2000,L562,G$6:G$2000)))</f>
        <v/>
      </c>
      <c r="T562" s="46">
        <f>IF(AND(C562="",G562=""),"",IF(L562="","Nog factureren",IF(AND(G562&lt;&gt;"",OR(K562="",K562&gt;TODAY())),"Nog betalen",IF(OR(R562="",R562&gt;TODAY()),"Wacht op klant","Afgerond"))))</f>
        <v/>
      </c>
    </row>
    <row r="563">
      <c r="A563" s="45" t="n"/>
      <c r="B563" s="46">
        <f>IF(A563="","",YEAR(A563)&amp;" Q"&amp;ROUNDUP(MONTH(A563)/3,0))</f>
        <v/>
      </c>
      <c r="C563" s="47" t="n"/>
      <c r="D563" s="47" t="n"/>
      <c r="E563" s="47" t="n"/>
      <c r="F563" s="47" t="n"/>
      <c r="G563" s="48" t="n"/>
      <c r="H563" s="49" t="n"/>
      <c r="I563" s="50">
        <f>IF(G563="","",ROUND(G563*H563,2))</f>
        <v/>
      </c>
      <c r="J563" s="50">
        <f>IF(G563="","",G563+N(I563))</f>
        <v/>
      </c>
      <c r="K563" s="45" t="n"/>
      <c r="L563" s="47" t="n"/>
      <c r="M563" s="48" t="n"/>
      <c r="N563" s="49" t="n"/>
      <c r="O563" s="50">
        <f>IF(M563="","",ROUND(M563*N563,2))</f>
        <v/>
      </c>
      <c r="P563" s="50">
        <f>IF(M563="","",M563+N(O563))</f>
        <v/>
      </c>
      <c r="Q563" s="45" t="n"/>
      <c r="R563" s="45" t="n"/>
      <c r="S563" s="51">
        <f>IF(L563="","",IF(COUNTIF(L$6:L563,L563)&gt;1,"",SUMIF(L$6:L$2000,L563,M$6:M$2000)-SUMIF(L$6:L$2000,L563,G$6:G$2000)))</f>
        <v/>
      </c>
      <c r="T563" s="46">
        <f>IF(AND(C563="",G563=""),"",IF(L563="","Nog factureren",IF(AND(G563&lt;&gt;"",OR(K563="",K563&gt;TODAY())),"Nog betalen",IF(OR(R563="",R563&gt;TODAY()),"Wacht op klant","Afgerond"))))</f>
        <v/>
      </c>
    </row>
    <row r="564">
      <c r="A564" s="45" t="n"/>
      <c r="B564" s="46">
        <f>IF(A564="","",YEAR(A564)&amp;" Q"&amp;ROUNDUP(MONTH(A564)/3,0))</f>
        <v/>
      </c>
      <c r="C564" s="47" t="n"/>
      <c r="D564" s="47" t="n"/>
      <c r="E564" s="47" t="n"/>
      <c r="F564" s="47" t="n"/>
      <c r="G564" s="48" t="n"/>
      <c r="H564" s="49" t="n"/>
      <c r="I564" s="50">
        <f>IF(G564="","",ROUND(G564*H564,2))</f>
        <v/>
      </c>
      <c r="J564" s="50">
        <f>IF(G564="","",G564+N(I564))</f>
        <v/>
      </c>
      <c r="K564" s="45" t="n"/>
      <c r="L564" s="47" t="n"/>
      <c r="M564" s="48" t="n"/>
      <c r="N564" s="49" t="n"/>
      <c r="O564" s="50">
        <f>IF(M564="","",ROUND(M564*N564,2))</f>
        <v/>
      </c>
      <c r="P564" s="50">
        <f>IF(M564="","",M564+N(O564))</f>
        <v/>
      </c>
      <c r="Q564" s="45" t="n"/>
      <c r="R564" s="45" t="n"/>
      <c r="S564" s="51">
        <f>IF(L564="","",IF(COUNTIF(L$6:L564,L564)&gt;1,"",SUMIF(L$6:L$2000,L564,M$6:M$2000)-SUMIF(L$6:L$2000,L564,G$6:G$2000)))</f>
        <v/>
      </c>
      <c r="T564" s="46">
        <f>IF(AND(C564="",G564=""),"",IF(L564="","Nog factureren",IF(AND(G564&lt;&gt;"",OR(K564="",K564&gt;TODAY())),"Nog betalen",IF(OR(R564="",R564&gt;TODAY()),"Wacht op klant","Afgerond"))))</f>
        <v/>
      </c>
    </row>
    <row r="565">
      <c r="A565" s="45" t="n"/>
      <c r="B565" s="46">
        <f>IF(A565="","",YEAR(A565)&amp;" Q"&amp;ROUNDUP(MONTH(A565)/3,0))</f>
        <v/>
      </c>
      <c r="C565" s="47" t="n"/>
      <c r="D565" s="47" t="n"/>
      <c r="E565" s="47" t="n"/>
      <c r="F565" s="47" t="n"/>
      <c r="G565" s="48" t="n"/>
      <c r="H565" s="49" t="n"/>
      <c r="I565" s="50">
        <f>IF(G565="","",ROUND(G565*H565,2))</f>
        <v/>
      </c>
      <c r="J565" s="50">
        <f>IF(G565="","",G565+N(I565))</f>
        <v/>
      </c>
      <c r="K565" s="45" t="n"/>
      <c r="L565" s="47" t="n"/>
      <c r="M565" s="48" t="n"/>
      <c r="N565" s="49" t="n"/>
      <c r="O565" s="50">
        <f>IF(M565="","",ROUND(M565*N565,2))</f>
        <v/>
      </c>
      <c r="P565" s="50">
        <f>IF(M565="","",M565+N(O565))</f>
        <v/>
      </c>
      <c r="Q565" s="45" t="n"/>
      <c r="R565" s="45" t="n"/>
      <c r="S565" s="51">
        <f>IF(L565="","",IF(COUNTIF(L$6:L565,L565)&gt;1,"",SUMIF(L$6:L$2000,L565,M$6:M$2000)-SUMIF(L$6:L$2000,L565,G$6:G$2000)))</f>
        <v/>
      </c>
      <c r="T565" s="46">
        <f>IF(AND(C565="",G565=""),"",IF(L565="","Nog factureren",IF(AND(G565&lt;&gt;"",OR(K565="",K565&gt;TODAY())),"Nog betalen",IF(OR(R565="",R565&gt;TODAY()),"Wacht op klant","Afgerond"))))</f>
        <v/>
      </c>
    </row>
    <row r="566">
      <c r="A566" s="45" t="n"/>
      <c r="B566" s="46">
        <f>IF(A566="","",YEAR(A566)&amp;" Q"&amp;ROUNDUP(MONTH(A566)/3,0))</f>
        <v/>
      </c>
      <c r="C566" s="47" t="n"/>
      <c r="D566" s="47" t="n"/>
      <c r="E566" s="47" t="n"/>
      <c r="F566" s="47" t="n"/>
      <c r="G566" s="48" t="n"/>
      <c r="H566" s="49" t="n"/>
      <c r="I566" s="50">
        <f>IF(G566="","",ROUND(G566*H566,2))</f>
        <v/>
      </c>
      <c r="J566" s="50">
        <f>IF(G566="","",G566+N(I566))</f>
        <v/>
      </c>
      <c r="K566" s="45" t="n"/>
      <c r="L566" s="47" t="n"/>
      <c r="M566" s="48" t="n"/>
      <c r="N566" s="49" t="n"/>
      <c r="O566" s="50">
        <f>IF(M566="","",ROUND(M566*N566,2))</f>
        <v/>
      </c>
      <c r="P566" s="50">
        <f>IF(M566="","",M566+N(O566))</f>
        <v/>
      </c>
      <c r="Q566" s="45" t="n"/>
      <c r="R566" s="45" t="n"/>
      <c r="S566" s="51">
        <f>IF(L566="","",IF(COUNTIF(L$6:L566,L566)&gt;1,"",SUMIF(L$6:L$2000,L566,M$6:M$2000)-SUMIF(L$6:L$2000,L566,G$6:G$2000)))</f>
        <v/>
      </c>
      <c r="T566" s="46">
        <f>IF(AND(C566="",G566=""),"",IF(L566="","Nog factureren",IF(AND(G566&lt;&gt;"",OR(K566="",K566&gt;TODAY())),"Nog betalen",IF(OR(R566="",R566&gt;TODAY()),"Wacht op klant","Afgerond"))))</f>
        <v/>
      </c>
    </row>
    <row r="567">
      <c r="A567" s="45" t="n"/>
      <c r="B567" s="46">
        <f>IF(A567="","",YEAR(A567)&amp;" Q"&amp;ROUNDUP(MONTH(A567)/3,0))</f>
        <v/>
      </c>
      <c r="C567" s="47" t="n"/>
      <c r="D567" s="47" t="n"/>
      <c r="E567" s="47" t="n"/>
      <c r="F567" s="47" t="n"/>
      <c r="G567" s="48" t="n"/>
      <c r="H567" s="49" t="n"/>
      <c r="I567" s="50">
        <f>IF(G567="","",ROUND(G567*H567,2))</f>
        <v/>
      </c>
      <c r="J567" s="50">
        <f>IF(G567="","",G567+N(I567))</f>
        <v/>
      </c>
      <c r="K567" s="45" t="n"/>
      <c r="L567" s="47" t="n"/>
      <c r="M567" s="48" t="n"/>
      <c r="N567" s="49" t="n"/>
      <c r="O567" s="50">
        <f>IF(M567="","",ROUND(M567*N567,2))</f>
        <v/>
      </c>
      <c r="P567" s="50">
        <f>IF(M567="","",M567+N(O567))</f>
        <v/>
      </c>
      <c r="Q567" s="45" t="n"/>
      <c r="R567" s="45" t="n"/>
      <c r="S567" s="51">
        <f>IF(L567="","",IF(COUNTIF(L$6:L567,L567)&gt;1,"",SUMIF(L$6:L$2000,L567,M$6:M$2000)-SUMIF(L$6:L$2000,L567,G$6:G$2000)))</f>
        <v/>
      </c>
      <c r="T567" s="46">
        <f>IF(AND(C567="",G567=""),"",IF(L567="","Nog factureren",IF(AND(G567&lt;&gt;"",OR(K567="",K567&gt;TODAY())),"Nog betalen",IF(OR(R567="",R567&gt;TODAY()),"Wacht op klant","Afgerond"))))</f>
        <v/>
      </c>
    </row>
    <row r="568">
      <c r="A568" s="45" t="n"/>
      <c r="B568" s="46">
        <f>IF(A568="","",YEAR(A568)&amp;" Q"&amp;ROUNDUP(MONTH(A568)/3,0))</f>
        <v/>
      </c>
      <c r="C568" s="47" t="n"/>
      <c r="D568" s="47" t="n"/>
      <c r="E568" s="47" t="n"/>
      <c r="F568" s="47" t="n"/>
      <c r="G568" s="48" t="n"/>
      <c r="H568" s="49" t="n"/>
      <c r="I568" s="50">
        <f>IF(G568="","",ROUND(G568*H568,2))</f>
        <v/>
      </c>
      <c r="J568" s="50">
        <f>IF(G568="","",G568+N(I568))</f>
        <v/>
      </c>
      <c r="K568" s="45" t="n"/>
      <c r="L568" s="47" t="n"/>
      <c r="M568" s="48" t="n"/>
      <c r="N568" s="49" t="n"/>
      <c r="O568" s="50">
        <f>IF(M568="","",ROUND(M568*N568,2))</f>
        <v/>
      </c>
      <c r="P568" s="50">
        <f>IF(M568="","",M568+N(O568))</f>
        <v/>
      </c>
      <c r="Q568" s="45" t="n"/>
      <c r="R568" s="45" t="n"/>
      <c r="S568" s="51">
        <f>IF(L568="","",IF(COUNTIF(L$6:L568,L568)&gt;1,"",SUMIF(L$6:L$2000,L568,M$6:M$2000)-SUMIF(L$6:L$2000,L568,G$6:G$2000)))</f>
        <v/>
      </c>
      <c r="T568" s="46">
        <f>IF(AND(C568="",G568=""),"",IF(L568="","Nog factureren",IF(AND(G568&lt;&gt;"",OR(K568="",K568&gt;TODAY())),"Nog betalen",IF(OR(R568="",R568&gt;TODAY()),"Wacht op klant","Afgerond"))))</f>
        <v/>
      </c>
    </row>
    <row r="569">
      <c r="A569" s="45" t="n"/>
      <c r="B569" s="46">
        <f>IF(A569="","",YEAR(A569)&amp;" Q"&amp;ROUNDUP(MONTH(A569)/3,0))</f>
        <v/>
      </c>
      <c r="C569" s="47" t="n"/>
      <c r="D569" s="47" t="n"/>
      <c r="E569" s="47" t="n"/>
      <c r="F569" s="47" t="n"/>
      <c r="G569" s="48" t="n"/>
      <c r="H569" s="49" t="n"/>
      <c r="I569" s="50">
        <f>IF(G569="","",ROUND(G569*H569,2))</f>
        <v/>
      </c>
      <c r="J569" s="50">
        <f>IF(G569="","",G569+N(I569))</f>
        <v/>
      </c>
      <c r="K569" s="45" t="n"/>
      <c r="L569" s="47" t="n"/>
      <c r="M569" s="48" t="n"/>
      <c r="N569" s="49" t="n"/>
      <c r="O569" s="50">
        <f>IF(M569="","",ROUND(M569*N569,2))</f>
        <v/>
      </c>
      <c r="P569" s="50">
        <f>IF(M569="","",M569+N(O569))</f>
        <v/>
      </c>
      <c r="Q569" s="45" t="n"/>
      <c r="R569" s="45" t="n"/>
      <c r="S569" s="51">
        <f>IF(L569="","",IF(COUNTIF(L$6:L569,L569)&gt;1,"",SUMIF(L$6:L$2000,L569,M$6:M$2000)-SUMIF(L$6:L$2000,L569,G$6:G$2000)))</f>
        <v/>
      </c>
      <c r="T569" s="46">
        <f>IF(AND(C569="",G569=""),"",IF(L569="","Nog factureren",IF(AND(G569&lt;&gt;"",OR(K569="",K569&gt;TODAY())),"Nog betalen",IF(OR(R569="",R569&gt;TODAY()),"Wacht op klant","Afgerond"))))</f>
        <v/>
      </c>
    </row>
    <row r="570">
      <c r="A570" s="45" t="n"/>
      <c r="B570" s="46">
        <f>IF(A570="","",YEAR(A570)&amp;" Q"&amp;ROUNDUP(MONTH(A570)/3,0))</f>
        <v/>
      </c>
      <c r="C570" s="47" t="n"/>
      <c r="D570" s="47" t="n"/>
      <c r="E570" s="47" t="n"/>
      <c r="F570" s="47" t="n"/>
      <c r="G570" s="48" t="n"/>
      <c r="H570" s="49" t="n"/>
      <c r="I570" s="50">
        <f>IF(G570="","",ROUND(G570*H570,2))</f>
        <v/>
      </c>
      <c r="J570" s="50">
        <f>IF(G570="","",G570+N(I570))</f>
        <v/>
      </c>
      <c r="K570" s="45" t="n"/>
      <c r="L570" s="47" t="n"/>
      <c r="M570" s="48" t="n"/>
      <c r="N570" s="49" t="n"/>
      <c r="O570" s="50">
        <f>IF(M570="","",ROUND(M570*N570,2))</f>
        <v/>
      </c>
      <c r="P570" s="50">
        <f>IF(M570="","",M570+N(O570))</f>
        <v/>
      </c>
      <c r="Q570" s="45" t="n"/>
      <c r="R570" s="45" t="n"/>
      <c r="S570" s="51">
        <f>IF(L570="","",IF(COUNTIF(L$6:L570,L570)&gt;1,"",SUMIF(L$6:L$2000,L570,M$6:M$2000)-SUMIF(L$6:L$2000,L570,G$6:G$2000)))</f>
        <v/>
      </c>
      <c r="T570" s="46">
        <f>IF(AND(C570="",G570=""),"",IF(L570="","Nog factureren",IF(AND(G570&lt;&gt;"",OR(K570="",K570&gt;TODAY())),"Nog betalen",IF(OR(R570="",R570&gt;TODAY()),"Wacht op klant","Afgerond"))))</f>
        <v/>
      </c>
    </row>
    <row r="571">
      <c r="A571" s="45" t="n"/>
      <c r="B571" s="46">
        <f>IF(A571="","",YEAR(A571)&amp;" Q"&amp;ROUNDUP(MONTH(A571)/3,0))</f>
        <v/>
      </c>
      <c r="C571" s="47" t="n"/>
      <c r="D571" s="47" t="n"/>
      <c r="E571" s="47" t="n"/>
      <c r="F571" s="47" t="n"/>
      <c r="G571" s="48" t="n"/>
      <c r="H571" s="49" t="n"/>
      <c r="I571" s="50">
        <f>IF(G571="","",ROUND(G571*H571,2))</f>
        <v/>
      </c>
      <c r="J571" s="50">
        <f>IF(G571="","",G571+N(I571))</f>
        <v/>
      </c>
      <c r="K571" s="45" t="n"/>
      <c r="L571" s="47" t="n"/>
      <c r="M571" s="48" t="n"/>
      <c r="N571" s="49" t="n"/>
      <c r="O571" s="50">
        <f>IF(M571="","",ROUND(M571*N571,2))</f>
        <v/>
      </c>
      <c r="P571" s="50">
        <f>IF(M571="","",M571+N(O571))</f>
        <v/>
      </c>
      <c r="Q571" s="45" t="n"/>
      <c r="R571" s="45" t="n"/>
      <c r="S571" s="51">
        <f>IF(L571="","",IF(COUNTIF(L$6:L571,L571)&gt;1,"",SUMIF(L$6:L$2000,L571,M$6:M$2000)-SUMIF(L$6:L$2000,L571,G$6:G$2000)))</f>
        <v/>
      </c>
      <c r="T571" s="46">
        <f>IF(AND(C571="",G571=""),"",IF(L571="","Nog factureren",IF(AND(G571&lt;&gt;"",OR(K571="",K571&gt;TODAY())),"Nog betalen",IF(OR(R571="",R571&gt;TODAY()),"Wacht op klant","Afgerond"))))</f>
        <v/>
      </c>
    </row>
    <row r="572">
      <c r="A572" s="45" t="n"/>
      <c r="B572" s="46">
        <f>IF(A572="","",YEAR(A572)&amp;" Q"&amp;ROUNDUP(MONTH(A572)/3,0))</f>
        <v/>
      </c>
      <c r="C572" s="47" t="n"/>
      <c r="D572" s="47" t="n"/>
      <c r="E572" s="47" t="n"/>
      <c r="F572" s="47" t="n"/>
      <c r="G572" s="48" t="n"/>
      <c r="H572" s="49" t="n"/>
      <c r="I572" s="50">
        <f>IF(G572="","",ROUND(G572*H572,2))</f>
        <v/>
      </c>
      <c r="J572" s="50">
        <f>IF(G572="","",G572+N(I572))</f>
        <v/>
      </c>
      <c r="K572" s="45" t="n"/>
      <c r="L572" s="47" t="n"/>
      <c r="M572" s="48" t="n"/>
      <c r="N572" s="49" t="n"/>
      <c r="O572" s="50">
        <f>IF(M572="","",ROUND(M572*N572,2))</f>
        <v/>
      </c>
      <c r="P572" s="50">
        <f>IF(M572="","",M572+N(O572))</f>
        <v/>
      </c>
      <c r="Q572" s="45" t="n"/>
      <c r="R572" s="45" t="n"/>
      <c r="S572" s="51">
        <f>IF(L572="","",IF(COUNTIF(L$6:L572,L572)&gt;1,"",SUMIF(L$6:L$2000,L572,M$6:M$2000)-SUMIF(L$6:L$2000,L572,G$6:G$2000)))</f>
        <v/>
      </c>
      <c r="T572" s="46">
        <f>IF(AND(C572="",G572=""),"",IF(L572="","Nog factureren",IF(AND(G572&lt;&gt;"",OR(K572="",K572&gt;TODAY())),"Nog betalen",IF(OR(R572="",R572&gt;TODAY()),"Wacht op klant","Afgerond"))))</f>
        <v/>
      </c>
    </row>
    <row r="573">
      <c r="A573" s="45" t="n"/>
      <c r="B573" s="46">
        <f>IF(A573="","",YEAR(A573)&amp;" Q"&amp;ROUNDUP(MONTH(A573)/3,0))</f>
        <v/>
      </c>
      <c r="C573" s="47" t="n"/>
      <c r="D573" s="47" t="n"/>
      <c r="E573" s="47" t="n"/>
      <c r="F573" s="47" t="n"/>
      <c r="G573" s="48" t="n"/>
      <c r="H573" s="49" t="n"/>
      <c r="I573" s="50">
        <f>IF(G573="","",ROUND(G573*H573,2))</f>
        <v/>
      </c>
      <c r="J573" s="50">
        <f>IF(G573="","",G573+N(I573))</f>
        <v/>
      </c>
      <c r="K573" s="45" t="n"/>
      <c r="L573" s="47" t="n"/>
      <c r="M573" s="48" t="n"/>
      <c r="N573" s="49" t="n"/>
      <c r="O573" s="50">
        <f>IF(M573="","",ROUND(M573*N573,2))</f>
        <v/>
      </c>
      <c r="P573" s="50">
        <f>IF(M573="","",M573+N(O573))</f>
        <v/>
      </c>
      <c r="Q573" s="45" t="n"/>
      <c r="R573" s="45" t="n"/>
      <c r="S573" s="51">
        <f>IF(L573="","",IF(COUNTIF(L$6:L573,L573)&gt;1,"",SUMIF(L$6:L$2000,L573,M$6:M$2000)-SUMIF(L$6:L$2000,L573,G$6:G$2000)))</f>
        <v/>
      </c>
      <c r="T573" s="46">
        <f>IF(AND(C573="",G573=""),"",IF(L573="","Nog factureren",IF(AND(G573&lt;&gt;"",OR(K573="",K573&gt;TODAY())),"Nog betalen",IF(OR(R573="",R573&gt;TODAY()),"Wacht op klant","Afgerond"))))</f>
        <v/>
      </c>
    </row>
    <row r="574">
      <c r="A574" s="45" t="n"/>
      <c r="B574" s="46">
        <f>IF(A574="","",YEAR(A574)&amp;" Q"&amp;ROUNDUP(MONTH(A574)/3,0))</f>
        <v/>
      </c>
      <c r="C574" s="47" t="n"/>
      <c r="D574" s="47" t="n"/>
      <c r="E574" s="47" t="n"/>
      <c r="F574" s="47" t="n"/>
      <c r="G574" s="48" t="n"/>
      <c r="H574" s="49" t="n"/>
      <c r="I574" s="50">
        <f>IF(G574="","",ROUND(G574*H574,2))</f>
        <v/>
      </c>
      <c r="J574" s="50">
        <f>IF(G574="","",G574+N(I574))</f>
        <v/>
      </c>
      <c r="K574" s="45" t="n"/>
      <c r="L574" s="47" t="n"/>
      <c r="M574" s="48" t="n"/>
      <c r="N574" s="49" t="n"/>
      <c r="O574" s="50">
        <f>IF(M574="","",ROUND(M574*N574,2))</f>
        <v/>
      </c>
      <c r="P574" s="50">
        <f>IF(M574="","",M574+N(O574))</f>
        <v/>
      </c>
      <c r="Q574" s="45" t="n"/>
      <c r="R574" s="45" t="n"/>
      <c r="S574" s="51">
        <f>IF(L574="","",IF(COUNTIF(L$6:L574,L574)&gt;1,"",SUMIF(L$6:L$2000,L574,M$6:M$2000)-SUMIF(L$6:L$2000,L574,G$6:G$2000)))</f>
        <v/>
      </c>
      <c r="T574" s="46">
        <f>IF(AND(C574="",G574=""),"",IF(L574="","Nog factureren",IF(AND(G574&lt;&gt;"",OR(K574="",K574&gt;TODAY())),"Nog betalen",IF(OR(R574="",R574&gt;TODAY()),"Wacht op klant","Afgerond"))))</f>
        <v/>
      </c>
    </row>
    <row r="575">
      <c r="A575" s="45" t="n"/>
      <c r="B575" s="46">
        <f>IF(A575="","",YEAR(A575)&amp;" Q"&amp;ROUNDUP(MONTH(A575)/3,0))</f>
        <v/>
      </c>
      <c r="C575" s="47" t="n"/>
      <c r="D575" s="47" t="n"/>
      <c r="E575" s="47" t="n"/>
      <c r="F575" s="47" t="n"/>
      <c r="G575" s="48" t="n"/>
      <c r="H575" s="49" t="n"/>
      <c r="I575" s="50">
        <f>IF(G575="","",ROUND(G575*H575,2))</f>
        <v/>
      </c>
      <c r="J575" s="50">
        <f>IF(G575="","",G575+N(I575))</f>
        <v/>
      </c>
      <c r="K575" s="45" t="n"/>
      <c r="L575" s="47" t="n"/>
      <c r="M575" s="48" t="n"/>
      <c r="N575" s="49" t="n"/>
      <c r="O575" s="50">
        <f>IF(M575="","",ROUND(M575*N575,2))</f>
        <v/>
      </c>
      <c r="P575" s="50">
        <f>IF(M575="","",M575+N(O575))</f>
        <v/>
      </c>
      <c r="Q575" s="45" t="n"/>
      <c r="R575" s="45" t="n"/>
      <c r="S575" s="51">
        <f>IF(L575="","",IF(COUNTIF(L$6:L575,L575)&gt;1,"",SUMIF(L$6:L$2000,L575,M$6:M$2000)-SUMIF(L$6:L$2000,L575,G$6:G$2000)))</f>
        <v/>
      </c>
      <c r="T575" s="46">
        <f>IF(AND(C575="",G575=""),"",IF(L575="","Nog factureren",IF(AND(G575&lt;&gt;"",OR(K575="",K575&gt;TODAY())),"Nog betalen",IF(OR(R575="",R575&gt;TODAY()),"Wacht op klant","Afgerond"))))</f>
        <v/>
      </c>
    </row>
    <row r="576">
      <c r="A576" s="45" t="n"/>
      <c r="B576" s="46">
        <f>IF(A576="","",YEAR(A576)&amp;" Q"&amp;ROUNDUP(MONTH(A576)/3,0))</f>
        <v/>
      </c>
      <c r="C576" s="47" t="n"/>
      <c r="D576" s="47" t="n"/>
      <c r="E576" s="47" t="n"/>
      <c r="F576" s="47" t="n"/>
      <c r="G576" s="48" t="n"/>
      <c r="H576" s="49" t="n"/>
      <c r="I576" s="50">
        <f>IF(G576="","",ROUND(G576*H576,2))</f>
        <v/>
      </c>
      <c r="J576" s="50">
        <f>IF(G576="","",G576+N(I576))</f>
        <v/>
      </c>
      <c r="K576" s="45" t="n"/>
      <c r="L576" s="47" t="n"/>
      <c r="M576" s="48" t="n"/>
      <c r="N576" s="49" t="n"/>
      <c r="O576" s="50">
        <f>IF(M576="","",ROUND(M576*N576,2))</f>
        <v/>
      </c>
      <c r="P576" s="50">
        <f>IF(M576="","",M576+N(O576))</f>
        <v/>
      </c>
      <c r="Q576" s="45" t="n"/>
      <c r="R576" s="45" t="n"/>
      <c r="S576" s="51">
        <f>IF(L576="","",IF(COUNTIF(L$6:L576,L576)&gt;1,"",SUMIF(L$6:L$2000,L576,M$6:M$2000)-SUMIF(L$6:L$2000,L576,G$6:G$2000)))</f>
        <v/>
      </c>
      <c r="T576" s="46">
        <f>IF(AND(C576="",G576=""),"",IF(L576="","Nog factureren",IF(AND(G576&lt;&gt;"",OR(K576="",K576&gt;TODAY())),"Nog betalen",IF(OR(R576="",R576&gt;TODAY()),"Wacht op klant","Afgerond"))))</f>
        <v/>
      </c>
    </row>
    <row r="577">
      <c r="A577" s="45" t="n"/>
      <c r="B577" s="46">
        <f>IF(A577="","",YEAR(A577)&amp;" Q"&amp;ROUNDUP(MONTH(A577)/3,0))</f>
        <v/>
      </c>
      <c r="C577" s="47" t="n"/>
      <c r="D577" s="47" t="n"/>
      <c r="E577" s="47" t="n"/>
      <c r="F577" s="47" t="n"/>
      <c r="G577" s="48" t="n"/>
      <c r="H577" s="49" t="n"/>
      <c r="I577" s="50">
        <f>IF(G577="","",ROUND(G577*H577,2))</f>
        <v/>
      </c>
      <c r="J577" s="50">
        <f>IF(G577="","",G577+N(I577))</f>
        <v/>
      </c>
      <c r="K577" s="45" t="n"/>
      <c r="L577" s="47" t="n"/>
      <c r="M577" s="48" t="n"/>
      <c r="N577" s="49" t="n"/>
      <c r="O577" s="50">
        <f>IF(M577="","",ROUND(M577*N577,2))</f>
        <v/>
      </c>
      <c r="P577" s="50">
        <f>IF(M577="","",M577+N(O577))</f>
        <v/>
      </c>
      <c r="Q577" s="45" t="n"/>
      <c r="R577" s="45" t="n"/>
      <c r="S577" s="51">
        <f>IF(L577="","",IF(COUNTIF(L$6:L577,L577)&gt;1,"",SUMIF(L$6:L$2000,L577,M$6:M$2000)-SUMIF(L$6:L$2000,L577,G$6:G$2000)))</f>
        <v/>
      </c>
      <c r="T577" s="46">
        <f>IF(AND(C577="",G577=""),"",IF(L577="","Nog factureren",IF(AND(G577&lt;&gt;"",OR(K577="",K577&gt;TODAY())),"Nog betalen",IF(OR(R577="",R577&gt;TODAY()),"Wacht op klant","Afgerond"))))</f>
        <v/>
      </c>
    </row>
    <row r="578">
      <c r="A578" s="45" t="n"/>
      <c r="B578" s="46">
        <f>IF(A578="","",YEAR(A578)&amp;" Q"&amp;ROUNDUP(MONTH(A578)/3,0))</f>
        <v/>
      </c>
      <c r="C578" s="47" t="n"/>
      <c r="D578" s="47" t="n"/>
      <c r="E578" s="47" t="n"/>
      <c r="F578" s="47" t="n"/>
      <c r="G578" s="48" t="n"/>
      <c r="H578" s="49" t="n"/>
      <c r="I578" s="50">
        <f>IF(G578="","",ROUND(G578*H578,2))</f>
        <v/>
      </c>
      <c r="J578" s="50">
        <f>IF(G578="","",G578+N(I578))</f>
        <v/>
      </c>
      <c r="K578" s="45" t="n"/>
      <c r="L578" s="47" t="n"/>
      <c r="M578" s="48" t="n"/>
      <c r="N578" s="49" t="n"/>
      <c r="O578" s="50">
        <f>IF(M578="","",ROUND(M578*N578,2))</f>
        <v/>
      </c>
      <c r="P578" s="50">
        <f>IF(M578="","",M578+N(O578))</f>
        <v/>
      </c>
      <c r="Q578" s="45" t="n"/>
      <c r="R578" s="45" t="n"/>
      <c r="S578" s="51">
        <f>IF(L578="","",IF(COUNTIF(L$6:L578,L578)&gt;1,"",SUMIF(L$6:L$2000,L578,M$6:M$2000)-SUMIF(L$6:L$2000,L578,G$6:G$2000)))</f>
        <v/>
      </c>
      <c r="T578" s="46">
        <f>IF(AND(C578="",G578=""),"",IF(L578="","Nog factureren",IF(AND(G578&lt;&gt;"",OR(K578="",K578&gt;TODAY())),"Nog betalen",IF(OR(R578="",R578&gt;TODAY()),"Wacht op klant","Afgerond"))))</f>
        <v/>
      </c>
    </row>
    <row r="579">
      <c r="A579" s="45" t="n"/>
      <c r="B579" s="46">
        <f>IF(A579="","",YEAR(A579)&amp;" Q"&amp;ROUNDUP(MONTH(A579)/3,0))</f>
        <v/>
      </c>
      <c r="C579" s="47" t="n"/>
      <c r="D579" s="47" t="n"/>
      <c r="E579" s="47" t="n"/>
      <c r="F579" s="47" t="n"/>
      <c r="G579" s="48" t="n"/>
      <c r="H579" s="49" t="n"/>
      <c r="I579" s="50">
        <f>IF(G579="","",ROUND(G579*H579,2))</f>
        <v/>
      </c>
      <c r="J579" s="50">
        <f>IF(G579="","",G579+N(I579))</f>
        <v/>
      </c>
      <c r="K579" s="45" t="n"/>
      <c r="L579" s="47" t="n"/>
      <c r="M579" s="48" t="n"/>
      <c r="N579" s="49" t="n"/>
      <c r="O579" s="50">
        <f>IF(M579="","",ROUND(M579*N579,2))</f>
        <v/>
      </c>
      <c r="P579" s="50">
        <f>IF(M579="","",M579+N(O579))</f>
        <v/>
      </c>
      <c r="Q579" s="45" t="n"/>
      <c r="R579" s="45" t="n"/>
      <c r="S579" s="51">
        <f>IF(L579="","",IF(COUNTIF(L$6:L579,L579)&gt;1,"",SUMIF(L$6:L$2000,L579,M$6:M$2000)-SUMIF(L$6:L$2000,L579,G$6:G$2000)))</f>
        <v/>
      </c>
      <c r="T579" s="46">
        <f>IF(AND(C579="",G579=""),"",IF(L579="","Nog factureren",IF(AND(G579&lt;&gt;"",OR(K579="",K579&gt;TODAY())),"Nog betalen",IF(OR(R579="",R579&gt;TODAY()),"Wacht op klant","Afgerond"))))</f>
        <v/>
      </c>
    </row>
    <row r="580">
      <c r="A580" s="45" t="n"/>
      <c r="B580" s="46">
        <f>IF(A580="","",YEAR(A580)&amp;" Q"&amp;ROUNDUP(MONTH(A580)/3,0))</f>
        <v/>
      </c>
      <c r="C580" s="47" t="n"/>
      <c r="D580" s="47" t="n"/>
      <c r="E580" s="47" t="n"/>
      <c r="F580" s="47" t="n"/>
      <c r="G580" s="48" t="n"/>
      <c r="H580" s="49" t="n"/>
      <c r="I580" s="50">
        <f>IF(G580="","",ROUND(G580*H580,2))</f>
        <v/>
      </c>
      <c r="J580" s="50">
        <f>IF(G580="","",G580+N(I580))</f>
        <v/>
      </c>
      <c r="K580" s="45" t="n"/>
      <c r="L580" s="47" t="n"/>
      <c r="M580" s="48" t="n"/>
      <c r="N580" s="49" t="n"/>
      <c r="O580" s="50">
        <f>IF(M580="","",ROUND(M580*N580,2))</f>
        <v/>
      </c>
      <c r="P580" s="50">
        <f>IF(M580="","",M580+N(O580))</f>
        <v/>
      </c>
      <c r="Q580" s="45" t="n"/>
      <c r="R580" s="45" t="n"/>
      <c r="S580" s="51">
        <f>IF(L580="","",IF(COUNTIF(L$6:L580,L580)&gt;1,"",SUMIF(L$6:L$2000,L580,M$6:M$2000)-SUMIF(L$6:L$2000,L580,G$6:G$2000)))</f>
        <v/>
      </c>
      <c r="T580" s="46">
        <f>IF(AND(C580="",G580=""),"",IF(L580="","Nog factureren",IF(AND(G580&lt;&gt;"",OR(K580="",K580&gt;TODAY())),"Nog betalen",IF(OR(R580="",R580&gt;TODAY()),"Wacht op klant","Afgerond"))))</f>
        <v/>
      </c>
    </row>
    <row r="581">
      <c r="A581" s="45" t="n"/>
      <c r="B581" s="46">
        <f>IF(A581="","",YEAR(A581)&amp;" Q"&amp;ROUNDUP(MONTH(A581)/3,0))</f>
        <v/>
      </c>
      <c r="C581" s="47" t="n"/>
      <c r="D581" s="47" t="n"/>
      <c r="E581" s="47" t="n"/>
      <c r="F581" s="47" t="n"/>
      <c r="G581" s="48" t="n"/>
      <c r="H581" s="49" t="n"/>
      <c r="I581" s="50">
        <f>IF(G581="","",ROUND(G581*H581,2))</f>
        <v/>
      </c>
      <c r="J581" s="50">
        <f>IF(G581="","",G581+N(I581))</f>
        <v/>
      </c>
      <c r="K581" s="45" t="n"/>
      <c r="L581" s="47" t="n"/>
      <c r="M581" s="48" t="n"/>
      <c r="N581" s="49" t="n"/>
      <c r="O581" s="50">
        <f>IF(M581="","",ROUND(M581*N581,2))</f>
        <v/>
      </c>
      <c r="P581" s="50">
        <f>IF(M581="","",M581+N(O581))</f>
        <v/>
      </c>
      <c r="Q581" s="45" t="n"/>
      <c r="R581" s="45" t="n"/>
      <c r="S581" s="51">
        <f>IF(L581="","",IF(COUNTIF(L$6:L581,L581)&gt;1,"",SUMIF(L$6:L$2000,L581,M$6:M$2000)-SUMIF(L$6:L$2000,L581,G$6:G$2000)))</f>
        <v/>
      </c>
      <c r="T581" s="46">
        <f>IF(AND(C581="",G581=""),"",IF(L581="","Nog factureren",IF(AND(G581&lt;&gt;"",OR(K581="",K581&gt;TODAY())),"Nog betalen",IF(OR(R581="",R581&gt;TODAY()),"Wacht op klant","Afgerond"))))</f>
        <v/>
      </c>
    </row>
    <row r="582">
      <c r="A582" s="45" t="n"/>
      <c r="B582" s="46">
        <f>IF(A582="","",YEAR(A582)&amp;" Q"&amp;ROUNDUP(MONTH(A582)/3,0))</f>
        <v/>
      </c>
      <c r="C582" s="47" t="n"/>
      <c r="D582" s="47" t="n"/>
      <c r="E582" s="47" t="n"/>
      <c r="F582" s="47" t="n"/>
      <c r="G582" s="48" t="n"/>
      <c r="H582" s="49" t="n"/>
      <c r="I582" s="50">
        <f>IF(G582="","",ROUND(G582*H582,2))</f>
        <v/>
      </c>
      <c r="J582" s="50">
        <f>IF(G582="","",G582+N(I582))</f>
        <v/>
      </c>
      <c r="K582" s="45" t="n"/>
      <c r="L582" s="47" t="n"/>
      <c r="M582" s="48" t="n"/>
      <c r="N582" s="49" t="n"/>
      <c r="O582" s="50">
        <f>IF(M582="","",ROUND(M582*N582,2))</f>
        <v/>
      </c>
      <c r="P582" s="50">
        <f>IF(M582="","",M582+N(O582))</f>
        <v/>
      </c>
      <c r="Q582" s="45" t="n"/>
      <c r="R582" s="45" t="n"/>
      <c r="S582" s="51">
        <f>IF(L582="","",IF(COUNTIF(L$6:L582,L582)&gt;1,"",SUMIF(L$6:L$2000,L582,M$6:M$2000)-SUMIF(L$6:L$2000,L582,G$6:G$2000)))</f>
        <v/>
      </c>
      <c r="T582" s="46">
        <f>IF(AND(C582="",G582=""),"",IF(L582="","Nog factureren",IF(AND(G582&lt;&gt;"",OR(K582="",K582&gt;TODAY())),"Nog betalen",IF(OR(R582="",R582&gt;TODAY()),"Wacht op klant","Afgerond"))))</f>
        <v/>
      </c>
    </row>
    <row r="583">
      <c r="A583" s="45" t="n"/>
      <c r="B583" s="46">
        <f>IF(A583="","",YEAR(A583)&amp;" Q"&amp;ROUNDUP(MONTH(A583)/3,0))</f>
        <v/>
      </c>
      <c r="C583" s="47" t="n"/>
      <c r="D583" s="47" t="n"/>
      <c r="E583" s="47" t="n"/>
      <c r="F583" s="47" t="n"/>
      <c r="G583" s="48" t="n"/>
      <c r="H583" s="49" t="n"/>
      <c r="I583" s="50">
        <f>IF(G583="","",ROUND(G583*H583,2))</f>
        <v/>
      </c>
      <c r="J583" s="50">
        <f>IF(G583="","",G583+N(I583))</f>
        <v/>
      </c>
      <c r="K583" s="45" t="n"/>
      <c r="L583" s="47" t="n"/>
      <c r="M583" s="48" t="n"/>
      <c r="N583" s="49" t="n"/>
      <c r="O583" s="50">
        <f>IF(M583="","",ROUND(M583*N583,2))</f>
        <v/>
      </c>
      <c r="P583" s="50">
        <f>IF(M583="","",M583+N(O583))</f>
        <v/>
      </c>
      <c r="Q583" s="45" t="n"/>
      <c r="R583" s="45" t="n"/>
      <c r="S583" s="51">
        <f>IF(L583="","",IF(COUNTIF(L$6:L583,L583)&gt;1,"",SUMIF(L$6:L$2000,L583,M$6:M$2000)-SUMIF(L$6:L$2000,L583,G$6:G$2000)))</f>
        <v/>
      </c>
      <c r="T583" s="46">
        <f>IF(AND(C583="",G583=""),"",IF(L583="","Nog factureren",IF(AND(G583&lt;&gt;"",OR(K583="",K583&gt;TODAY())),"Nog betalen",IF(OR(R583="",R583&gt;TODAY()),"Wacht op klant","Afgerond"))))</f>
        <v/>
      </c>
    </row>
    <row r="584">
      <c r="A584" s="45" t="n"/>
      <c r="B584" s="46">
        <f>IF(A584="","",YEAR(A584)&amp;" Q"&amp;ROUNDUP(MONTH(A584)/3,0))</f>
        <v/>
      </c>
      <c r="C584" s="47" t="n"/>
      <c r="D584" s="47" t="n"/>
      <c r="E584" s="47" t="n"/>
      <c r="F584" s="47" t="n"/>
      <c r="G584" s="48" t="n"/>
      <c r="H584" s="49" t="n"/>
      <c r="I584" s="50">
        <f>IF(G584="","",ROUND(G584*H584,2))</f>
        <v/>
      </c>
      <c r="J584" s="50">
        <f>IF(G584="","",G584+N(I584))</f>
        <v/>
      </c>
      <c r="K584" s="45" t="n"/>
      <c r="L584" s="47" t="n"/>
      <c r="M584" s="48" t="n"/>
      <c r="N584" s="49" t="n"/>
      <c r="O584" s="50">
        <f>IF(M584="","",ROUND(M584*N584,2))</f>
        <v/>
      </c>
      <c r="P584" s="50">
        <f>IF(M584="","",M584+N(O584))</f>
        <v/>
      </c>
      <c r="Q584" s="45" t="n"/>
      <c r="R584" s="45" t="n"/>
      <c r="S584" s="51">
        <f>IF(L584="","",IF(COUNTIF(L$6:L584,L584)&gt;1,"",SUMIF(L$6:L$2000,L584,M$6:M$2000)-SUMIF(L$6:L$2000,L584,G$6:G$2000)))</f>
        <v/>
      </c>
      <c r="T584" s="46">
        <f>IF(AND(C584="",G584=""),"",IF(L584="","Nog factureren",IF(AND(G584&lt;&gt;"",OR(K584="",K584&gt;TODAY())),"Nog betalen",IF(OR(R584="",R584&gt;TODAY()),"Wacht op klant","Afgerond"))))</f>
        <v/>
      </c>
    </row>
    <row r="585">
      <c r="A585" s="45" t="n"/>
      <c r="B585" s="46">
        <f>IF(A585="","",YEAR(A585)&amp;" Q"&amp;ROUNDUP(MONTH(A585)/3,0))</f>
        <v/>
      </c>
      <c r="C585" s="47" t="n"/>
      <c r="D585" s="47" t="n"/>
      <c r="E585" s="47" t="n"/>
      <c r="F585" s="47" t="n"/>
      <c r="G585" s="48" t="n"/>
      <c r="H585" s="49" t="n"/>
      <c r="I585" s="50">
        <f>IF(G585="","",ROUND(G585*H585,2))</f>
        <v/>
      </c>
      <c r="J585" s="50">
        <f>IF(G585="","",G585+N(I585))</f>
        <v/>
      </c>
      <c r="K585" s="45" t="n"/>
      <c r="L585" s="47" t="n"/>
      <c r="M585" s="48" t="n"/>
      <c r="N585" s="49" t="n"/>
      <c r="O585" s="50">
        <f>IF(M585="","",ROUND(M585*N585,2))</f>
        <v/>
      </c>
      <c r="P585" s="50">
        <f>IF(M585="","",M585+N(O585))</f>
        <v/>
      </c>
      <c r="Q585" s="45" t="n"/>
      <c r="R585" s="45" t="n"/>
      <c r="S585" s="51">
        <f>IF(L585="","",IF(COUNTIF(L$6:L585,L585)&gt;1,"",SUMIF(L$6:L$2000,L585,M$6:M$2000)-SUMIF(L$6:L$2000,L585,G$6:G$2000)))</f>
        <v/>
      </c>
      <c r="T585" s="46">
        <f>IF(AND(C585="",G585=""),"",IF(L585="","Nog factureren",IF(AND(G585&lt;&gt;"",OR(K585="",K585&gt;TODAY())),"Nog betalen",IF(OR(R585="",R585&gt;TODAY()),"Wacht op klant","Afgerond"))))</f>
        <v/>
      </c>
    </row>
    <row r="586">
      <c r="A586" s="45" t="n"/>
      <c r="B586" s="46">
        <f>IF(A586="","",YEAR(A586)&amp;" Q"&amp;ROUNDUP(MONTH(A586)/3,0))</f>
        <v/>
      </c>
      <c r="C586" s="47" t="n"/>
      <c r="D586" s="47" t="n"/>
      <c r="E586" s="47" t="n"/>
      <c r="F586" s="47" t="n"/>
      <c r="G586" s="48" t="n"/>
      <c r="H586" s="49" t="n"/>
      <c r="I586" s="50">
        <f>IF(G586="","",ROUND(G586*H586,2))</f>
        <v/>
      </c>
      <c r="J586" s="50">
        <f>IF(G586="","",G586+N(I586))</f>
        <v/>
      </c>
      <c r="K586" s="45" t="n"/>
      <c r="L586" s="47" t="n"/>
      <c r="M586" s="48" t="n"/>
      <c r="N586" s="49" t="n"/>
      <c r="O586" s="50">
        <f>IF(M586="","",ROUND(M586*N586,2))</f>
        <v/>
      </c>
      <c r="P586" s="50">
        <f>IF(M586="","",M586+N(O586))</f>
        <v/>
      </c>
      <c r="Q586" s="45" t="n"/>
      <c r="R586" s="45" t="n"/>
      <c r="S586" s="51">
        <f>IF(L586="","",IF(COUNTIF(L$6:L586,L586)&gt;1,"",SUMIF(L$6:L$2000,L586,M$6:M$2000)-SUMIF(L$6:L$2000,L586,G$6:G$2000)))</f>
        <v/>
      </c>
      <c r="T586" s="46">
        <f>IF(AND(C586="",G586=""),"",IF(L586="","Nog factureren",IF(AND(G586&lt;&gt;"",OR(K586="",K586&gt;TODAY())),"Nog betalen",IF(OR(R586="",R586&gt;TODAY()),"Wacht op klant","Afgerond"))))</f>
        <v/>
      </c>
    </row>
    <row r="587">
      <c r="A587" s="45" t="n"/>
      <c r="B587" s="46">
        <f>IF(A587="","",YEAR(A587)&amp;" Q"&amp;ROUNDUP(MONTH(A587)/3,0))</f>
        <v/>
      </c>
      <c r="C587" s="47" t="n"/>
      <c r="D587" s="47" t="n"/>
      <c r="E587" s="47" t="n"/>
      <c r="F587" s="47" t="n"/>
      <c r="G587" s="48" t="n"/>
      <c r="H587" s="49" t="n"/>
      <c r="I587" s="50">
        <f>IF(G587="","",ROUND(G587*H587,2))</f>
        <v/>
      </c>
      <c r="J587" s="50">
        <f>IF(G587="","",G587+N(I587))</f>
        <v/>
      </c>
      <c r="K587" s="45" t="n"/>
      <c r="L587" s="47" t="n"/>
      <c r="M587" s="48" t="n"/>
      <c r="N587" s="49" t="n"/>
      <c r="O587" s="50">
        <f>IF(M587="","",ROUND(M587*N587,2))</f>
        <v/>
      </c>
      <c r="P587" s="50">
        <f>IF(M587="","",M587+N(O587))</f>
        <v/>
      </c>
      <c r="Q587" s="45" t="n"/>
      <c r="R587" s="45" t="n"/>
      <c r="S587" s="51">
        <f>IF(L587="","",IF(COUNTIF(L$6:L587,L587)&gt;1,"",SUMIF(L$6:L$2000,L587,M$6:M$2000)-SUMIF(L$6:L$2000,L587,G$6:G$2000)))</f>
        <v/>
      </c>
      <c r="T587" s="46">
        <f>IF(AND(C587="",G587=""),"",IF(L587="","Nog factureren",IF(AND(G587&lt;&gt;"",OR(K587="",K587&gt;TODAY())),"Nog betalen",IF(OR(R587="",R587&gt;TODAY()),"Wacht op klant","Afgerond"))))</f>
        <v/>
      </c>
    </row>
    <row r="588">
      <c r="A588" s="45" t="n"/>
      <c r="B588" s="46">
        <f>IF(A588="","",YEAR(A588)&amp;" Q"&amp;ROUNDUP(MONTH(A588)/3,0))</f>
        <v/>
      </c>
      <c r="C588" s="47" t="n"/>
      <c r="D588" s="47" t="n"/>
      <c r="E588" s="47" t="n"/>
      <c r="F588" s="47" t="n"/>
      <c r="G588" s="48" t="n"/>
      <c r="H588" s="49" t="n"/>
      <c r="I588" s="50">
        <f>IF(G588="","",ROUND(G588*H588,2))</f>
        <v/>
      </c>
      <c r="J588" s="50">
        <f>IF(G588="","",G588+N(I588))</f>
        <v/>
      </c>
      <c r="K588" s="45" t="n"/>
      <c r="L588" s="47" t="n"/>
      <c r="M588" s="48" t="n"/>
      <c r="N588" s="49" t="n"/>
      <c r="O588" s="50">
        <f>IF(M588="","",ROUND(M588*N588,2))</f>
        <v/>
      </c>
      <c r="P588" s="50">
        <f>IF(M588="","",M588+N(O588))</f>
        <v/>
      </c>
      <c r="Q588" s="45" t="n"/>
      <c r="R588" s="45" t="n"/>
      <c r="S588" s="51">
        <f>IF(L588="","",IF(COUNTIF(L$6:L588,L588)&gt;1,"",SUMIF(L$6:L$2000,L588,M$6:M$2000)-SUMIF(L$6:L$2000,L588,G$6:G$2000)))</f>
        <v/>
      </c>
      <c r="T588" s="46">
        <f>IF(AND(C588="",G588=""),"",IF(L588="","Nog factureren",IF(AND(G588&lt;&gt;"",OR(K588="",K588&gt;TODAY())),"Nog betalen",IF(OR(R588="",R588&gt;TODAY()),"Wacht op klant","Afgerond"))))</f>
        <v/>
      </c>
    </row>
    <row r="589">
      <c r="A589" s="45" t="n"/>
      <c r="B589" s="46">
        <f>IF(A589="","",YEAR(A589)&amp;" Q"&amp;ROUNDUP(MONTH(A589)/3,0))</f>
        <v/>
      </c>
      <c r="C589" s="47" t="n"/>
      <c r="D589" s="47" t="n"/>
      <c r="E589" s="47" t="n"/>
      <c r="F589" s="47" t="n"/>
      <c r="G589" s="48" t="n"/>
      <c r="H589" s="49" t="n"/>
      <c r="I589" s="50">
        <f>IF(G589="","",ROUND(G589*H589,2))</f>
        <v/>
      </c>
      <c r="J589" s="50">
        <f>IF(G589="","",G589+N(I589))</f>
        <v/>
      </c>
      <c r="K589" s="45" t="n"/>
      <c r="L589" s="47" t="n"/>
      <c r="M589" s="48" t="n"/>
      <c r="N589" s="49" t="n"/>
      <c r="O589" s="50">
        <f>IF(M589="","",ROUND(M589*N589,2))</f>
        <v/>
      </c>
      <c r="P589" s="50">
        <f>IF(M589="","",M589+N(O589))</f>
        <v/>
      </c>
      <c r="Q589" s="45" t="n"/>
      <c r="R589" s="45" t="n"/>
      <c r="S589" s="51">
        <f>IF(L589="","",IF(COUNTIF(L$6:L589,L589)&gt;1,"",SUMIF(L$6:L$2000,L589,M$6:M$2000)-SUMIF(L$6:L$2000,L589,G$6:G$2000)))</f>
        <v/>
      </c>
      <c r="T589" s="46">
        <f>IF(AND(C589="",G589=""),"",IF(L589="","Nog factureren",IF(AND(G589&lt;&gt;"",OR(K589="",K589&gt;TODAY())),"Nog betalen",IF(OR(R589="",R589&gt;TODAY()),"Wacht op klant","Afgerond"))))</f>
        <v/>
      </c>
    </row>
    <row r="590">
      <c r="A590" s="45" t="n"/>
      <c r="B590" s="46">
        <f>IF(A590="","",YEAR(A590)&amp;" Q"&amp;ROUNDUP(MONTH(A590)/3,0))</f>
        <v/>
      </c>
      <c r="C590" s="47" t="n"/>
      <c r="D590" s="47" t="n"/>
      <c r="E590" s="47" t="n"/>
      <c r="F590" s="47" t="n"/>
      <c r="G590" s="48" t="n"/>
      <c r="H590" s="49" t="n"/>
      <c r="I590" s="50">
        <f>IF(G590="","",ROUND(G590*H590,2))</f>
        <v/>
      </c>
      <c r="J590" s="50">
        <f>IF(G590="","",G590+N(I590))</f>
        <v/>
      </c>
      <c r="K590" s="45" t="n"/>
      <c r="L590" s="47" t="n"/>
      <c r="M590" s="48" t="n"/>
      <c r="N590" s="49" t="n"/>
      <c r="O590" s="50">
        <f>IF(M590="","",ROUND(M590*N590,2))</f>
        <v/>
      </c>
      <c r="P590" s="50">
        <f>IF(M590="","",M590+N(O590))</f>
        <v/>
      </c>
      <c r="Q590" s="45" t="n"/>
      <c r="R590" s="45" t="n"/>
      <c r="S590" s="51">
        <f>IF(L590="","",IF(COUNTIF(L$6:L590,L590)&gt;1,"",SUMIF(L$6:L$2000,L590,M$6:M$2000)-SUMIF(L$6:L$2000,L590,G$6:G$2000)))</f>
        <v/>
      </c>
      <c r="T590" s="46">
        <f>IF(AND(C590="",G590=""),"",IF(L590="","Nog factureren",IF(AND(G590&lt;&gt;"",OR(K590="",K590&gt;TODAY())),"Nog betalen",IF(OR(R590="",R590&gt;TODAY()),"Wacht op klant","Afgerond"))))</f>
        <v/>
      </c>
    </row>
    <row r="591">
      <c r="A591" s="45" t="n"/>
      <c r="B591" s="46">
        <f>IF(A591="","",YEAR(A591)&amp;" Q"&amp;ROUNDUP(MONTH(A591)/3,0))</f>
        <v/>
      </c>
      <c r="C591" s="47" t="n"/>
      <c r="D591" s="47" t="n"/>
      <c r="E591" s="47" t="n"/>
      <c r="F591" s="47" t="n"/>
      <c r="G591" s="48" t="n"/>
      <c r="H591" s="49" t="n"/>
      <c r="I591" s="50">
        <f>IF(G591="","",ROUND(G591*H591,2))</f>
        <v/>
      </c>
      <c r="J591" s="50">
        <f>IF(G591="","",G591+N(I591))</f>
        <v/>
      </c>
      <c r="K591" s="45" t="n"/>
      <c r="L591" s="47" t="n"/>
      <c r="M591" s="48" t="n"/>
      <c r="N591" s="49" t="n"/>
      <c r="O591" s="50">
        <f>IF(M591="","",ROUND(M591*N591,2))</f>
        <v/>
      </c>
      <c r="P591" s="50">
        <f>IF(M591="","",M591+N(O591))</f>
        <v/>
      </c>
      <c r="Q591" s="45" t="n"/>
      <c r="R591" s="45" t="n"/>
      <c r="S591" s="51">
        <f>IF(L591="","",IF(COUNTIF(L$6:L591,L591)&gt;1,"",SUMIF(L$6:L$2000,L591,M$6:M$2000)-SUMIF(L$6:L$2000,L591,G$6:G$2000)))</f>
        <v/>
      </c>
      <c r="T591" s="46">
        <f>IF(AND(C591="",G591=""),"",IF(L591="","Nog factureren",IF(AND(G591&lt;&gt;"",OR(K591="",K591&gt;TODAY())),"Nog betalen",IF(OR(R591="",R591&gt;TODAY()),"Wacht op klant","Afgerond"))))</f>
        <v/>
      </c>
    </row>
    <row r="592">
      <c r="A592" s="45" t="n"/>
      <c r="B592" s="46">
        <f>IF(A592="","",YEAR(A592)&amp;" Q"&amp;ROUNDUP(MONTH(A592)/3,0))</f>
        <v/>
      </c>
      <c r="C592" s="47" t="n"/>
      <c r="D592" s="47" t="n"/>
      <c r="E592" s="47" t="n"/>
      <c r="F592" s="47" t="n"/>
      <c r="G592" s="48" t="n"/>
      <c r="H592" s="49" t="n"/>
      <c r="I592" s="50">
        <f>IF(G592="","",ROUND(G592*H592,2))</f>
        <v/>
      </c>
      <c r="J592" s="50">
        <f>IF(G592="","",G592+N(I592))</f>
        <v/>
      </c>
      <c r="K592" s="45" t="n"/>
      <c r="L592" s="47" t="n"/>
      <c r="M592" s="48" t="n"/>
      <c r="N592" s="49" t="n"/>
      <c r="O592" s="50">
        <f>IF(M592="","",ROUND(M592*N592,2))</f>
        <v/>
      </c>
      <c r="P592" s="50">
        <f>IF(M592="","",M592+N(O592))</f>
        <v/>
      </c>
      <c r="Q592" s="45" t="n"/>
      <c r="R592" s="45" t="n"/>
      <c r="S592" s="51">
        <f>IF(L592="","",IF(COUNTIF(L$6:L592,L592)&gt;1,"",SUMIF(L$6:L$2000,L592,M$6:M$2000)-SUMIF(L$6:L$2000,L592,G$6:G$2000)))</f>
        <v/>
      </c>
      <c r="T592" s="46">
        <f>IF(AND(C592="",G592=""),"",IF(L592="","Nog factureren",IF(AND(G592&lt;&gt;"",OR(K592="",K592&gt;TODAY())),"Nog betalen",IF(OR(R592="",R592&gt;TODAY()),"Wacht op klant","Afgerond"))))</f>
        <v/>
      </c>
    </row>
    <row r="593">
      <c r="A593" s="45" t="n"/>
      <c r="B593" s="46">
        <f>IF(A593="","",YEAR(A593)&amp;" Q"&amp;ROUNDUP(MONTH(A593)/3,0))</f>
        <v/>
      </c>
      <c r="C593" s="47" t="n"/>
      <c r="D593" s="47" t="n"/>
      <c r="E593" s="47" t="n"/>
      <c r="F593" s="47" t="n"/>
      <c r="G593" s="48" t="n"/>
      <c r="H593" s="49" t="n"/>
      <c r="I593" s="50">
        <f>IF(G593="","",ROUND(G593*H593,2))</f>
        <v/>
      </c>
      <c r="J593" s="50">
        <f>IF(G593="","",G593+N(I593))</f>
        <v/>
      </c>
      <c r="K593" s="45" t="n"/>
      <c r="L593" s="47" t="n"/>
      <c r="M593" s="48" t="n"/>
      <c r="N593" s="49" t="n"/>
      <c r="O593" s="50">
        <f>IF(M593="","",ROUND(M593*N593,2))</f>
        <v/>
      </c>
      <c r="P593" s="50">
        <f>IF(M593="","",M593+N(O593))</f>
        <v/>
      </c>
      <c r="Q593" s="45" t="n"/>
      <c r="R593" s="45" t="n"/>
      <c r="S593" s="51">
        <f>IF(L593="","",IF(COUNTIF(L$6:L593,L593)&gt;1,"",SUMIF(L$6:L$2000,L593,M$6:M$2000)-SUMIF(L$6:L$2000,L593,G$6:G$2000)))</f>
        <v/>
      </c>
      <c r="T593" s="46">
        <f>IF(AND(C593="",G593=""),"",IF(L593="","Nog factureren",IF(AND(G593&lt;&gt;"",OR(K593="",K593&gt;TODAY())),"Nog betalen",IF(OR(R593="",R593&gt;TODAY()),"Wacht op klant","Afgerond"))))</f>
        <v/>
      </c>
    </row>
    <row r="594">
      <c r="A594" s="45" t="n"/>
      <c r="B594" s="46">
        <f>IF(A594="","",YEAR(A594)&amp;" Q"&amp;ROUNDUP(MONTH(A594)/3,0))</f>
        <v/>
      </c>
      <c r="C594" s="47" t="n"/>
      <c r="D594" s="47" t="n"/>
      <c r="E594" s="47" t="n"/>
      <c r="F594" s="47" t="n"/>
      <c r="G594" s="48" t="n"/>
      <c r="H594" s="49" t="n"/>
      <c r="I594" s="50">
        <f>IF(G594="","",ROUND(G594*H594,2))</f>
        <v/>
      </c>
      <c r="J594" s="50">
        <f>IF(G594="","",G594+N(I594))</f>
        <v/>
      </c>
      <c r="K594" s="45" t="n"/>
      <c r="L594" s="47" t="n"/>
      <c r="M594" s="48" t="n"/>
      <c r="N594" s="49" t="n"/>
      <c r="O594" s="50">
        <f>IF(M594="","",ROUND(M594*N594,2))</f>
        <v/>
      </c>
      <c r="P594" s="50">
        <f>IF(M594="","",M594+N(O594))</f>
        <v/>
      </c>
      <c r="Q594" s="45" t="n"/>
      <c r="R594" s="45" t="n"/>
      <c r="S594" s="51">
        <f>IF(L594="","",IF(COUNTIF(L$6:L594,L594)&gt;1,"",SUMIF(L$6:L$2000,L594,M$6:M$2000)-SUMIF(L$6:L$2000,L594,G$6:G$2000)))</f>
        <v/>
      </c>
      <c r="T594" s="46">
        <f>IF(AND(C594="",G594=""),"",IF(L594="","Nog factureren",IF(AND(G594&lt;&gt;"",OR(K594="",K594&gt;TODAY())),"Nog betalen",IF(OR(R594="",R594&gt;TODAY()),"Wacht op klant","Afgerond"))))</f>
        <v/>
      </c>
    </row>
    <row r="595">
      <c r="A595" s="45" t="n"/>
      <c r="B595" s="46">
        <f>IF(A595="","",YEAR(A595)&amp;" Q"&amp;ROUNDUP(MONTH(A595)/3,0))</f>
        <v/>
      </c>
      <c r="C595" s="47" t="n"/>
      <c r="D595" s="47" t="n"/>
      <c r="E595" s="47" t="n"/>
      <c r="F595" s="47" t="n"/>
      <c r="G595" s="48" t="n"/>
      <c r="H595" s="49" t="n"/>
      <c r="I595" s="50">
        <f>IF(G595="","",ROUND(G595*H595,2))</f>
        <v/>
      </c>
      <c r="J595" s="50">
        <f>IF(G595="","",G595+N(I595))</f>
        <v/>
      </c>
      <c r="K595" s="45" t="n"/>
      <c r="L595" s="47" t="n"/>
      <c r="M595" s="48" t="n"/>
      <c r="N595" s="49" t="n"/>
      <c r="O595" s="50">
        <f>IF(M595="","",ROUND(M595*N595,2))</f>
        <v/>
      </c>
      <c r="P595" s="50">
        <f>IF(M595="","",M595+N(O595))</f>
        <v/>
      </c>
      <c r="Q595" s="45" t="n"/>
      <c r="R595" s="45" t="n"/>
      <c r="S595" s="51">
        <f>IF(L595="","",IF(COUNTIF(L$6:L595,L595)&gt;1,"",SUMIF(L$6:L$2000,L595,M$6:M$2000)-SUMIF(L$6:L$2000,L595,G$6:G$2000)))</f>
        <v/>
      </c>
      <c r="T595" s="46">
        <f>IF(AND(C595="",G595=""),"",IF(L595="","Nog factureren",IF(AND(G595&lt;&gt;"",OR(K595="",K595&gt;TODAY())),"Nog betalen",IF(OR(R595="",R595&gt;TODAY()),"Wacht op klant","Afgerond"))))</f>
        <v/>
      </c>
    </row>
    <row r="596">
      <c r="A596" s="45" t="n"/>
      <c r="B596" s="46">
        <f>IF(A596="","",YEAR(A596)&amp;" Q"&amp;ROUNDUP(MONTH(A596)/3,0))</f>
        <v/>
      </c>
      <c r="C596" s="47" t="n"/>
      <c r="D596" s="47" t="n"/>
      <c r="E596" s="47" t="n"/>
      <c r="F596" s="47" t="n"/>
      <c r="G596" s="48" t="n"/>
      <c r="H596" s="49" t="n"/>
      <c r="I596" s="50">
        <f>IF(G596="","",ROUND(G596*H596,2))</f>
        <v/>
      </c>
      <c r="J596" s="50">
        <f>IF(G596="","",G596+N(I596))</f>
        <v/>
      </c>
      <c r="K596" s="45" t="n"/>
      <c r="L596" s="47" t="n"/>
      <c r="M596" s="48" t="n"/>
      <c r="N596" s="49" t="n"/>
      <c r="O596" s="50">
        <f>IF(M596="","",ROUND(M596*N596,2))</f>
        <v/>
      </c>
      <c r="P596" s="50">
        <f>IF(M596="","",M596+N(O596))</f>
        <v/>
      </c>
      <c r="Q596" s="45" t="n"/>
      <c r="R596" s="45" t="n"/>
      <c r="S596" s="51">
        <f>IF(L596="","",IF(COUNTIF(L$6:L596,L596)&gt;1,"",SUMIF(L$6:L$2000,L596,M$6:M$2000)-SUMIF(L$6:L$2000,L596,G$6:G$2000)))</f>
        <v/>
      </c>
      <c r="T596" s="46">
        <f>IF(AND(C596="",G596=""),"",IF(L596="","Nog factureren",IF(AND(G596&lt;&gt;"",OR(K596="",K596&gt;TODAY())),"Nog betalen",IF(OR(R596="",R596&gt;TODAY()),"Wacht op klant","Afgerond"))))</f>
        <v/>
      </c>
    </row>
    <row r="597">
      <c r="A597" s="45" t="n"/>
      <c r="B597" s="46">
        <f>IF(A597="","",YEAR(A597)&amp;" Q"&amp;ROUNDUP(MONTH(A597)/3,0))</f>
        <v/>
      </c>
      <c r="C597" s="47" t="n"/>
      <c r="D597" s="47" t="n"/>
      <c r="E597" s="47" t="n"/>
      <c r="F597" s="47" t="n"/>
      <c r="G597" s="48" t="n"/>
      <c r="H597" s="49" t="n"/>
      <c r="I597" s="50">
        <f>IF(G597="","",ROUND(G597*H597,2))</f>
        <v/>
      </c>
      <c r="J597" s="50">
        <f>IF(G597="","",G597+N(I597))</f>
        <v/>
      </c>
      <c r="K597" s="45" t="n"/>
      <c r="L597" s="47" t="n"/>
      <c r="M597" s="48" t="n"/>
      <c r="N597" s="49" t="n"/>
      <c r="O597" s="50">
        <f>IF(M597="","",ROUND(M597*N597,2))</f>
        <v/>
      </c>
      <c r="P597" s="50">
        <f>IF(M597="","",M597+N(O597))</f>
        <v/>
      </c>
      <c r="Q597" s="45" t="n"/>
      <c r="R597" s="45" t="n"/>
      <c r="S597" s="51">
        <f>IF(L597="","",IF(COUNTIF(L$6:L597,L597)&gt;1,"",SUMIF(L$6:L$2000,L597,M$6:M$2000)-SUMIF(L$6:L$2000,L597,G$6:G$2000)))</f>
        <v/>
      </c>
      <c r="T597" s="46">
        <f>IF(AND(C597="",G597=""),"",IF(L597="","Nog factureren",IF(AND(G597&lt;&gt;"",OR(K597="",K597&gt;TODAY())),"Nog betalen",IF(OR(R597="",R597&gt;TODAY()),"Wacht op klant","Afgerond"))))</f>
        <v/>
      </c>
    </row>
    <row r="598">
      <c r="A598" s="45" t="n"/>
      <c r="B598" s="46">
        <f>IF(A598="","",YEAR(A598)&amp;" Q"&amp;ROUNDUP(MONTH(A598)/3,0))</f>
        <v/>
      </c>
      <c r="C598" s="47" t="n"/>
      <c r="D598" s="47" t="n"/>
      <c r="E598" s="47" t="n"/>
      <c r="F598" s="47" t="n"/>
      <c r="G598" s="48" t="n"/>
      <c r="H598" s="49" t="n"/>
      <c r="I598" s="50">
        <f>IF(G598="","",ROUND(G598*H598,2))</f>
        <v/>
      </c>
      <c r="J598" s="50">
        <f>IF(G598="","",G598+N(I598))</f>
        <v/>
      </c>
      <c r="K598" s="45" t="n"/>
      <c r="L598" s="47" t="n"/>
      <c r="M598" s="48" t="n"/>
      <c r="N598" s="49" t="n"/>
      <c r="O598" s="50">
        <f>IF(M598="","",ROUND(M598*N598,2))</f>
        <v/>
      </c>
      <c r="P598" s="50">
        <f>IF(M598="","",M598+N(O598))</f>
        <v/>
      </c>
      <c r="Q598" s="45" t="n"/>
      <c r="R598" s="45" t="n"/>
      <c r="S598" s="51">
        <f>IF(L598="","",IF(COUNTIF(L$6:L598,L598)&gt;1,"",SUMIF(L$6:L$2000,L598,M$6:M$2000)-SUMIF(L$6:L$2000,L598,G$6:G$2000)))</f>
        <v/>
      </c>
      <c r="T598" s="46">
        <f>IF(AND(C598="",G598=""),"",IF(L598="","Nog factureren",IF(AND(G598&lt;&gt;"",OR(K598="",K598&gt;TODAY())),"Nog betalen",IF(OR(R598="",R598&gt;TODAY()),"Wacht op klant","Afgerond"))))</f>
        <v/>
      </c>
    </row>
    <row r="599">
      <c r="A599" s="45" t="n"/>
      <c r="B599" s="46">
        <f>IF(A599="","",YEAR(A599)&amp;" Q"&amp;ROUNDUP(MONTH(A599)/3,0))</f>
        <v/>
      </c>
      <c r="C599" s="47" t="n"/>
      <c r="D599" s="47" t="n"/>
      <c r="E599" s="47" t="n"/>
      <c r="F599" s="47" t="n"/>
      <c r="G599" s="48" t="n"/>
      <c r="H599" s="49" t="n"/>
      <c r="I599" s="50">
        <f>IF(G599="","",ROUND(G599*H599,2))</f>
        <v/>
      </c>
      <c r="J599" s="50">
        <f>IF(G599="","",G599+N(I599))</f>
        <v/>
      </c>
      <c r="K599" s="45" t="n"/>
      <c r="L599" s="47" t="n"/>
      <c r="M599" s="48" t="n"/>
      <c r="N599" s="49" t="n"/>
      <c r="O599" s="50">
        <f>IF(M599="","",ROUND(M599*N599,2))</f>
        <v/>
      </c>
      <c r="P599" s="50">
        <f>IF(M599="","",M599+N(O599))</f>
        <v/>
      </c>
      <c r="Q599" s="45" t="n"/>
      <c r="R599" s="45" t="n"/>
      <c r="S599" s="51">
        <f>IF(L599="","",IF(COUNTIF(L$6:L599,L599)&gt;1,"",SUMIF(L$6:L$2000,L599,M$6:M$2000)-SUMIF(L$6:L$2000,L599,G$6:G$2000)))</f>
        <v/>
      </c>
      <c r="T599" s="46">
        <f>IF(AND(C599="",G599=""),"",IF(L599="","Nog factureren",IF(AND(G599&lt;&gt;"",OR(K599="",K599&gt;TODAY())),"Nog betalen",IF(OR(R599="",R599&gt;TODAY()),"Wacht op klant","Afgerond"))))</f>
        <v/>
      </c>
    </row>
    <row r="600">
      <c r="A600" s="45" t="n"/>
      <c r="B600" s="46">
        <f>IF(A600="","",YEAR(A600)&amp;" Q"&amp;ROUNDUP(MONTH(A600)/3,0))</f>
        <v/>
      </c>
      <c r="C600" s="47" t="n"/>
      <c r="D600" s="47" t="n"/>
      <c r="E600" s="47" t="n"/>
      <c r="F600" s="47" t="n"/>
      <c r="G600" s="48" t="n"/>
      <c r="H600" s="49" t="n"/>
      <c r="I600" s="50">
        <f>IF(G600="","",ROUND(G600*H600,2))</f>
        <v/>
      </c>
      <c r="J600" s="50">
        <f>IF(G600="","",G600+N(I600))</f>
        <v/>
      </c>
      <c r="K600" s="45" t="n"/>
      <c r="L600" s="47" t="n"/>
      <c r="M600" s="48" t="n"/>
      <c r="N600" s="49" t="n"/>
      <c r="O600" s="50">
        <f>IF(M600="","",ROUND(M600*N600,2))</f>
        <v/>
      </c>
      <c r="P600" s="50">
        <f>IF(M600="","",M600+N(O600))</f>
        <v/>
      </c>
      <c r="Q600" s="45" t="n"/>
      <c r="R600" s="45" t="n"/>
      <c r="S600" s="51">
        <f>IF(L600="","",IF(COUNTIF(L$6:L600,L600)&gt;1,"",SUMIF(L$6:L$2000,L600,M$6:M$2000)-SUMIF(L$6:L$2000,L600,G$6:G$2000)))</f>
        <v/>
      </c>
      <c r="T600" s="46">
        <f>IF(AND(C600="",G600=""),"",IF(L600="","Nog factureren",IF(AND(G600&lt;&gt;"",OR(K600="",K600&gt;TODAY())),"Nog betalen",IF(OR(R600="",R600&gt;TODAY()),"Wacht op klant","Afgerond"))))</f>
        <v/>
      </c>
    </row>
    <row r="601">
      <c r="A601" s="45" t="n"/>
      <c r="B601" s="46">
        <f>IF(A601="","",YEAR(A601)&amp;" Q"&amp;ROUNDUP(MONTH(A601)/3,0))</f>
        <v/>
      </c>
      <c r="C601" s="47" t="n"/>
      <c r="D601" s="47" t="n"/>
      <c r="E601" s="47" t="n"/>
      <c r="F601" s="47" t="n"/>
      <c r="G601" s="48" t="n"/>
      <c r="H601" s="49" t="n"/>
      <c r="I601" s="50">
        <f>IF(G601="","",ROUND(G601*H601,2))</f>
        <v/>
      </c>
      <c r="J601" s="50">
        <f>IF(G601="","",G601+N(I601))</f>
        <v/>
      </c>
      <c r="K601" s="45" t="n"/>
      <c r="L601" s="47" t="n"/>
      <c r="M601" s="48" t="n"/>
      <c r="N601" s="49" t="n"/>
      <c r="O601" s="50">
        <f>IF(M601="","",ROUND(M601*N601,2))</f>
        <v/>
      </c>
      <c r="P601" s="50">
        <f>IF(M601="","",M601+N(O601))</f>
        <v/>
      </c>
      <c r="Q601" s="45" t="n"/>
      <c r="R601" s="45" t="n"/>
      <c r="S601" s="51">
        <f>IF(L601="","",IF(COUNTIF(L$6:L601,L601)&gt;1,"",SUMIF(L$6:L$2000,L601,M$6:M$2000)-SUMIF(L$6:L$2000,L601,G$6:G$2000)))</f>
        <v/>
      </c>
      <c r="T601" s="46">
        <f>IF(AND(C601="",G601=""),"",IF(L601="","Nog factureren",IF(AND(G601&lt;&gt;"",OR(K601="",K601&gt;TODAY())),"Nog betalen",IF(OR(R601="",R601&gt;TODAY()),"Wacht op klant","Afgerond"))))</f>
        <v/>
      </c>
    </row>
    <row r="602">
      <c r="A602" s="45" t="n"/>
      <c r="B602" s="46">
        <f>IF(A602="","",YEAR(A602)&amp;" Q"&amp;ROUNDUP(MONTH(A602)/3,0))</f>
        <v/>
      </c>
      <c r="C602" s="47" t="n"/>
      <c r="D602" s="47" t="n"/>
      <c r="E602" s="47" t="n"/>
      <c r="F602" s="47" t="n"/>
      <c r="G602" s="48" t="n"/>
      <c r="H602" s="49" t="n"/>
      <c r="I602" s="50">
        <f>IF(G602="","",ROUND(G602*H602,2))</f>
        <v/>
      </c>
      <c r="J602" s="50">
        <f>IF(G602="","",G602+N(I602))</f>
        <v/>
      </c>
      <c r="K602" s="45" t="n"/>
      <c r="L602" s="47" t="n"/>
      <c r="M602" s="48" t="n"/>
      <c r="N602" s="49" t="n"/>
      <c r="O602" s="50">
        <f>IF(M602="","",ROUND(M602*N602,2))</f>
        <v/>
      </c>
      <c r="P602" s="50">
        <f>IF(M602="","",M602+N(O602))</f>
        <v/>
      </c>
      <c r="Q602" s="45" t="n"/>
      <c r="R602" s="45" t="n"/>
      <c r="S602" s="51">
        <f>IF(L602="","",IF(COUNTIF(L$6:L602,L602)&gt;1,"",SUMIF(L$6:L$2000,L602,M$6:M$2000)-SUMIF(L$6:L$2000,L602,G$6:G$2000)))</f>
        <v/>
      </c>
      <c r="T602" s="46">
        <f>IF(AND(C602="",G602=""),"",IF(L602="","Nog factureren",IF(AND(G602&lt;&gt;"",OR(K602="",K602&gt;TODAY())),"Nog betalen",IF(OR(R602="",R602&gt;TODAY()),"Wacht op klant","Afgerond"))))</f>
        <v/>
      </c>
    </row>
    <row r="603">
      <c r="A603" s="45" t="n"/>
      <c r="B603" s="46">
        <f>IF(A603="","",YEAR(A603)&amp;" Q"&amp;ROUNDUP(MONTH(A603)/3,0))</f>
        <v/>
      </c>
      <c r="C603" s="47" t="n"/>
      <c r="D603" s="47" t="n"/>
      <c r="E603" s="47" t="n"/>
      <c r="F603" s="47" t="n"/>
      <c r="G603" s="48" t="n"/>
      <c r="H603" s="49" t="n"/>
      <c r="I603" s="50">
        <f>IF(G603="","",ROUND(G603*H603,2))</f>
        <v/>
      </c>
      <c r="J603" s="50">
        <f>IF(G603="","",G603+N(I603))</f>
        <v/>
      </c>
      <c r="K603" s="45" t="n"/>
      <c r="L603" s="47" t="n"/>
      <c r="M603" s="48" t="n"/>
      <c r="N603" s="49" t="n"/>
      <c r="O603" s="50">
        <f>IF(M603="","",ROUND(M603*N603,2))</f>
        <v/>
      </c>
      <c r="P603" s="50">
        <f>IF(M603="","",M603+N(O603))</f>
        <v/>
      </c>
      <c r="Q603" s="45" t="n"/>
      <c r="R603" s="45" t="n"/>
      <c r="S603" s="51">
        <f>IF(L603="","",IF(COUNTIF(L$6:L603,L603)&gt;1,"",SUMIF(L$6:L$2000,L603,M$6:M$2000)-SUMIF(L$6:L$2000,L603,G$6:G$2000)))</f>
        <v/>
      </c>
      <c r="T603" s="46">
        <f>IF(AND(C603="",G603=""),"",IF(L603="","Nog factureren",IF(AND(G603&lt;&gt;"",OR(K603="",K603&gt;TODAY())),"Nog betalen",IF(OR(R603="",R603&gt;TODAY()),"Wacht op klant","Afgerond"))))</f>
        <v/>
      </c>
    </row>
    <row r="604">
      <c r="A604" s="45" t="n"/>
      <c r="B604" s="46">
        <f>IF(A604="","",YEAR(A604)&amp;" Q"&amp;ROUNDUP(MONTH(A604)/3,0))</f>
        <v/>
      </c>
      <c r="C604" s="47" t="n"/>
      <c r="D604" s="47" t="n"/>
      <c r="E604" s="47" t="n"/>
      <c r="F604" s="47" t="n"/>
      <c r="G604" s="48" t="n"/>
      <c r="H604" s="49" t="n"/>
      <c r="I604" s="50">
        <f>IF(G604="","",ROUND(G604*H604,2))</f>
        <v/>
      </c>
      <c r="J604" s="50">
        <f>IF(G604="","",G604+N(I604))</f>
        <v/>
      </c>
      <c r="K604" s="45" t="n"/>
      <c r="L604" s="47" t="n"/>
      <c r="M604" s="48" t="n"/>
      <c r="N604" s="49" t="n"/>
      <c r="O604" s="50">
        <f>IF(M604="","",ROUND(M604*N604,2))</f>
        <v/>
      </c>
      <c r="P604" s="50">
        <f>IF(M604="","",M604+N(O604))</f>
        <v/>
      </c>
      <c r="Q604" s="45" t="n"/>
      <c r="R604" s="45" t="n"/>
      <c r="S604" s="51">
        <f>IF(L604="","",IF(COUNTIF(L$6:L604,L604)&gt;1,"",SUMIF(L$6:L$2000,L604,M$6:M$2000)-SUMIF(L$6:L$2000,L604,G$6:G$2000)))</f>
        <v/>
      </c>
      <c r="T604" s="46">
        <f>IF(AND(C604="",G604=""),"",IF(L604="","Nog factureren",IF(AND(G604&lt;&gt;"",OR(K604="",K604&gt;TODAY())),"Nog betalen",IF(OR(R604="",R604&gt;TODAY()),"Wacht op klant","Afgerond"))))</f>
        <v/>
      </c>
    </row>
    <row r="605">
      <c r="A605" s="45" t="n"/>
      <c r="B605" s="46">
        <f>IF(A605="","",YEAR(A605)&amp;" Q"&amp;ROUNDUP(MONTH(A605)/3,0))</f>
        <v/>
      </c>
      <c r="C605" s="47" t="n"/>
      <c r="D605" s="47" t="n"/>
      <c r="E605" s="47" t="n"/>
      <c r="F605" s="47" t="n"/>
      <c r="G605" s="48" t="n"/>
      <c r="H605" s="49" t="n"/>
      <c r="I605" s="50">
        <f>IF(G605="","",ROUND(G605*H605,2))</f>
        <v/>
      </c>
      <c r="J605" s="50">
        <f>IF(G605="","",G605+N(I605))</f>
        <v/>
      </c>
      <c r="K605" s="45" t="n"/>
      <c r="L605" s="47" t="n"/>
      <c r="M605" s="48" t="n"/>
      <c r="N605" s="49" t="n"/>
      <c r="O605" s="50">
        <f>IF(M605="","",ROUND(M605*N605,2))</f>
        <v/>
      </c>
      <c r="P605" s="50">
        <f>IF(M605="","",M605+N(O605))</f>
        <v/>
      </c>
      <c r="Q605" s="45" t="n"/>
      <c r="R605" s="45" t="n"/>
      <c r="S605" s="51">
        <f>IF(L605="","",IF(COUNTIF(L$6:L605,L605)&gt;1,"",SUMIF(L$6:L$2000,L605,M$6:M$2000)-SUMIF(L$6:L$2000,L605,G$6:G$2000)))</f>
        <v/>
      </c>
      <c r="T605" s="46">
        <f>IF(AND(C605="",G605=""),"",IF(L605="","Nog factureren",IF(AND(G605&lt;&gt;"",OR(K605="",K605&gt;TODAY())),"Nog betalen",IF(OR(R605="",R605&gt;TODAY()),"Wacht op klant","Afgerond"))))</f>
        <v/>
      </c>
    </row>
    <row r="606">
      <c r="A606" s="45" t="n"/>
      <c r="B606" s="46">
        <f>IF(A606="","",YEAR(A606)&amp;" Q"&amp;ROUNDUP(MONTH(A606)/3,0))</f>
        <v/>
      </c>
      <c r="C606" s="47" t="n"/>
      <c r="D606" s="47" t="n"/>
      <c r="E606" s="47" t="n"/>
      <c r="F606" s="47" t="n"/>
      <c r="G606" s="48" t="n"/>
      <c r="H606" s="49" t="n"/>
      <c r="I606" s="50">
        <f>IF(G606="","",ROUND(G606*H606,2))</f>
        <v/>
      </c>
      <c r="J606" s="50">
        <f>IF(G606="","",G606+N(I606))</f>
        <v/>
      </c>
      <c r="K606" s="45" t="n"/>
      <c r="L606" s="47" t="n"/>
      <c r="M606" s="48" t="n"/>
      <c r="N606" s="49" t="n"/>
      <c r="O606" s="50">
        <f>IF(M606="","",ROUND(M606*N606,2))</f>
        <v/>
      </c>
      <c r="P606" s="50">
        <f>IF(M606="","",M606+N(O606))</f>
        <v/>
      </c>
      <c r="Q606" s="45" t="n"/>
      <c r="R606" s="45" t="n"/>
      <c r="S606" s="51">
        <f>IF(L606="","",IF(COUNTIF(L$6:L606,L606)&gt;1,"",SUMIF(L$6:L$2000,L606,M$6:M$2000)-SUMIF(L$6:L$2000,L606,G$6:G$2000)))</f>
        <v/>
      </c>
      <c r="T606" s="46">
        <f>IF(AND(C606="",G606=""),"",IF(L606="","Nog factureren",IF(AND(G606&lt;&gt;"",OR(K606="",K606&gt;TODAY())),"Nog betalen",IF(OR(R606="",R606&gt;TODAY()),"Wacht op klant","Afgerond"))))</f>
        <v/>
      </c>
    </row>
    <row r="607">
      <c r="A607" s="45" t="n"/>
      <c r="B607" s="46">
        <f>IF(A607="","",YEAR(A607)&amp;" Q"&amp;ROUNDUP(MONTH(A607)/3,0))</f>
        <v/>
      </c>
      <c r="C607" s="47" t="n"/>
      <c r="D607" s="47" t="n"/>
      <c r="E607" s="47" t="n"/>
      <c r="F607" s="47" t="n"/>
      <c r="G607" s="48" t="n"/>
      <c r="H607" s="49" t="n"/>
      <c r="I607" s="50">
        <f>IF(G607="","",ROUND(G607*H607,2))</f>
        <v/>
      </c>
      <c r="J607" s="50">
        <f>IF(G607="","",G607+N(I607))</f>
        <v/>
      </c>
      <c r="K607" s="45" t="n"/>
      <c r="L607" s="47" t="n"/>
      <c r="M607" s="48" t="n"/>
      <c r="N607" s="49" t="n"/>
      <c r="O607" s="50">
        <f>IF(M607="","",ROUND(M607*N607,2))</f>
        <v/>
      </c>
      <c r="P607" s="50">
        <f>IF(M607="","",M607+N(O607))</f>
        <v/>
      </c>
      <c r="Q607" s="45" t="n"/>
      <c r="R607" s="45" t="n"/>
      <c r="S607" s="51">
        <f>IF(L607="","",IF(COUNTIF(L$6:L607,L607)&gt;1,"",SUMIF(L$6:L$2000,L607,M$6:M$2000)-SUMIF(L$6:L$2000,L607,G$6:G$2000)))</f>
        <v/>
      </c>
      <c r="T607" s="46">
        <f>IF(AND(C607="",G607=""),"",IF(L607="","Nog factureren",IF(AND(G607&lt;&gt;"",OR(K607="",K607&gt;TODAY())),"Nog betalen",IF(OR(R607="",R607&gt;TODAY()),"Wacht op klant","Afgerond"))))</f>
        <v/>
      </c>
    </row>
    <row r="608">
      <c r="A608" s="45" t="n"/>
      <c r="B608" s="46">
        <f>IF(A608="","",YEAR(A608)&amp;" Q"&amp;ROUNDUP(MONTH(A608)/3,0))</f>
        <v/>
      </c>
      <c r="C608" s="47" t="n"/>
      <c r="D608" s="47" t="n"/>
      <c r="E608" s="47" t="n"/>
      <c r="F608" s="47" t="n"/>
      <c r="G608" s="48" t="n"/>
      <c r="H608" s="49" t="n"/>
      <c r="I608" s="50">
        <f>IF(G608="","",ROUND(G608*H608,2))</f>
        <v/>
      </c>
      <c r="J608" s="50">
        <f>IF(G608="","",G608+N(I608))</f>
        <v/>
      </c>
      <c r="K608" s="45" t="n"/>
      <c r="L608" s="47" t="n"/>
      <c r="M608" s="48" t="n"/>
      <c r="N608" s="49" t="n"/>
      <c r="O608" s="50">
        <f>IF(M608="","",ROUND(M608*N608,2))</f>
        <v/>
      </c>
      <c r="P608" s="50">
        <f>IF(M608="","",M608+N(O608))</f>
        <v/>
      </c>
      <c r="Q608" s="45" t="n"/>
      <c r="R608" s="45" t="n"/>
      <c r="S608" s="51">
        <f>IF(L608="","",IF(COUNTIF(L$6:L608,L608)&gt;1,"",SUMIF(L$6:L$2000,L608,M$6:M$2000)-SUMIF(L$6:L$2000,L608,G$6:G$2000)))</f>
        <v/>
      </c>
      <c r="T608" s="46">
        <f>IF(AND(C608="",G608=""),"",IF(L608="","Nog factureren",IF(AND(G608&lt;&gt;"",OR(K608="",K608&gt;TODAY())),"Nog betalen",IF(OR(R608="",R608&gt;TODAY()),"Wacht op klant","Afgerond"))))</f>
        <v/>
      </c>
    </row>
    <row r="609">
      <c r="A609" s="45" t="n"/>
      <c r="B609" s="46">
        <f>IF(A609="","",YEAR(A609)&amp;" Q"&amp;ROUNDUP(MONTH(A609)/3,0))</f>
        <v/>
      </c>
      <c r="C609" s="47" t="n"/>
      <c r="D609" s="47" t="n"/>
      <c r="E609" s="47" t="n"/>
      <c r="F609" s="47" t="n"/>
      <c r="G609" s="48" t="n"/>
      <c r="H609" s="49" t="n"/>
      <c r="I609" s="50">
        <f>IF(G609="","",ROUND(G609*H609,2))</f>
        <v/>
      </c>
      <c r="J609" s="50">
        <f>IF(G609="","",G609+N(I609))</f>
        <v/>
      </c>
      <c r="K609" s="45" t="n"/>
      <c r="L609" s="47" t="n"/>
      <c r="M609" s="48" t="n"/>
      <c r="N609" s="49" t="n"/>
      <c r="O609" s="50">
        <f>IF(M609="","",ROUND(M609*N609,2))</f>
        <v/>
      </c>
      <c r="P609" s="50">
        <f>IF(M609="","",M609+N(O609))</f>
        <v/>
      </c>
      <c r="Q609" s="45" t="n"/>
      <c r="R609" s="45" t="n"/>
      <c r="S609" s="51">
        <f>IF(L609="","",IF(COUNTIF(L$6:L609,L609)&gt;1,"",SUMIF(L$6:L$2000,L609,M$6:M$2000)-SUMIF(L$6:L$2000,L609,G$6:G$2000)))</f>
        <v/>
      </c>
      <c r="T609" s="46">
        <f>IF(AND(C609="",G609=""),"",IF(L609="","Nog factureren",IF(AND(G609&lt;&gt;"",OR(K609="",K609&gt;TODAY())),"Nog betalen",IF(OR(R609="",R609&gt;TODAY()),"Wacht op klant","Afgerond"))))</f>
        <v/>
      </c>
    </row>
    <row r="610">
      <c r="A610" s="45" t="n"/>
      <c r="B610" s="46">
        <f>IF(A610="","",YEAR(A610)&amp;" Q"&amp;ROUNDUP(MONTH(A610)/3,0))</f>
        <v/>
      </c>
      <c r="C610" s="47" t="n"/>
      <c r="D610" s="47" t="n"/>
      <c r="E610" s="47" t="n"/>
      <c r="F610" s="47" t="n"/>
      <c r="G610" s="48" t="n"/>
      <c r="H610" s="49" t="n"/>
      <c r="I610" s="50">
        <f>IF(G610="","",ROUND(G610*H610,2))</f>
        <v/>
      </c>
      <c r="J610" s="50">
        <f>IF(G610="","",G610+N(I610))</f>
        <v/>
      </c>
      <c r="K610" s="45" t="n"/>
      <c r="L610" s="47" t="n"/>
      <c r="M610" s="48" t="n"/>
      <c r="N610" s="49" t="n"/>
      <c r="O610" s="50">
        <f>IF(M610="","",ROUND(M610*N610,2))</f>
        <v/>
      </c>
      <c r="P610" s="50">
        <f>IF(M610="","",M610+N(O610))</f>
        <v/>
      </c>
      <c r="Q610" s="45" t="n"/>
      <c r="R610" s="45" t="n"/>
      <c r="S610" s="51">
        <f>IF(L610="","",IF(COUNTIF(L$6:L610,L610)&gt;1,"",SUMIF(L$6:L$2000,L610,M$6:M$2000)-SUMIF(L$6:L$2000,L610,G$6:G$2000)))</f>
        <v/>
      </c>
      <c r="T610" s="46">
        <f>IF(AND(C610="",G610=""),"",IF(L610="","Nog factureren",IF(AND(G610&lt;&gt;"",OR(K610="",K610&gt;TODAY())),"Nog betalen",IF(OR(R610="",R610&gt;TODAY()),"Wacht op klant","Afgerond"))))</f>
        <v/>
      </c>
    </row>
    <row r="611">
      <c r="A611" s="45" t="n"/>
      <c r="B611" s="46">
        <f>IF(A611="","",YEAR(A611)&amp;" Q"&amp;ROUNDUP(MONTH(A611)/3,0))</f>
        <v/>
      </c>
      <c r="C611" s="47" t="n"/>
      <c r="D611" s="47" t="n"/>
      <c r="E611" s="47" t="n"/>
      <c r="F611" s="47" t="n"/>
      <c r="G611" s="48" t="n"/>
      <c r="H611" s="49" t="n"/>
      <c r="I611" s="50">
        <f>IF(G611="","",ROUND(G611*H611,2))</f>
        <v/>
      </c>
      <c r="J611" s="50">
        <f>IF(G611="","",G611+N(I611))</f>
        <v/>
      </c>
      <c r="K611" s="45" t="n"/>
      <c r="L611" s="47" t="n"/>
      <c r="M611" s="48" t="n"/>
      <c r="N611" s="49" t="n"/>
      <c r="O611" s="50">
        <f>IF(M611="","",ROUND(M611*N611,2))</f>
        <v/>
      </c>
      <c r="P611" s="50">
        <f>IF(M611="","",M611+N(O611))</f>
        <v/>
      </c>
      <c r="Q611" s="45" t="n"/>
      <c r="R611" s="45" t="n"/>
      <c r="S611" s="51">
        <f>IF(L611="","",IF(COUNTIF(L$6:L611,L611)&gt;1,"",SUMIF(L$6:L$2000,L611,M$6:M$2000)-SUMIF(L$6:L$2000,L611,G$6:G$2000)))</f>
        <v/>
      </c>
      <c r="T611" s="46">
        <f>IF(AND(C611="",G611=""),"",IF(L611="","Nog factureren",IF(AND(G611&lt;&gt;"",OR(K611="",K611&gt;TODAY())),"Nog betalen",IF(OR(R611="",R611&gt;TODAY()),"Wacht op klant","Afgerond"))))</f>
        <v/>
      </c>
    </row>
    <row r="612">
      <c r="A612" s="45" t="n"/>
      <c r="B612" s="46">
        <f>IF(A612="","",YEAR(A612)&amp;" Q"&amp;ROUNDUP(MONTH(A612)/3,0))</f>
        <v/>
      </c>
      <c r="C612" s="47" t="n"/>
      <c r="D612" s="47" t="n"/>
      <c r="E612" s="47" t="n"/>
      <c r="F612" s="47" t="n"/>
      <c r="G612" s="48" t="n"/>
      <c r="H612" s="49" t="n"/>
      <c r="I612" s="50">
        <f>IF(G612="","",ROUND(G612*H612,2))</f>
        <v/>
      </c>
      <c r="J612" s="50">
        <f>IF(G612="","",G612+N(I612))</f>
        <v/>
      </c>
      <c r="K612" s="45" t="n"/>
      <c r="L612" s="47" t="n"/>
      <c r="M612" s="48" t="n"/>
      <c r="N612" s="49" t="n"/>
      <c r="O612" s="50">
        <f>IF(M612="","",ROUND(M612*N612,2))</f>
        <v/>
      </c>
      <c r="P612" s="50">
        <f>IF(M612="","",M612+N(O612))</f>
        <v/>
      </c>
      <c r="Q612" s="45" t="n"/>
      <c r="R612" s="45" t="n"/>
      <c r="S612" s="51">
        <f>IF(L612="","",IF(COUNTIF(L$6:L612,L612)&gt;1,"",SUMIF(L$6:L$2000,L612,M$6:M$2000)-SUMIF(L$6:L$2000,L612,G$6:G$2000)))</f>
        <v/>
      </c>
      <c r="T612" s="46">
        <f>IF(AND(C612="",G612=""),"",IF(L612="","Nog factureren",IF(AND(G612&lt;&gt;"",OR(K612="",K612&gt;TODAY())),"Nog betalen",IF(OR(R612="",R612&gt;TODAY()),"Wacht op klant","Afgerond"))))</f>
        <v/>
      </c>
    </row>
    <row r="613">
      <c r="A613" s="45" t="n"/>
      <c r="B613" s="46">
        <f>IF(A613="","",YEAR(A613)&amp;" Q"&amp;ROUNDUP(MONTH(A613)/3,0))</f>
        <v/>
      </c>
      <c r="C613" s="47" t="n"/>
      <c r="D613" s="47" t="n"/>
      <c r="E613" s="47" t="n"/>
      <c r="F613" s="47" t="n"/>
      <c r="G613" s="48" t="n"/>
      <c r="H613" s="49" t="n"/>
      <c r="I613" s="50">
        <f>IF(G613="","",ROUND(G613*H613,2))</f>
        <v/>
      </c>
      <c r="J613" s="50">
        <f>IF(G613="","",G613+N(I613))</f>
        <v/>
      </c>
      <c r="K613" s="45" t="n"/>
      <c r="L613" s="47" t="n"/>
      <c r="M613" s="48" t="n"/>
      <c r="N613" s="49" t="n"/>
      <c r="O613" s="50">
        <f>IF(M613="","",ROUND(M613*N613,2))</f>
        <v/>
      </c>
      <c r="P613" s="50">
        <f>IF(M613="","",M613+N(O613))</f>
        <v/>
      </c>
      <c r="Q613" s="45" t="n"/>
      <c r="R613" s="45" t="n"/>
      <c r="S613" s="51">
        <f>IF(L613="","",IF(COUNTIF(L$6:L613,L613)&gt;1,"",SUMIF(L$6:L$2000,L613,M$6:M$2000)-SUMIF(L$6:L$2000,L613,G$6:G$2000)))</f>
        <v/>
      </c>
      <c r="T613" s="46">
        <f>IF(AND(C613="",G613=""),"",IF(L613="","Nog factureren",IF(AND(G613&lt;&gt;"",OR(K613="",K613&gt;TODAY())),"Nog betalen",IF(OR(R613="",R613&gt;TODAY()),"Wacht op klant","Afgerond"))))</f>
        <v/>
      </c>
    </row>
    <row r="614">
      <c r="A614" s="45" t="n"/>
      <c r="B614" s="46">
        <f>IF(A614="","",YEAR(A614)&amp;" Q"&amp;ROUNDUP(MONTH(A614)/3,0))</f>
        <v/>
      </c>
      <c r="C614" s="47" t="n"/>
      <c r="D614" s="47" t="n"/>
      <c r="E614" s="47" t="n"/>
      <c r="F614" s="47" t="n"/>
      <c r="G614" s="48" t="n"/>
      <c r="H614" s="49" t="n"/>
      <c r="I614" s="50">
        <f>IF(G614="","",ROUND(G614*H614,2))</f>
        <v/>
      </c>
      <c r="J614" s="50">
        <f>IF(G614="","",G614+N(I614))</f>
        <v/>
      </c>
      <c r="K614" s="45" t="n"/>
      <c r="L614" s="47" t="n"/>
      <c r="M614" s="48" t="n"/>
      <c r="N614" s="49" t="n"/>
      <c r="O614" s="50">
        <f>IF(M614="","",ROUND(M614*N614,2))</f>
        <v/>
      </c>
      <c r="P614" s="50">
        <f>IF(M614="","",M614+N(O614))</f>
        <v/>
      </c>
      <c r="Q614" s="45" t="n"/>
      <c r="R614" s="45" t="n"/>
      <c r="S614" s="51">
        <f>IF(L614="","",IF(COUNTIF(L$6:L614,L614)&gt;1,"",SUMIF(L$6:L$2000,L614,M$6:M$2000)-SUMIF(L$6:L$2000,L614,G$6:G$2000)))</f>
        <v/>
      </c>
      <c r="T614" s="46">
        <f>IF(AND(C614="",G614=""),"",IF(L614="","Nog factureren",IF(AND(G614&lt;&gt;"",OR(K614="",K614&gt;TODAY())),"Nog betalen",IF(OR(R614="",R614&gt;TODAY()),"Wacht op klant","Afgerond"))))</f>
        <v/>
      </c>
    </row>
    <row r="615">
      <c r="A615" s="45" t="n"/>
      <c r="B615" s="46">
        <f>IF(A615="","",YEAR(A615)&amp;" Q"&amp;ROUNDUP(MONTH(A615)/3,0))</f>
        <v/>
      </c>
      <c r="C615" s="47" t="n"/>
      <c r="D615" s="47" t="n"/>
      <c r="E615" s="47" t="n"/>
      <c r="F615" s="47" t="n"/>
      <c r="G615" s="48" t="n"/>
      <c r="H615" s="49" t="n"/>
      <c r="I615" s="50">
        <f>IF(G615="","",ROUND(G615*H615,2))</f>
        <v/>
      </c>
      <c r="J615" s="50">
        <f>IF(G615="","",G615+N(I615))</f>
        <v/>
      </c>
      <c r="K615" s="45" t="n"/>
      <c r="L615" s="47" t="n"/>
      <c r="M615" s="48" t="n"/>
      <c r="N615" s="49" t="n"/>
      <c r="O615" s="50">
        <f>IF(M615="","",ROUND(M615*N615,2))</f>
        <v/>
      </c>
      <c r="P615" s="50">
        <f>IF(M615="","",M615+N(O615))</f>
        <v/>
      </c>
      <c r="Q615" s="45" t="n"/>
      <c r="R615" s="45" t="n"/>
      <c r="S615" s="51">
        <f>IF(L615="","",IF(COUNTIF(L$6:L615,L615)&gt;1,"",SUMIF(L$6:L$2000,L615,M$6:M$2000)-SUMIF(L$6:L$2000,L615,G$6:G$2000)))</f>
        <v/>
      </c>
      <c r="T615" s="46">
        <f>IF(AND(C615="",G615=""),"",IF(L615="","Nog factureren",IF(AND(G615&lt;&gt;"",OR(K615="",K615&gt;TODAY())),"Nog betalen",IF(OR(R615="",R615&gt;TODAY()),"Wacht op klant","Afgerond"))))</f>
        <v/>
      </c>
    </row>
    <row r="616">
      <c r="A616" s="45" t="n"/>
      <c r="B616" s="46">
        <f>IF(A616="","",YEAR(A616)&amp;" Q"&amp;ROUNDUP(MONTH(A616)/3,0))</f>
        <v/>
      </c>
      <c r="C616" s="47" t="n"/>
      <c r="D616" s="47" t="n"/>
      <c r="E616" s="47" t="n"/>
      <c r="F616" s="47" t="n"/>
      <c r="G616" s="48" t="n"/>
      <c r="H616" s="49" t="n"/>
      <c r="I616" s="50">
        <f>IF(G616="","",ROUND(G616*H616,2))</f>
        <v/>
      </c>
      <c r="J616" s="50">
        <f>IF(G616="","",G616+N(I616))</f>
        <v/>
      </c>
      <c r="K616" s="45" t="n"/>
      <c r="L616" s="47" t="n"/>
      <c r="M616" s="48" t="n"/>
      <c r="N616" s="49" t="n"/>
      <c r="O616" s="50">
        <f>IF(M616="","",ROUND(M616*N616,2))</f>
        <v/>
      </c>
      <c r="P616" s="50">
        <f>IF(M616="","",M616+N(O616))</f>
        <v/>
      </c>
      <c r="Q616" s="45" t="n"/>
      <c r="R616" s="45" t="n"/>
      <c r="S616" s="51">
        <f>IF(L616="","",IF(COUNTIF(L$6:L616,L616)&gt;1,"",SUMIF(L$6:L$2000,L616,M$6:M$2000)-SUMIF(L$6:L$2000,L616,G$6:G$2000)))</f>
        <v/>
      </c>
      <c r="T616" s="46">
        <f>IF(AND(C616="",G616=""),"",IF(L616="","Nog factureren",IF(AND(G616&lt;&gt;"",OR(K616="",K616&gt;TODAY())),"Nog betalen",IF(OR(R616="",R616&gt;TODAY()),"Wacht op klant","Afgerond"))))</f>
        <v/>
      </c>
    </row>
    <row r="617">
      <c r="A617" s="45" t="n"/>
      <c r="B617" s="46">
        <f>IF(A617="","",YEAR(A617)&amp;" Q"&amp;ROUNDUP(MONTH(A617)/3,0))</f>
        <v/>
      </c>
      <c r="C617" s="47" t="n"/>
      <c r="D617" s="47" t="n"/>
      <c r="E617" s="47" t="n"/>
      <c r="F617" s="47" t="n"/>
      <c r="G617" s="48" t="n"/>
      <c r="H617" s="49" t="n"/>
      <c r="I617" s="50">
        <f>IF(G617="","",ROUND(G617*H617,2))</f>
        <v/>
      </c>
      <c r="J617" s="50">
        <f>IF(G617="","",G617+N(I617))</f>
        <v/>
      </c>
      <c r="K617" s="45" t="n"/>
      <c r="L617" s="47" t="n"/>
      <c r="M617" s="48" t="n"/>
      <c r="N617" s="49" t="n"/>
      <c r="O617" s="50">
        <f>IF(M617="","",ROUND(M617*N617,2))</f>
        <v/>
      </c>
      <c r="P617" s="50">
        <f>IF(M617="","",M617+N(O617))</f>
        <v/>
      </c>
      <c r="Q617" s="45" t="n"/>
      <c r="R617" s="45" t="n"/>
      <c r="S617" s="51">
        <f>IF(L617="","",IF(COUNTIF(L$6:L617,L617)&gt;1,"",SUMIF(L$6:L$2000,L617,M$6:M$2000)-SUMIF(L$6:L$2000,L617,G$6:G$2000)))</f>
        <v/>
      </c>
      <c r="T617" s="46">
        <f>IF(AND(C617="",G617=""),"",IF(L617="","Nog factureren",IF(AND(G617&lt;&gt;"",OR(K617="",K617&gt;TODAY())),"Nog betalen",IF(OR(R617="",R617&gt;TODAY()),"Wacht op klant","Afgerond"))))</f>
        <v/>
      </c>
    </row>
    <row r="618">
      <c r="A618" s="45" t="n"/>
      <c r="B618" s="46">
        <f>IF(A618="","",YEAR(A618)&amp;" Q"&amp;ROUNDUP(MONTH(A618)/3,0))</f>
        <v/>
      </c>
      <c r="C618" s="47" t="n"/>
      <c r="D618" s="47" t="n"/>
      <c r="E618" s="47" t="n"/>
      <c r="F618" s="47" t="n"/>
      <c r="G618" s="48" t="n"/>
      <c r="H618" s="49" t="n"/>
      <c r="I618" s="50">
        <f>IF(G618="","",ROUND(G618*H618,2))</f>
        <v/>
      </c>
      <c r="J618" s="50">
        <f>IF(G618="","",G618+N(I618))</f>
        <v/>
      </c>
      <c r="K618" s="45" t="n"/>
      <c r="L618" s="47" t="n"/>
      <c r="M618" s="48" t="n"/>
      <c r="N618" s="49" t="n"/>
      <c r="O618" s="50">
        <f>IF(M618="","",ROUND(M618*N618,2))</f>
        <v/>
      </c>
      <c r="P618" s="50">
        <f>IF(M618="","",M618+N(O618))</f>
        <v/>
      </c>
      <c r="Q618" s="45" t="n"/>
      <c r="R618" s="45" t="n"/>
      <c r="S618" s="51">
        <f>IF(L618="","",IF(COUNTIF(L$6:L618,L618)&gt;1,"",SUMIF(L$6:L$2000,L618,M$6:M$2000)-SUMIF(L$6:L$2000,L618,G$6:G$2000)))</f>
        <v/>
      </c>
      <c r="T618" s="46">
        <f>IF(AND(C618="",G618=""),"",IF(L618="","Nog factureren",IF(AND(G618&lt;&gt;"",OR(K618="",K618&gt;TODAY())),"Nog betalen",IF(OR(R618="",R618&gt;TODAY()),"Wacht op klant","Afgerond"))))</f>
        <v/>
      </c>
    </row>
    <row r="619">
      <c r="A619" s="45" t="n"/>
      <c r="B619" s="46">
        <f>IF(A619="","",YEAR(A619)&amp;" Q"&amp;ROUNDUP(MONTH(A619)/3,0))</f>
        <v/>
      </c>
      <c r="C619" s="47" t="n"/>
      <c r="D619" s="47" t="n"/>
      <c r="E619" s="47" t="n"/>
      <c r="F619" s="47" t="n"/>
      <c r="G619" s="48" t="n"/>
      <c r="H619" s="49" t="n"/>
      <c r="I619" s="50">
        <f>IF(G619="","",ROUND(G619*H619,2))</f>
        <v/>
      </c>
      <c r="J619" s="50">
        <f>IF(G619="","",G619+N(I619))</f>
        <v/>
      </c>
      <c r="K619" s="45" t="n"/>
      <c r="L619" s="47" t="n"/>
      <c r="M619" s="48" t="n"/>
      <c r="N619" s="49" t="n"/>
      <c r="O619" s="50">
        <f>IF(M619="","",ROUND(M619*N619,2))</f>
        <v/>
      </c>
      <c r="P619" s="50">
        <f>IF(M619="","",M619+N(O619))</f>
        <v/>
      </c>
      <c r="Q619" s="45" t="n"/>
      <c r="R619" s="45" t="n"/>
      <c r="S619" s="51">
        <f>IF(L619="","",IF(COUNTIF(L$6:L619,L619)&gt;1,"",SUMIF(L$6:L$2000,L619,M$6:M$2000)-SUMIF(L$6:L$2000,L619,G$6:G$2000)))</f>
        <v/>
      </c>
      <c r="T619" s="46">
        <f>IF(AND(C619="",G619=""),"",IF(L619="","Nog factureren",IF(AND(G619&lt;&gt;"",OR(K619="",K619&gt;TODAY())),"Nog betalen",IF(OR(R619="",R619&gt;TODAY()),"Wacht op klant","Afgerond"))))</f>
        <v/>
      </c>
    </row>
    <row r="620">
      <c r="A620" s="45" t="n"/>
      <c r="B620" s="46">
        <f>IF(A620="","",YEAR(A620)&amp;" Q"&amp;ROUNDUP(MONTH(A620)/3,0))</f>
        <v/>
      </c>
      <c r="C620" s="47" t="n"/>
      <c r="D620" s="47" t="n"/>
      <c r="E620" s="47" t="n"/>
      <c r="F620" s="47" t="n"/>
      <c r="G620" s="48" t="n"/>
      <c r="H620" s="49" t="n"/>
      <c r="I620" s="50">
        <f>IF(G620="","",ROUND(G620*H620,2))</f>
        <v/>
      </c>
      <c r="J620" s="50">
        <f>IF(G620="","",G620+N(I620))</f>
        <v/>
      </c>
      <c r="K620" s="45" t="n"/>
      <c r="L620" s="47" t="n"/>
      <c r="M620" s="48" t="n"/>
      <c r="N620" s="49" t="n"/>
      <c r="O620" s="50">
        <f>IF(M620="","",ROUND(M620*N620,2))</f>
        <v/>
      </c>
      <c r="P620" s="50">
        <f>IF(M620="","",M620+N(O620))</f>
        <v/>
      </c>
      <c r="Q620" s="45" t="n"/>
      <c r="R620" s="45" t="n"/>
      <c r="S620" s="51">
        <f>IF(L620="","",IF(COUNTIF(L$6:L620,L620)&gt;1,"",SUMIF(L$6:L$2000,L620,M$6:M$2000)-SUMIF(L$6:L$2000,L620,G$6:G$2000)))</f>
        <v/>
      </c>
      <c r="T620" s="46">
        <f>IF(AND(C620="",G620=""),"",IF(L620="","Nog factureren",IF(AND(G620&lt;&gt;"",OR(K620="",K620&gt;TODAY())),"Nog betalen",IF(OR(R620="",R620&gt;TODAY()),"Wacht op klant","Afgerond"))))</f>
        <v/>
      </c>
    </row>
    <row r="621">
      <c r="A621" s="45" t="n"/>
      <c r="B621" s="46">
        <f>IF(A621="","",YEAR(A621)&amp;" Q"&amp;ROUNDUP(MONTH(A621)/3,0))</f>
        <v/>
      </c>
      <c r="C621" s="47" t="n"/>
      <c r="D621" s="47" t="n"/>
      <c r="E621" s="47" t="n"/>
      <c r="F621" s="47" t="n"/>
      <c r="G621" s="48" t="n"/>
      <c r="H621" s="49" t="n"/>
      <c r="I621" s="50">
        <f>IF(G621="","",ROUND(G621*H621,2))</f>
        <v/>
      </c>
      <c r="J621" s="50">
        <f>IF(G621="","",G621+N(I621))</f>
        <v/>
      </c>
      <c r="K621" s="45" t="n"/>
      <c r="L621" s="47" t="n"/>
      <c r="M621" s="48" t="n"/>
      <c r="N621" s="49" t="n"/>
      <c r="O621" s="50">
        <f>IF(M621="","",ROUND(M621*N621,2))</f>
        <v/>
      </c>
      <c r="P621" s="50">
        <f>IF(M621="","",M621+N(O621))</f>
        <v/>
      </c>
      <c r="Q621" s="45" t="n"/>
      <c r="R621" s="45" t="n"/>
      <c r="S621" s="51">
        <f>IF(L621="","",IF(COUNTIF(L$6:L621,L621)&gt;1,"",SUMIF(L$6:L$2000,L621,M$6:M$2000)-SUMIF(L$6:L$2000,L621,G$6:G$2000)))</f>
        <v/>
      </c>
      <c r="T621" s="46">
        <f>IF(AND(C621="",G621=""),"",IF(L621="","Nog factureren",IF(AND(G621&lt;&gt;"",OR(K621="",K621&gt;TODAY())),"Nog betalen",IF(OR(R621="",R621&gt;TODAY()),"Wacht op klant","Afgerond"))))</f>
        <v/>
      </c>
    </row>
    <row r="622">
      <c r="A622" s="45" t="n"/>
      <c r="B622" s="46">
        <f>IF(A622="","",YEAR(A622)&amp;" Q"&amp;ROUNDUP(MONTH(A622)/3,0))</f>
        <v/>
      </c>
      <c r="C622" s="47" t="n"/>
      <c r="D622" s="47" t="n"/>
      <c r="E622" s="47" t="n"/>
      <c r="F622" s="47" t="n"/>
      <c r="G622" s="48" t="n"/>
      <c r="H622" s="49" t="n"/>
      <c r="I622" s="50">
        <f>IF(G622="","",ROUND(G622*H622,2))</f>
        <v/>
      </c>
      <c r="J622" s="50">
        <f>IF(G622="","",G622+N(I622))</f>
        <v/>
      </c>
      <c r="K622" s="45" t="n"/>
      <c r="L622" s="47" t="n"/>
      <c r="M622" s="48" t="n"/>
      <c r="N622" s="49" t="n"/>
      <c r="O622" s="50">
        <f>IF(M622="","",ROUND(M622*N622,2))</f>
        <v/>
      </c>
      <c r="P622" s="50">
        <f>IF(M622="","",M622+N(O622))</f>
        <v/>
      </c>
      <c r="Q622" s="45" t="n"/>
      <c r="R622" s="45" t="n"/>
      <c r="S622" s="51">
        <f>IF(L622="","",IF(COUNTIF(L$6:L622,L622)&gt;1,"",SUMIF(L$6:L$2000,L622,M$6:M$2000)-SUMIF(L$6:L$2000,L622,G$6:G$2000)))</f>
        <v/>
      </c>
      <c r="T622" s="46">
        <f>IF(AND(C622="",G622=""),"",IF(L622="","Nog factureren",IF(AND(G622&lt;&gt;"",OR(K622="",K622&gt;TODAY())),"Nog betalen",IF(OR(R622="",R622&gt;TODAY()),"Wacht op klant","Afgerond"))))</f>
        <v/>
      </c>
    </row>
    <row r="623">
      <c r="A623" s="45" t="n"/>
      <c r="B623" s="46">
        <f>IF(A623="","",YEAR(A623)&amp;" Q"&amp;ROUNDUP(MONTH(A623)/3,0))</f>
        <v/>
      </c>
      <c r="C623" s="47" t="n"/>
      <c r="D623" s="47" t="n"/>
      <c r="E623" s="47" t="n"/>
      <c r="F623" s="47" t="n"/>
      <c r="G623" s="48" t="n"/>
      <c r="H623" s="49" t="n"/>
      <c r="I623" s="50">
        <f>IF(G623="","",ROUND(G623*H623,2))</f>
        <v/>
      </c>
      <c r="J623" s="50">
        <f>IF(G623="","",G623+N(I623))</f>
        <v/>
      </c>
      <c r="K623" s="45" t="n"/>
      <c r="L623" s="47" t="n"/>
      <c r="M623" s="48" t="n"/>
      <c r="N623" s="49" t="n"/>
      <c r="O623" s="50">
        <f>IF(M623="","",ROUND(M623*N623,2))</f>
        <v/>
      </c>
      <c r="P623" s="50">
        <f>IF(M623="","",M623+N(O623))</f>
        <v/>
      </c>
      <c r="Q623" s="45" t="n"/>
      <c r="R623" s="45" t="n"/>
      <c r="S623" s="51">
        <f>IF(L623="","",IF(COUNTIF(L$6:L623,L623)&gt;1,"",SUMIF(L$6:L$2000,L623,M$6:M$2000)-SUMIF(L$6:L$2000,L623,G$6:G$2000)))</f>
        <v/>
      </c>
      <c r="T623" s="46">
        <f>IF(AND(C623="",G623=""),"",IF(L623="","Nog factureren",IF(AND(G623&lt;&gt;"",OR(K623="",K623&gt;TODAY())),"Nog betalen",IF(OR(R623="",R623&gt;TODAY()),"Wacht op klant","Afgerond"))))</f>
        <v/>
      </c>
    </row>
    <row r="624">
      <c r="A624" s="45" t="n"/>
      <c r="B624" s="46">
        <f>IF(A624="","",YEAR(A624)&amp;" Q"&amp;ROUNDUP(MONTH(A624)/3,0))</f>
        <v/>
      </c>
      <c r="C624" s="47" t="n"/>
      <c r="D624" s="47" t="n"/>
      <c r="E624" s="47" t="n"/>
      <c r="F624" s="47" t="n"/>
      <c r="G624" s="48" t="n"/>
      <c r="H624" s="49" t="n"/>
      <c r="I624" s="50">
        <f>IF(G624="","",ROUND(G624*H624,2))</f>
        <v/>
      </c>
      <c r="J624" s="50">
        <f>IF(G624="","",G624+N(I624))</f>
        <v/>
      </c>
      <c r="K624" s="45" t="n"/>
      <c r="L624" s="47" t="n"/>
      <c r="M624" s="48" t="n"/>
      <c r="N624" s="49" t="n"/>
      <c r="O624" s="50">
        <f>IF(M624="","",ROUND(M624*N624,2))</f>
        <v/>
      </c>
      <c r="P624" s="50">
        <f>IF(M624="","",M624+N(O624))</f>
        <v/>
      </c>
      <c r="Q624" s="45" t="n"/>
      <c r="R624" s="45" t="n"/>
      <c r="S624" s="51">
        <f>IF(L624="","",IF(COUNTIF(L$6:L624,L624)&gt;1,"",SUMIF(L$6:L$2000,L624,M$6:M$2000)-SUMIF(L$6:L$2000,L624,G$6:G$2000)))</f>
        <v/>
      </c>
      <c r="T624" s="46">
        <f>IF(AND(C624="",G624=""),"",IF(L624="","Nog factureren",IF(AND(G624&lt;&gt;"",OR(K624="",K624&gt;TODAY())),"Nog betalen",IF(OR(R624="",R624&gt;TODAY()),"Wacht op klant","Afgerond"))))</f>
        <v/>
      </c>
    </row>
    <row r="625">
      <c r="A625" s="45" t="n"/>
      <c r="B625" s="46">
        <f>IF(A625="","",YEAR(A625)&amp;" Q"&amp;ROUNDUP(MONTH(A625)/3,0))</f>
        <v/>
      </c>
      <c r="C625" s="47" t="n"/>
      <c r="D625" s="47" t="n"/>
      <c r="E625" s="47" t="n"/>
      <c r="F625" s="47" t="n"/>
      <c r="G625" s="48" t="n"/>
      <c r="H625" s="49" t="n"/>
      <c r="I625" s="50">
        <f>IF(G625="","",ROUND(G625*H625,2))</f>
        <v/>
      </c>
      <c r="J625" s="50">
        <f>IF(G625="","",G625+N(I625))</f>
        <v/>
      </c>
      <c r="K625" s="45" t="n"/>
      <c r="L625" s="47" t="n"/>
      <c r="M625" s="48" t="n"/>
      <c r="N625" s="49" t="n"/>
      <c r="O625" s="50">
        <f>IF(M625="","",ROUND(M625*N625,2))</f>
        <v/>
      </c>
      <c r="P625" s="50">
        <f>IF(M625="","",M625+N(O625))</f>
        <v/>
      </c>
      <c r="Q625" s="45" t="n"/>
      <c r="R625" s="45" t="n"/>
      <c r="S625" s="51">
        <f>IF(L625="","",IF(COUNTIF(L$6:L625,L625)&gt;1,"",SUMIF(L$6:L$2000,L625,M$6:M$2000)-SUMIF(L$6:L$2000,L625,G$6:G$2000)))</f>
        <v/>
      </c>
      <c r="T625" s="46">
        <f>IF(AND(C625="",G625=""),"",IF(L625="","Nog factureren",IF(AND(G625&lt;&gt;"",OR(K625="",K625&gt;TODAY())),"Nog betalen",IF(OR(R625="",R625&gt;TODAY()),"Wacht op klant","Afgerond"))))</f>
        <v/>
      </c>
    </row>
    <row r="626">
      <c r="A626" s="45" t="n"/>
      <c r="B626" s="46">
        <f>IF(A626="","",YEAR(A626)&amp;" Q"&amp;ROUNDUP(MONTH(A626)/3,0))</f>
        <v/>
      </c>
      <c r="C626" s="47" t="n"/>
      <c r="D626" s="47" t="n"/>
      <c r="E626" s="47" t="n"/>
      <c r="F626" s="47" t="n"/>
      <c r="G626" s="48" t="n"/>
      <c r="H626" s="49" t="n"/>
      <c r="I626" s="50">
        <f>IF(G626="","",ROUND(G626*H626,2))</f>
        <v/>
      </c>
      <c r="J626" s="50">
        <f>IF(G626="","",G626+N(I626))</f>
        <v/>
      </c>
      <c r="K626" s="45" t="n"/>
      <c r="L626" s="47" t="n"/>
      <c r="M626" s="48" t="n"/>
      <c r="N626" s="49" t="n"/>
      <c r="O626" s="50">
        <f>IF(M626="","",ROUND(M626*N626,2))</f>
        <v/>
      </c>
      <c r="P626" s="50">
        <f>IF(M626="","",M626+N(O626))</f>
        <v/>
      </c>
      <c r="Q626" s="45" t="n"/>
      <c r="R626" s="45" t="n"/>
      <c r="S626" s="51">
        <f>IF(L626="","",IF(COUNTIF(L$6:L626,L626)&gt;1,"",SUMIF(L$6:L$2000,L626,M$6:M$2000)-SUMIF(L$6:L$2000,L626,G$6:G$2000)))</f>
        <v/>
      </c>
      <c r="T626" s="46">
        <f>IF(AND(C626="",G626=""),"",IF(L626="","Nog factureren",IF(AND(G626&lt;&gt;"",OR(K626="",K626&gt;TODAY())),"Nog betalen",IF(OR(R626="",R626&gt;TODAY()),"Wacht op klant","Afgerond"))))</f>
        <v/>
      </c>
    </row>
    <row r="627">
      <c r="A627" s="45" t="n"/>
      <c r="B627" s="46">
        <f>IF(A627="","",YEAR(A627)&amp;" Q"&amp;ROUNDUP(MONTH(A627)/3,0))</f>
        <v/>
      </c>
      <c r="C627" s="47" t="n"/>
      <c r="D627" s="47" t="n"/>
      <c r="E627" s="47" t="n"/>
      <c r="F627" s="47" t="n"/>
      <c r="G627" s="48" t="n"/>
      <c r="H627" s="49" t="n"/>
      <c r="I627" s="50">
        <f>IF(G627="","",ROUND(G627*H627,2))</f>
        <v/>
      </c>
      <c r="J627" s="50">
        <f>IF(G627="","",G627+N(I627))</f>
        <v/>
      </c>
      <c r="K627" s="45" t="n"/>
      <c r="L627" s="47" t="n"/>
      <c r="M627" s="48" t="n"/>
      <c r="N627" s="49" t="n"/>
      <c r="O627" s="50">
        <f>IF(M627="","",ROUND(M627*N627,2))</f>
        <v/>
      </c>
      <c r="P627" s="50">
        <f>IF(M627="","",M627+N(O627))</f>
        <v/>
      </c>
      <c r="Q627" s="45" t="n"/>
      <c r="R627" s="45" t="n"/>
      <c r="S627" s="51">
        <f>IF(L627="","",IF(COUNTIF(L$6:L627,L627)&gt;1,"",SUMIF(L$6:L$2000,L627,M$6:M$2000)-SUMIF(L$6:L$2000,L627,G$6:G$2000)))</f>
        <v/>
      </c>
      <c r="T627" s="46">
        <f>IF(AND(C627="",G627=""),"",IF(L627="","Nog factureren",IF(AND(G627&lt;&gt;"",OR(K627="",K627&gt;TODAY())),"Nog betalen",IF(OR(R627="",R627&gt;TODAY()),"Wacht op klant","Afgerond"))))</f>
        <v/>
      </c>
    </row>
    <row r="628">
      <c r="A628" s="45" t="n"/>
      <c r="B628" s="46">
        <f>IF(A628="","",YEAR(A628)&amp;" Q"&amp;ROUNDUP(MONTH(A628)/3,0))</f>
        <v/>
      </c>
      <c r="C628" s="47" t="n"/>
      <c r="D628" s="47" t="n"/>
      <c r="E628" s="47" t="n"/>
      <c r="F628" s="47" t="n"/>
      <c r="G628" s="48" t="n"/>
      <c r="H628" s="49" t="n"/>
      <c r="I628" s="50">
        <f>IF(G628="","",ROUND(G628*H628,2))</f>
        <v/>
      </c>
      <c r="J628" s="50">
        <f>IF(G628="","",G628+N(I628))</f>
        <v/>
      </c>
      <c r="K628" s="45" t="n"/>
      <c r="L628" s="47" t="n"/>
      <c r="M628" s="48" t="n"/>
      <c r="N628" s="49" t="n"/>
      <c r="O628" s="50">
        <f>IF(M628="","",ROUND(M628*N628,2))</f>
        <v/>
      </c>
      <c r="P628" s="50">
        <f>IF(M628="","",M628+N(O628))</f>
        <v/>
      </c>
      <c r="Q628" s="45" t="n"/>
      <c r="R628" s="45" t="n"/>
      <c r="S628" s="51">
        <f>IF(L628="","",IF(COUNTIF(L$6:L628,L628)&gt;1,"",SUMIF(L$6:L$2000,L628,M$6:M$2000)-SUMIF(L$6:L$2000,L628,G$6:G$2000)))</f>
        <v/>
      </c>
      <c r="T628" s="46">
        <f>IF(AND(C628="",G628=""),"",IF(L628="","Nog factureren",IF(AND(G628&lt;&gt;"",OR(K628="",K628&gt;TODAY())),"Nog betalen",IF(OR(R628="",R628&gt;TODAY()),"Wacht op klant","Afgerond"))))</f>
        <v/>
      </c>
    </row>
    <row r="629">
      <c r="A629" s="45" t="n"/>
      <c r="B629" s="46">
        <f>IF(A629="","",YEAR(A629)&amp;" Q"&amp;ROUNDUP(MONTH(A629)/3,0))</f>
        <v/>
      </c>
      <c r="C629" s="47" t="n"/>
      <c r="D629" s="47" t="n"/>
      <c r="E629" s="47" t="n"/>
      <c r="F629" s="47" t="n"/>
      <c r="G629" s="48" t="n"/>
      <c r="H629" s="49" t="n"/>
      <c r="I629" s="50">
        <f>IF(G629="","",ROUND(G629*H629,2))</f>
        <v/>
      </c>
      <c r="J629" s="50">
        <f>IF(G629="","",G629+N(I629))</f>
        <v/>
      </c>
      <c r="K629" s="45" t="n"/>
      <c r="L629" s="47" t="n"/>
      <c r="M629" s="48" t="n"/>
      <c r="N629" s="49" t="n"/>
      <c r="O629" s="50">
        <f>IF(M629="","",ROUND(M629*N629,2))</f>
        <v/>
      </c>
      <c r="P629" s="50">
        <f>IF(M629="","",M629+N(O629))</f>
        <v/>
      </c>
      <c r="Q629" s="45" t="n"/>
      <c r="R629" s="45" t="n"/>
      <c r="S629" s="51">
        <f>IF(L629="","",IF(COUNTIF(L$6:L629,L629)&gt;1,"",SUMIF(L$6:L$2000,L629,M$6:M$2000)-SUMIF(L$6:L$2000,L629,G$6:G$2000)))</f>
        <v/>
      </c>
      <c r="T629" s="46">
        <f>IF(AND(C629="",G629=""),"",IF(L629="","Nog factureren",IF(AND(G629&lt;&gt;"",OR(K629="",K629&gt;TODAY())),"Nog betalen",IF(OR(R629="",R629&gt;TODAY()),"Wacht op klant","Afgerond"))))</f>
        <v/>
      </c>
    </row>
    <row r="630">
      <c r="A630" s="45" t="n"/>
      <c r="B630" s="46">
        <f>IF(A630="","",YEAR(A630)&amp;" Q"&amp;ROUNDUP(MONTH(A630)/3,0))</f>
        <v/>
      </c>
      <c r="C630" s="47" t="n"/>
      <c r="D630" s="47" t="n"/>
      <c r="E630" s="47" t="n"/>
      <c r="F630" s="47" t="n"/>
      <c r="G630" s="48" t="n"/>
      <c r="H630" s="49" t="n"/>
      <c r="I630" s="50">
        <f>IF(G630="","",ROUND(G630*H630,2))</f>
        <v/>
      </c>
      <c r="J630" s="50">
        <f>IF(G630="","",G630+N(I630))</f>
        <v/>
      </c>
      <c r="K630" s="45" t="n"/>
      <c r="L630" s="47" t="n"/>
      <c r="M630" s="48" t="n"/>
      <c r="N630" s="49" t="n"/>
      <c r="O630" s="50">
        <f>IF(M630="","",ROUND(M630*N630,2))</f>
        <v/>
      </c>
      <c r="P630" s="50">
        <f>IF(M630="","",M630+N(O630))</f>
        <v/>
      </c>
      <c r="Q630" s="45" t="n"/>
      <c r="R630" s="45" t="n"/>
      <c r="S630" s="51">
        <f>IF(L630="","",IF(COUNTIF(L$6:L630,L630)&gt;1,"",SUMIF(L$6:L$2000,L630,M$6:M$2000)-SUMIF(L$6:L$2000,L630,G$6:G$2000)))</f>
        <v/>
      </c>
      <c r="T630" s="46">
        <f>IF(AND(C630="",G630=""),"",IF(L630="","Nog factureren",IF(AND(G630&lt;&gt;"",OR(K630="",K630&gt;TODAY())),"Nog betalen",IF(OR(R630="",R630&gt;TODAY()),"Wacht op klant","Afgerond"))))</f>
        <v/>
      </c>
    </row>
    <row r="631">
      <c r="A631" s="45" t="n"/>
      <c r="B631" s="46">
        <f>IF(A631="","",YEAR(A631)&amp;" Q"&amp;ROUNDUP(MONTH(A631)/3,0))</f>
        <v/>
      </c>
      <c r="C631" s="47" t="n"/>
      <c r="D631" s="47" t="n"/>
      <c r="E631" s="47" t="n"/>
      <c r="F631" s="47" t="n"/>
      <c r="G631" s="48" t="n"/>
      <c r="H631" s="49" t="n"/>
      <c r="I631" s="50">
        <f>IF(G631="","",ROUND(G631*H631,2))</f>
        <v/>
      </c>
      <c r="J631" s="50">
        <f>IF(G631="","",G631+N(I631))</f>
        <v/>
      </c>
      <c r="K631" s="45" t="n"/>
      <c r="L631" s="47" t="n"/>
      <c r="M631" s="48" t="n"/>
      <c r="N631" s="49" t="n"/>
      <c r="O631" s="50">
        <f>IF(M631="","",ROUND(M631*N631,2))</f>
        <v/>
      </c>
      <c r="P631" s="50">
        <f>IF(M631="","",M631+N(O631))</f>
        <v/>
      </c>
      <c r="Q631" s="45" t="n"/>
      <c r="R631" s="45" t="n"/>
      <c r="S631" s="51">
        <f>IF(L631="","",IF(COUNTIF(L$6:L631,L631)&gt;1,"",SUMIF(L$6:L$2000,L631,M$6:M$2000)-SUMIF(L$6:L$2000,L631,G$6:G$2000)))</f>
        <v/>
      </c>
      <c r="T631" s="46">
        <f>IF(AND(C631="",G631=""),"",IF(L631="","Nog factureren",IF(AND(G631&lt;&gt;"",OR(K631="",K631&gt;TODAY())),"Nog betalen",IF(OR(R631="",R631&gt;TODAY()),"Wacht op klant","Afgerond"))))</f>
        <v/>
      </c>
    </row>
    <row r="632">
      <c r="A632" s="45" t="n"/>
      <c r="B632" s="46">
        <f>IF(A632="","",YEAR(A632)&amp;" Q"&amp;ROUNDUP(MONTH(A632)/3,0))</f>
        <v/>
      </c>
      <c r="C632" s="47" t="n"/>
      <c r="D632" s="47" t="n"/>
      <c r="E632" s="47" t="n"/>
      <c r="F632" s="47" t="n"/>
      <c r="G632" s="48" t="n"/>
      <c r="H632" s="49" t="n"/>
      <c r="I632" s="50">
        <f>IF(G632="","",ROUND(G632*H632,2))</f>
        <v/>
      </c>
      <c r="J632" s="50">
        <f>IF(G632="","",G632+N(I632))</f>
        <v/>
      </c>
      <c r="K632" s="45" t="n"/>
      <c r="L632" s="47" t="n"/>
      <c r="M632" s="48" t="n"/>
      <c r="N632" s="49" t="n"/>
      <c r="O632" s="50">
        <f>IF(M632="","",ROUND(M632*N632,2))</f>
        <v/>
      </c>
      <c r="P632" s="50">
        <f>IF(M632="","",M632+N(O632))</f>
        <v/>
      </c>
      <c r="Q632" s="45" t="n"/>
      <c r="R632" s="45" t="n"/>
      <c r="S632" s="51">
        <f>IF(L632="","",IF(COUNTIF(L$6:L632,L632)&gt;1,"",SUMIF(L$6:L$2000,L632,M$6:M$2000)-SUMIF(L$6:L$2000,L632,G$6:G$2000)))</f>
        <v/>
      </c>
      <c r="T632" s="46">
        <f>IF(AND(C632="",G632=""),"",IF(L632="","Nog factureren",IF(AND(G632&lt;&gt;"",OR(K632="",K632&gt;TODAY())),"Nog betalen",IF(OR(R632="",R632&gt;TODAY()),"Wacht op klant","Afgerond"))))</f>
        <v/>
      </c>
    </row>
    <row r="633">
      <c r="A633" s="45" t="n"/>
      <c r="B633" s="46">
        <f>IF(A633="","",YEAR(A633)&amp;" Q"&amp;ROUNDUP(MONTH(A633)/3,0))</f>
        <v/>
      </c>
      <c r="C633" s="47" t="n"/>
      <c r="D633" s="47" t="n"/>
      <c r="E633" s="47" t="n"/>
      <c r="F633" s="47" t="n"/>
      <c r="G633" s="48" t="n"/>
      <c r="H633" s="49" t="n"/>
      <c r="I633" s="50">
        <f>IF(G633="","",ROUND(G633*H633,2))</f>
        <v/>
      </c>
      <c r="J633" s="50">
        <f>IF(G633="","",G633+N(I633))</f>
        <v/>
      </c>
      <c r="K633" s="45" t="n"/>
      <c r="L633" s="47" t="n"/>
      <c r="M633" s="48" t="n"/>
      <c r="N633" s="49" t="n"/>
      <c r="O633" s="50">
        <f>IF(M633="","",ROUND(M633*N633,2))</f>
        <v/>
      </c>
      <c r="P633" s="50">
        <f>IF(M633="","",M633+N(O633))</f>
        <v/>
      </c>
      <c r="Q633" s="45" t="n"/>
      <c r="R633" s="45" t="n"/>
      <c r="S633" s="51">
        <f>IF(L633="","",IF(COUNTIF(L$6:L633,L633)&gt;1,"",SUMIF(L$6:L$2000,L633,M$6:M$2000)-SUMIF(L$6:L$2000,L633,G$6:G$2000)))</f>
        <v/>
      </c>
      <c r="T633" s="46">
        <f>IF(AND(C633="",G633=""),"",IF(L633="","Nog factureren",IF(AND(G633&lt;&gt;"",OR(K633="",K633&gt;TODAY())),"Nog betalen",IF(OR(R633="",R633&gt;TODAY()),"Wacht op klant","Afgerond"))))</f>
        <v/>
      </c>
    </row>
    <row r="634">
      <c r="A634" s="45" t="n"/>
      <c r="B634" s="46">
        <f>IF(A634="","",YEAR(A634)&amp;" Q"&amp;ROUNDUP(MONTH(A634)/3,0))</f>
        <v/>
      </c>
      <c r="C634" s="47" t="n"/>
      <c r="D634" s="47" t="n"/>
      <c r="E634" s="47" t="n"/>
      <c r="F634" s="47" t="n"/>
      <c r="G634" s="48" t="n"/>
      <c r="H634" s="49" t="n"/>
      <c r="I634" s="50">
        <f>IF(G634="","",ROUND(G634*H634,2))</f>
        <v/>
      </c>
      <c r="J634" s="50">
        <f>IF(G634="","",G634+N(I634))</f>
        <v/>
      </c>
      <c r="K634" s="45" t="n"/>
      <c r="L634" s="47" t="n"/>
      <c r="M634" s="48" t="n"/>
      <c r="N634" s="49" t="n"/>
      <c r="O634" s="50">
        <f>IF(M634="","",ROUND(M634*N634,2))</f>
        <v/>
      </c>
      <c r="P634" s="50">
        <f>IF(M634="","",M634+N(O634))</f>
        <v/>
      </c>
      <c r="Q634" s="45" t="n"/>
      <c r="R634" s="45" t="n"/>
      <c r="S634" s="51">
        <f>IF(L634="","",IF(COUNTIF(L$6:L634,L634)&gt;1,"",SUMIF(L$6:L$2000,L634,M$6:M$2000)-SUMIF(L$6:L$2000,L634,G$6:G$2000)))</f>
        <v/>
      </c>
      <c r="T634" s="46">
        <f>IF(AND(C634="",G634=""),"",IF(L634="","Nog factureren",IF(AND(G634&lt;&gt;"",OR(K634="",K634&gt;TODAY())),"Nog betalen",IF(OR(R634="",R634&gt;TODAY()),"Wacht op klant","Afgerond"))))</f>
        <v/>
      </c>
    </row>
    <row r="635">
      <c r="A635" s="45" t="n"/>
      <c r="B635" s="46">
        <f>IF(A635="","",YEAR(A635)&amp;" Q"&amp;ROUNDUP(MONTH(A635)/3,0))</f>
        <v/>
      </c>
      <c r="C635" s="47" t="n"/>
      <c r="D635" s="47" t="n"/>
      <c r="E635" s="47" t="n"/>
      <c r="F635" s="47" t="n"/>
      <c r="G635" s="48" t="n"/>
      <c r="H635" s="49" t="n"/>
      <c r="I635" s="50">
        <f>IF(G635="","",ROUND(G635*H635,2))</f>
        <v/>
      </c>
      <c r="J635" s="50">
        <f>IF(G635="","",G635+N(I635))</f>
        <v/>
      </c>
      <c r="K635" s="45" t="n"/>
      <c r="L635" s="47" t="n"/>
      <c r="M635" s="48" t="n"/>
      <c r="N635" s="49" t="n"/>
      <c r="O635" s="50">
        <f>IF(M635="","",ROUND(M635*N635,2))</f>
        <v/>
      </c>
      <c r="P635" s="50">
        <f>IF(M635="","",M635+N(O635))</f>
        <v/>
      </c>
      <c r="Q635" s="45" t="n"/>
      <c r="R635" s="45" t="n"/>
      <c r="S635" s="51">
        <f>IF(L635="","",IF(COUNTIF(L$6:L635,L635)&gt;1,"",SUMIF(L$6:L$2000,L635,M$6:M$2000)-SUMIF(L$6:L$2000,L635,G$6:G$2000)))</f>
        <v/>
      </c>
      <c r="T635" s="46">
        <f>IF(AND(C635="",G635=""),"",IF(L635="","Nog factureren",IF(AND(G635&lt;&gt;"",OR(K635="",K635&gt;TODAY())),"Nog betalen",IF(OR(R635="",R635&gt;TODAY()),"Wacht op klant","Afgerond"))))</f>
        <v/>
      </c>
    </row>
    <row r="636">
      <c r="A636" s="45" t="n"/>
      <c r="B636" s="46">
        <f>IF(A636="","",YEAR(A636)&amp;" Q"&amp;ROUNDUP(MONTH(A636)/3,0))</f>
        <v/>
      </c>
      <c r="C636" s="47" t="n"/>
      <c r="D636" s="47" t="n"/>
      <c r="E636" s="47" t="n"/>
      <c r="F636" s="47" t="n"/>
      <c r="G636" s="48" t="n"/>
      <c r="H636" s="49" t="n"/>
      <c r="I636" s="50">
        <f>IF(G636="","",ROUND(G636*H636,2))</f>
        <v/>
      </c>
      <c r="J636" s="50">
        <f>IF(G636="","",G636+N(I636))</f>
        <v/>
      </c>
      <c r="K636" s="45" t="n"/>
      <c r="L636" s="47" t="n"/>
      <c r="M636" s="48" t="n"/>
      <c r="N636" s="49" t="n"/>
      <c r="O636" s="50">
        <f>IF(M636="","",ROUND(M636*N636,2))</f>
        <v/>
      </c>
      <c r="P636" s="50">
        <f>IF(M636="","",M636+N(O636))</f>
        <v/>
      </c>
      <c r="Q636" s="45" t="n"/>
      <c r="R636" s="45" t="n"/>
      <c r="S636" s="51">
        <f>IF(L636="","",IF(COUNTIF(L$6:L636,L636)&gt;1,"",SUMIF(L$6:L$2000,L636,M$6:M$2000)-SUMIF(L$6:L$2000,L636,G$6:G$2000)))</f>
        <v/>
      </c>
      <c r="T636" s="46">
        <f>IF(AND(C636="",G636=""),"",IF(L636="","Nog factureren",IF(AND(G636&lt;&gt;"",OR(K636="",K636&gt;TODAY())),"Nog betalen",IF(OR(R636="",R636&gt;TODAY()),"Wacht op klant","Afgerond"))))</f>
        <v/>
      </c>
    </row>
    <row r="637">
      <c r="A637" s="45" t="n"/>
      <c r="B637" s="46">
        <f>IF(A637="","",YEAR(A637)&amp;" Q"&amp;ROUNDUP(MONTH(A637)/3,0))</f>
        <v/>
      </c>
      <c r="C637" s="47" t="n"/>
      <c r="D637" s="47" t="n"/>
      <c r="E637" s="47" t="n"/>
      <c r="F637" s="47" t="n"/>
      <c r="G637" s="48" t="n"/>
      <c r="H637" s="49" t="n"/>
      <c r="I637" s="50">
        <f>IF(G637="","",ROUND(G637*H637,2))</f>
        <v/>
      </c>
      <c r="J637" s="50">
        <f>IF(G637="","",G637+N(I637))</f>
        <v/>
      </c>
      <c r="K637" s="45" t="n"/>
      <c r="L637" s="47" t="n"/>
      <c r="M637" s="48" t="n"/>
      <c r="N637" s="49" t="n"/>
      <c r="O637" s="50">
        <f>IF(M637="","",ROUND(M637*N637,2))</f>
        <v/>
      </c>
      <c r="P637" s="50">
        <f>IF(M637="","",M637+N(O637))</f>
        <v/>
      </c>
      <c r="Q637" s="45" t="n"/>
      <c r="R637" s="45" t="n"/>
      <c r="S637" s="51">
        <f>IF(L637="","",IF(COUNTIF(L$6:L637,L637)&gt;1,"",SUMIF(L$6:L$2000,L637,M$6:M$2000)-SUMIF(L$6:L$2000,L637,G$6:G$2000)))</f>
        <v/>
      </c>
      <c r="T637" s="46">
        <f>IF(AND(C637="",G637=""),"",IF(L637="","Nog factureren",IF(AND(G637&lt;&gt;"",OR(K637="",K637&gt;TODAY())),"Nog betalen",IF(OR(R637="",R637&gt;TODAY()),"Wacht op klant","Afgerond"))))</f>
        <v/>
      </c>
    </row>
    <row r="638">
      <c r="A638" s="45" t="n"/>
      <c r="B638" s="46">
        <f>IF(A638="","",YEAR(A638)&amp;" Q"&amp;ROUNDUP(MONTH(A638)/3,0))</f>
        <v/>
      </c>
      <c r="C638" s="47" t="n"/>
      <c r="D638" s="47" t="n"/>
      <c r="E638" s="47" t="n"/>
      <c r="F638" s="47" t="n"/>
      <c r="G638" s="48" t="n"/>
      <c r="H638" s="49" t="n"/>
      <c r="I638" s="50">
        <f>IF(G638="","",ROUND(G638*H638,2))</f>
        <v/>
      </c>
      <c r="J638" s="50">
        <f>IF(G638="","",G638+N(I638))</f>
        <v/>
      </c>
      <c r="K638" s="45" t="n"/>
      <c r="L638" s="47" t="n"/>
      <c r="M638" s="48" t="n"/>
      <c r="N638" s="49" t="n"/>
      <c r="O638" s="50">
        <f>IF(M638="","",ROUND(M638*N638,2))</f>
        <v/>
      </c>
      <c r="P638" s="50">
        <f>IF(M638="","",M638+N(O638))</f>
        <v/>
      </c>
      <c r="Q638" s="45" t="n"/>
      <c r="R638" s="45" t="n"/>
      <c r="S638" s="51">
        <f>IF(L638="","",IF(COUNTIF(L$6:L638,L638)&gt;1,"",SUMIF(L$6:L$2000,L638,M$6:M$2000)-SUMIF(L$6:L$2000,L638,G$6:G$2000)))</f>
        <v/>
      </c>
      <c r="T638" s="46">
        <f>IF(AND(C638="",G638=""),"",IF(L638="","Nog factureren",IF(AND(G638&lt;&gt;"",OR(K638="",K638&gt;TODAY())),"Nog betalen",IF(OR(R638="",R638&gt;TODAY()),"Wacht op klant","Afgerond"))))</f>
        <v/>
      </c>
    </row>
    <row r="639">
      <c r="A639" s="45" t="n"/>
      <c r="B639" s="46">
        <f>IF(A639="","",YEAR(A639)&amp;" Q"&amp;ROUNDUP(MONTH(A639)/3,0))</f>
        <v/>
      </c>
      <c r="C639" s="47" t="n"/>
      <c r="D639" s="47" t="n"/>
      <c r="E639" s="47" t="n"/>
      <c r="F639" s="47" t="n"/>
      <c r="G639" s="48" t="n"/>
      <c r="H639" s="49" t="n"/>
      <c r="I639" s="50">
        <f>IF(G639="","",ROUND(G639*H639,2))</f>
        <v/>
      </c>
      <c r="J639" s="50">
        <f>IF(G639="","",G639+N(I639))</f>
        <v/>
      </c>
      <c r="K639" s="45" t="n"/>
      <c r="L639" s="47" t="n"/>
      <c r="M639" s="48" t="n"/>
      <c r="N639" s="49" t="n"/>
      <c r="O639" s="50">
        <f>IF(M639="","",ROUND(M639*N639,2))</f>
        <v/>
      </c>
      <c r="P639" s="50">
        <f>IF(M639="","",M639+N(O639))</f>
        <v/>
      </c>
      <c r="Q639" s="45" t="n"/>
      <c r="R639" s="45" t="n"/>
      <c r="S639" s="51">
        <f>IF(L639="","",IF(COUNTIF(L$6:L639,L639)&gt;1,"",SUMIF(L$6:L$2000,L639,M$6:M$2000)-SUMIF(L$6:L$2000,L639,G$6:G$2000)))</f>
        <v/>
      </c>
      <c r="T639" s="46">
        <f>IF(AND(C639="",G639=""),"",IF(L639="","Nog factureren",IF(AND(G639&lt;&gt;"",OR(K639="",K639&gt;TODAY())),"Nog betalen",IF(OR(R639="",R639&gt;TODAY()),"Wacht op klant","Afgerond"))))</f>
        <v/>
      </c>
    </row>
    <row r="640">
      <c r="A640" s="45" t="n"/>
      <c r="B640" s="46">
        <f>IF(A640="","",YEAR(A640)&amp;" Q"&amp;ROUNDUP(MONTH(A640)/3,0))</f>
        <v/>
      </c>
      <c r="C640" s="47" t="n"/>
      <c r="D640" s="47" t="n"/>
      <c r="E640" s="47" t="n"/>
      <c r="F640" s="47" t="n"/>
      <c r="G640" s="48" t="n"/>
      <c r="H640" s="49" t="n"/>
      <c r="I640" s="50">
        <f>IF(G640="","",ROUND(G640*H640,2))</f>
        <v/>
      </c>
      <c r="J640" s="50">
        <f>IF(G640="","",G640+N(I640))</f>
        <v/>
      </c>
      <c r="K640" s="45" t="n"/>
      <c r="L640" s="47" t="n"/>
      <c r="M640" s="48" t="n"/>
      <c r="N640" s="49" t="n"/>
      <c r="O640" s="50">
        <f>IF(M640="","",ROUND(M640*N640,2))</f>
        <v/>
      </c>
      <c r="P640" s="50">
        <f>IF(M640="","",M640+N(O640))</f>
        <v/>
      </c>
      <c r="Q640" s="45" t="n"/>
      <c r="R640" s="45" t="n"/>
      <c r="S640" s="51">
        <f>IF(L640="","",IF(COUNTIF(L$6:L640,L640)&gt;1,"",SUMIF(L$6:L$2000,L640,M$6:M$2000)-SUMIF(L$6:L$2000,L640,G$6:G$2000)))</f>
        <v/>
      </c>
      <c r="T640" s="46">
        <f>IF(AND(C640="",G640=""),"",IF(L640="","Nog factureren",IF(AND(G640&lt;&gt;"",OR(K640="",K640&gt;TODAY())),"Nog betalen",IF(OR(R640="",R640&gt;TODAY()),"Wacht op klant","Afgerond"))))</f>
        <v/>
      </c>
    </row>
    <row r="641">
      <c r="A641" s="45" t="n"/>
      <c r="B641" s="46">
        <f>IF(A641="","",YEAR(A641)&amp;" Q"&amp;ROUNDUP(MONTH(A641)/3,0))</f>
        <v/>
      </c>
      <c r="C641" s="47" t="n"/>
      <c r="D641" s="47" t="n"/>
      <c r="E641" s="47" t="n"/>
      <c r="F641" s="47" t="n"/>
      <c r="G641" s="48" t="n"/>
      <c r="H641" s="49" t="n"/>
      <c r="I641" s="50">
        <f>IF(G641="","",ROUND(G641*H641,2))</f>
        <v/>
      </c>
      <c r="J641" s="50">
        <f>IF(G641="","",G641+N(I641))</f>
        <v/>
      </c>
      <c r="K641" s="45" t="n"/>
      <c r="L641" s="47" t="n"/>
      <c r="M641" s="48" t="n"/>
      <c r="N641" s="49" t="n"/>
      <c r="O641" s="50">
        <f>IF(M641="","",ROUND(M641*N641,2))</f>
        <v/>
      </c>
      <c r="P641" s="50">
        <f>IF(M641="","",M641+N(O641))</f>
        <v/>
      </c>
      <c r="Q641" s="45" t="n"/>
      <c r="R641" s="45" t="n"/>
      <c r="S641" s="51">
        <f>IF(L641="","",IF(COUNTIF(L$6:L641,L641)&gt;1,"",SUMIF(L$6:L$2000,L641,M$6:M$2000)-SUMIF(L$6:L$2000,L641,G$6:G$2000)))</f>
        <v/>
      </c>
      <c r="T641" s="46">
        <f>IF(AND(C641="",G641=""),"",IF(L641="","Nog factureren",IF(AND(G641&lt;&gt;"",OR(K641="",K641&gt;TODAY())),"Nog betalen",IF(OR(R641="",R641&gt;TODAY()),"Wacht op klant","Afgerond"))))</f>
        <v/>
      </c>
    </row>
    <row r="642">
      <c r="A642" s="45" t="n"/>
      <c r="B642" s="46">
        <f>IF(A642="","",YEAR(A642)&amp;" Q"&amp;ROUNDUP(MONTH(A642)/3,0))</f>
        <v/>
      </c>
      <c r="C642" s="47" t="n"/>
      <c r="D642" s="47" t="n"/>
      <c r="E642" s="47" t="n"/>
      <c r="F642" s="47" t="n"/>
      <c r="G642" s="48" t="n"/>
      <c r="H642" s="49" t="n"/>
      <c r="I642" s="50">
        <f>IF(G642="","",ROUND(G642*H642,2))</f>
        <v/>
      </c>
      <c r="J642" s="50">
        <f>IF(G642="","",G642+N(I642))</f>
        <v/>
      </c>
      <c r="K642" s="45" t="n"/>
      <c r="L642" s="47" t="n"/>
      <c r="M642" s="48" t="n"/>
      <c r="N642" s="49" t="n"/>
      <c r="O642" s="50">
        <f>IF(M642="","",ROUND(M642*N642,2))</f>
        <v/>
      </c>
      <c r="P642" s="50">
        <f>IF(M642="","",M642+N(O642))</f>
        <v/>
      </c>
      <c r="Q642" s="45" t="n"/>
      <c r="R642" s="45" t="n"/>
      <c r="S642" s="51">
        <f>IF(L642="","",IF(COUNTIF(L$6:L642,L642)&gt;1,"",SUMIF(L$6:L$2000,L642,M$6:M$2000)-SUMIF(L$6:L$2000,L642,G$6:G$2000)))</f>
        <v/>
      </c>
      <c r="T642" s="46">
        <f>IF(AND(C642="",G642=""),"",IF(L642="","Nog factureren",IF(AND(G642&lt;&gt;"",OR(K642="",K642&gt;TODAY())),"Nog betalen",IF(OR(R642="",R642&gt;TODAY()),"Wacht op klant","Afgerond"))))</f>
        <v/>
      </c>
    </row>
    <row r="643">
      <c r="A643" s="45" t="n"/>
      <c r="B643" s="46">
        <f>IF(A643="","",YEAR(A643)&amp;" Q"&amp;ROUNDUP(MONTH(A643)/3,0))</f>
        <v/>
      </c>
      <c r="C643" s="47" t="n"/>
      <c r="D643" s="47" t="n"/>
      <c r="E643" s="47" t="n"/>
      <c r="F643" s="47" t="n"/>
      <c r="G643" s="48" t="n"/>
      <c r="H643" s="49" t="n"/>
      <c r="I643" s="50">
        <f>IF(G643="","",ROUND(G643*H643,2))</f>
        <v/>
      </c>
      <c r="J643" s="50">
        <f>IF(G643="","",G643+N(I643))</f>
        <v/>
      </c>
      <c r="K643" s="45" t="n"/>
      <c r="L643" s="47" t="n"/>
      <c r="M643" s="48" t="n"/>
      <c r="N643" s="49" t="n"/>
      <c r="O643" s="50">
        <f>IF(M643="","",ROUND(M643*N643,2))</f>
        <v/>
      </c>
      <c r="P643" s="50">
        <f>IF(M643="","",M643+N(O643))</f>
        <v/>
      </c>
      <c r="Q643" s="45" t="n"/>
      <c r="R643" s="45" t="n"/>
      <c r="S643" s="51">
        <f>IF(L643="","",IF(COUNTIF(L$6:L643,L643)&gt;1,"",SUMIF(L$6:L$2000,L643,M$6:M$2000)-SUMIF(L$6:L$2000,L643,G$6:G$2000)))</f>
        <v/>
      </c>
      <c r="T643" s="46">
        <f>IF(AND(C643="",G643=""),"",IF(L643="","Nog factureren",IF(AND(G643&lt;&gt;"",OR(K643="",K643&gt;TODAY())),"Nog betalen",IF(OR(R643="",R643&gt;TODAY()),"Wacht op klant","Afgerond"))))</f>
        <v/>
      </c>
    </row>
    <row r="644">
      <c r="A644" s="45" t="n"/>
      <c r="B644" s="46">
        <f>IF(A644="","",YEAR(A644)&amp;" Q"&amp;ROUNDUP(MONTH(A644)/3,0))</f>
        <v/>
      </c>
      <c r="C644" s="47" t="n"/>
      <c r="D644" s="47" t="n"/>
      <c r="E644" s="47" t="n"/>
      <c r="F644" s="47" t="n"/>
      <c r="G644" s="48" t="n"/>
      <c r="H644" s="49" t="n"/>
      <c r="I644" s="50">
        <f>IF(G644="","",ROUND(G644*H644,2))</f>
        <v/>
      </c>
      <c r="J644" s="50">
        <f>IF(G644="","",G644+N(I644))</f>
        <v/>
      </c>
      <c r="K644" s="45" t="n"/>
      <c r="L644" s="47" t="n"/>
      <c r="M644" s="48" t="n"/>
      <c r="N644" s="49" t="n"/>
      <c r="O644" s="50">
        <f>IF(M644="","",ROUND(M644*N644,2))</f>
        <v/>
      </c>
      <c r="P644" s="50">
        <f>IF(M644="","",M644+N(O644))</f>
        <v/>
      </c>
      <c r="Q644" s="45" t="n"/>
      <c r="R644" s="45" t="n"/>
      <c r="S644" s="51">
        <f>IF(L644="","",IF(COUNTIF(L$6:L644,L644)&gt;1,"",SUMIF(L$6:L$2000,L644,M$6:M$2000)-SUMIF(L$6:L$2000,L644,G$6:G$2000)))</f>
        <v/>
      </c>
      <c r="T644" s="46">
        <f>IF(AND(C644="",G644=""),"",IF(L644="","Nog factureren",IF(AND(G644&lt;&gt;"",OR(K644="",K644&gt;TODAY())),"Nog betalen",IF(OR(R644="",R644&gt;TODAY()),"Wacht op klant","Afgerond"))))</f>
        <v/>
      </c>
    </row>
    <row r="645">
      <c r="A645" s="45" t="n"/>
      <c r="B645" s="46">
        <f>IF(A645="","",YEAR(A645)&amp;" Q"&amp;ROUNDUP(MONTH(A645)/3,0))</f>
        <v/>
      </c>
      <c r="C645" s="47" t="n"/>
      <c r="D645" s="47" t="n"/>
      <c r="E645" s="47" t="n"/>
      <c r="F645" s="47" t="n"/>
      <c r="G645" s="48" t="n"/>
      <c r="H645" s="49" t="n"/>
      <c r="I645" s="50">
        <f>IF(G645="","",ROUND(G645*H645,2))</f>
        <v/>
      </c>
      <c r="J645" s="50">
        <f>IF(G645="","",G645+N(I645))</f>
        <v/>
      </c>
      <c r="K645" s="45" t="n"/>
      <c r="L645" s="47" t="n"/>
      <c r="M645" s="48" t="n"/>
      <c r="N645" s="49" t="n"/>
      <c r="O645" s="50">
        <f>IF(M645="","",ROUND(M645*N645,2))</f>
        <v/>
      </c>
      <c r="P645" s="50">
        <f>IF(M645="","",M645+N(O645))</f>
        <v/>
      </c>
      <c r="Q645" s="45" t="n"/>
      <c r="R645" s="45" t="n"/>
      <c r="S645" s="51">
        <f>IF(L645="","",IF(COUNTIF(L$6:L645,L645)&gt;1,"",SUMIF(L$6:L$2000,L645,M$6:M$2000)-SUMIF(L$6:L$2000,L645,G$6:G$2000)))</f>
        <v/>
      </c>
      <c r="T645" s="46">
        <f>IF(AND(C645="",G645=""),"",IF(L645="","Nog factureren",IF(AND(G645&lt;&gt;"",OR(K645="",K645&gt;TODAY())),"Nog betalen",IF(OR(R645="",R645&gt;TODAY()),"Wacht op klant","Afgerond"))))</f>
        <v/>
      </c>
    </row>
    <row r="646">
      <c r="A646" s="45" t="n"/>
      <c r="B646" s="46">
        <f>IF(A646="","",YEAR(A646)&amp;" Q"&amp;ROUNDUP(MONTH(A646)/3,0))</f>
        <v/>
      </c>
      <c r="C646" s="47" t="n"/>
      <c r="D646" s="47" t="n"/>
      <c r="E646" s="47" t="n"/>
      <c r="F646" s="47" t="n"/>
      <c r="G646" s="48" t="n"/>
      <c r="H646" s="49" t="n"/>
      <c r="I646" s="50">
        <f>IF(G646="","",ROUND(G646*H646,2))</f>
        <v/>
      </c>
      <c r="J646" s="50">
        <f>IF(G646="","",G646+N(I646))</f>
        <v/>
      </c>
      <c r="K646" s="45" t="n"/>
      <c r="L646" s="47" t="n"/>
      <c r="M646" s="48" t="n"/>
      <c r="N646" s="49" t="n"/>
      <c r="O646" s="50">
        <f>IF(M646="","",ROUND(M646*N646,2))</f>
        <v/>
      </c>
      <c r="P646" s="50">
        <f>IF(M646="","",M646+N(O646))</f>
        <v/>
      </c>
      <c r="Q646" s="45" t="n"/>
      <c r="R646" s="45" t="n"/>
      <c r="S646" s="51">
        <f>IF(L646="","",IF(COUNTIF(L$6:L646,L646)&gt;1,"",SUMIF(L$6:L$2000,L646,M$6:M$2000)-SUMIF(L$6:L$2000,L646,G$6:G$2000)))</f>
        <v/>
      </c>
      <c r="T646" s="46">
        <f>IF(AND(C646="",G646=""),"",IF(L646="","Nog factureren",IF(AND(G646&lt;&gt;"",OR(K646="",K646&gt;TODAY())),"Nog betalen",IF(OR(R646="",R646&gt;TODAY()),"Wacht op klant","Afgerond"))))</f>
        <v/>
      </c>
    </row>
    <row r="647">
      <c r="A647" s="45" t="n"/>
      <c r="B647" s="46">
        <f>IF(A647="","",YEAR(A647)&amp;" Q"&amp;ROUNDUP(MONTH(A647)/3,0))</f>
        <v/>
      </c>
      <c r="C647" s="47" t="n"/>
      <c r="D647" s="47" t="n"/>
      <c r="E647" s="47" t="n"/>
      <c r="F647" s="47" t="n"/>
      <c r="G647" s="48" t="n"/>
      <c r="H647" s="49" t="n"/>
      <c r="I647" s="50">
        <f>IF(G647="","",ROUND(G647*H647,2))</f>
        <v/>
      </c>
      <c r="J647" s="50">
        <f>IF(G647="","",G647+N(I647))</f>
        <v/>
      </c>
      <c r="K647" s="45" t="n"/>
      <c r="L647" s="47" t="n"/>
      <c r="M647" s="48" t="n"/>
      <c r="N647" s="49" t="n"/>
      <c r="O647" s="50">
        <f>IF(M647="","",ROUND(M647*N647,2))</f>
        <v/>
      </c>
      <c r="P647" s="50">
        <f>IF(M647="","",M647+N(O647))</f>
        <v/>
      </c>
      <c r="Q647" s="45" t="n"/>
      <c r="R647" s="45" t="n"/>
      <c r="S647" s="51">
        <f>IF(L647="","",IF(COUNTIF(L$6:L647,L647)&gt;1,"",SUMIF(L$6:L$2000,L647,M$6:M$2000)-SUMIF(L$6:L$2000,L647,G$6:G$2000)))</f>
        <v/>
      </c>
      <c r="T647" s="46">
        <f>IF(AND(C647="",G647=""),"",IF(L647="","Nog factureren",IF(AND(G647&lt;&gt;"",OR(K647="",K647&gt;TODAY())),"Nog betalen",IF(OR(R647="",R647&gt;TODAY()),"Wacht op klant","Afgerond"))))</f>
        <v/>
      </c>
    </row>
    <row r="648">
      <c r="A648" s="45" t="n"/>
      <c r="B648" s="46">
        <f>IF(A648="","",YEAR(A648)&amp;" Q"&amp;ROUNDUP(MONTH(A648)/3,0))</f>
        <v/>
      </c>
      <c r="C648" s="47" t="n"/>
      <c r="D648" s="47" t="n"/>
      <c r="E648" s="47" t="n"/>
      <c r="F648" s="47" t="n"/>
      <c r="G648" s="48" t="n"/>
      <c r="H648" s="49" t="n"/>
      <c r="I648" s="50">
        <f>IF(G648="","",ROUND(G648*H648,2))</f>
        <v/>
      </c>
      <c r="J648" s="50">
        <f>IF(G648="","",G648+N(I648))</f>
        <v/>
      </c>
      <c r="K648" s="45" t="n"/>
      <c r="L648" s="47" t="n"/>
      <c r="M648" s="48" t="n"/>
      <c r="N648" s="49" t="n"/>
      <c r="O648" s="50">
        <f>IF(M648="","",ROUND(M648*N648,2))</f>
        <v/>
      </c>
      <c r="P648" s="50">
        <f>IF(M648="","",M648+N(O648))</f>
        <v/>
      </c>
      <c r="Q648" s="45" t="n"/>
      <c r="R648" s="45" t="n"/>
      <c r="S648" s="51">
        <f>IF(L648="","",IF(COUNTIF(L$6:L648,L648)&gt;1,"",SUMIF(L$6:L$2000,L648,M$6:M$2000)-SUMIF(L$6:L$2000,L648,G$6:G$2000)))</f>
        <v/>
      </c>
      <c r="T648" s="46">
        <f>IF(AND(C648="",G648=""),"",IF(L648="","Nog factureren",IF(AND(G648&lt;&gt;"",OR(K648="",K648&gt;TODAY())),"Nog betalen",IF(OR(R648="",R648&gt;TODAY()),"Wacht op klant","Afgerond"))))</f>
        <v/>
      </c>
    </row>
    <row r="649">
      <c r="A649" s="45" t="n"/>
      <c r="B649" s="46">
        <f>IF(A649="","",YEAR(A649)&amp;" Q"&amp;ROUNDUP(MONTH(A649)/3,0))</f>
        <v/>
      </c>
      <c r="C649" s="47" t="n"/>
      <c r="D649" s="47" t="n"/>
      <c r="E649" s="47" t="n"/>
      <c r="F649" s="47" t="n"/>
      <c r="G649" s="48" t="n"/>
      <c r="H649" s="49" t="n"/>
      <c r="I649" s="50">
        <f>IF(G649="","",ROUND(G649*H649,2))</f>
        <v/>
      </c>
      <c r="J649" s="50">
        <f>IF(G649="","",G649+N(I649))</f>
        <v/>
      </c>
      <c r="K649" s="45" t="n"/>
      <c r="L649" s="47" t="n"/>
      <c r="M649" s="48" t="n"/>
      <c r="N649" s="49" t="n"/>
      <c r="O649" s="50">
        <f>IF(M649="","",ROUND(M649*N649,2))</f>
        <v/>
      </c>
      <c r="P649" s="50">
        <f>IF(M649="","",M649+N(O649))</f>
        <v/>
      </c>
      <c r="Q649" s="45" t="n"/>
      <c r="R649" s="45" t="n"/>
      <c r="S649" s="51">
        <f>IF(L649="","",IF(COUNTIF(L$6:L649,L649)&gt;1,"",SUMIF(L$6:L$2000,L649,M$6:M$2000)-SUMIF(L$6:L$2000,L649,G$6:G$2000)))</f>
        <v/>
      </c>
      <c r="T649" s="46">
        <f>IF(AND(C649="",G649=""),"",IF(L649="","Nog factureren",IF(AND(G649&lt;&gt;"",OR(K649="",K649&gt;TODAY())),"Nog betalen",IF(OR(R649="",R649&gt;TODAY()),"Wacht op klant","Afgerond"))))</f>
        <v/>
      </c>
    </row>
    <row r="650">
      <c r="A650" s="45" t="n"/>
      <c r="B650" s="46">
        <f>IF(A650="","",YEAR(A650)&amp;" Q"&amp;ROUNDUP(MONTH(A650)/3,0))</f>
        <v/>
      </c>
      <c r="C650" s="47" t="n"/>
      <c r="D650" s="47" t="n"/>
      <c r="E650" s="47" t="n"/>
      <c r="F650" s="47" t="n"/>
      <c r="G650" s="48" t="n"/>
      <c r="H650" s="49" t="n"/>
      <c r="I650" s="50">
        <f>IF(G650="","",ROUND(G650*H650,2))</f>
        <v/>
      </c>
      <c r="J650" s="50">
        <f>IF(G650="","",G650+N(I650))</f>
        <v/>
      </c>
      <c r="K650" s="45" t="n"/>
      <c r="L650" s="47" t="n"/>
      <c r="M650" s="48" t="n"/>
      <c r="N650" s="49" t="n"/>
      <c r="O650" s="50">
        <f>IF(M650="","",ROUND(M650*N650,2))</f>
        <v/>
      </c>
      <c r="P650" s="50">
        <f>IF(M650="","",M650+N(O650))</f>
        <v/>
      </c>
      <c r="Q650" s="45" t="n"/>
      <c r="R650" s="45" t="n"/>
      <c r="S650" s="51">
        <f>IF(L650="","",IF(COUNTIF(L$6:L650,L650)&gt;1,"",SUMIF(L$6:L$2000,L650,M$6:M$2000)-SUMIF(L$6:L$2000,L650,G$6:G$2000)))</f>
        <v/>
      </c>
      <c r="T650" s="46">
        <f>IF(AND(C650="",G650=""),"",IF(L650="","Nog factureren",IF(AND(G650&lt;&gt;"",OR(K650="",K650&gt;TODAY())),"Nog betalen",IF(OR(R650="",R650&gt;TODAY()),"Wacht op klant","Afgerond"))))</f>
        <v/>
      </c>
    </row>
    <row r="651">
      <c r="A651" s="45" t="n"/>
      <c r="B651" s="46">
        <f>IF(A651="","",YEAR(A651)&amp;" Q"&amp;ROUNDUP(MONTH(A651)/3,0))</f>
        <v/>
      </c>
      <c r="C651" s="47" t="n"/>
      <c r="D651" s="47" t="n"/>
      <c r="E651" s="47" t="n"/>
      <c r="F651" s="47" t="n"/>
      <c r="G651" s="48" t="n"/>
      <c r="H651" s="49" t="n"/>
      <c r="I651" s="50">
        <f>IF(G651="","",ROUND(G651*H651,2))</f>
        <v/>
      </c>
      <c r="J651" s="50">
        <f>IF(G651="","",G651+N(I651))</f>
        <v/>
      </c>
      <c r="K651" s="45" t="n"/>
      <c r="L651" s="47" t="n"/>
      <c r="M651" s="48" t="n"/>
      <c r="N651" s="49" t="n"/>
      <c r="O651" s="50">
        <f>IF(M651="","",ROUND(M651*N651,2))</f>
        <v/>
      </c>
      <c r="P651" s="50">
        <f>IF(M651="","",M651+N(O651))</f>
        <v/>
      </c>
      <c r="Q651" s="45" t="n"/>
      <c r="R651" s="45" t="n"/>
      <c r="S651" s="51">
        <f>IF(L651="","",IF(COUNTIF(L$6:L651,L651)&gt;1,"",SUMIF(L$6:L$2000,L651,M$6:M$2000)-SUMIF(L$6:L$2000,L651,G$6:G$2000)))</f>
        <v/>
      </c>
      <c r="T651" s="46">
        <f>IF(AND(C651="",G651=""),"",IF(L651="","Nog factureren",IF(AND(G651&lt;&gt;"",OR(K651="",K651&gt;TODAY())),"Nog betalen",IF(OR(R651="",R651&gt;TODAY()),"Wacht op klant","Afgerond"))))</f>
        <v/>
      </c>
    </row>
    <row r="652">
      <c r="A652" s="45" t="n"/>
      <c r="B652" s="46">
        <f>IF(A652="","",YEAR(A652)&amp;" Q"&amp;ROUNDUP(MONTH(A652)/3,0))</f>
        <v/>
      </c>
      <c r="C652" s="47" t="n"/>
      <c r="D652" s="47" t="n"/>
      <c r="E652" s="47" t="n"/>
      <c r="F652" s="47" t="n"/>
      <c r="G652" s="48" t="n"/>
      <c r="H652" s="49" t="n"/>
      <c r="I652" s="50">
        <f>IF(G652="","",ROUND(G652*H652,2))</f>
        <v/>
      </c>
      <c r="J652" s="50">
        <f>IF(G652="","",G652+N(I652))</f>
        <v/>
      </c>
      <c r="K652" s="45" t="n"/>
      <c r="L652" s="47" t="n"/>
      <c r="M652" s="48" t="n"/>
      <c r="N652" s="49" t="n"/>
      <c r="O652" s="50">
        <f>IF(M652="","",ROUND(M652*N652,2))</f>
        <v/>
      </c>
      <c r="P652" s="50">
        <f>IF(M652="","",M652+N(O652))</f>
        <v/>
      </c>
      <c r="Q652" s="45" t="n"/>
      <c r="R652" s="45" t="n"/>
      <c r="S652" s="51">
        <f>IF(L652="","",IF(COUNTIF(L$6:L652,L652)&gt;1,"",SUMIF(L$6:L$2000,L652,M$6:M$2000)-SUMIF(L$6:L$2000,L652,G$6:G$2000)))</f>
        <v/>
      </c>
      <c r="T652" s="46">
        <f>IF(AND(C652="",G652=""),"",IF(L652="","Nog factureren",IF(AND(G652&lt;&gt;"",OR(K652="",K652&gt;TODAY())),"Nog betalen",IF(OR(R652="",R652&gt;TODAY()),"Wacht op klant","Afgerond"))))</f>
        <v/>
      </c>
    </row>
    <row r="653">
      <c r="A653" s="45" t="n"/>
      <c r="B653" s="46">
        <f>IF(A653="","",YEAR(A653)&amp;" Q"&amp;ROUNDUP(MONTH(A653)/3,0))</f>
        <v/>
      </c>
      <c r="C653" s="47" t="n"/>
      <c r="D653" s="47" t="n"/>
      <c r="E653" s="47" t="n"/>
      <c r="F653" s="47" t="n"/>
      <c r="G653" s="48" t="n"/>
      <c r="H653" s="49" t="n"/>
      <c r="I653" s="50">
        <f>IF(G653="","",ROUND(G653*H653,2))</f>
        <v/>
      </c>
      <c r="J653" s="50">
        <f>IF(G653="","",G653+N(I653))</f>
        <v/>
      </c>
      <c r="K653" s="45" t="n"/>
      <c r="L653" s="47" t="n"/>
      <c r="M653" s="48" t="n"/>
      <c r="N653" s="49" t="n"/>
      <c r="O653" s="50">
        <f>IF(M653="","",ROUND(M653*N653,2))</f>
        <v/>
      </c>
      <c r="P653" s="50">
        <f>IF(M653="","",M653+N(O653))</f>
        <v/>
      </c>
      <c r="Q653" s="45" t="n"/>
      <c r="R653" s="45" t="n"/>
      <c r="S653" s="51">
        <f>IF(L653="","",IF(COUNTIF(L$6:L653,L653)&gt;1,"",SUMIF(L$6:L$2000,L653,M$6:M$2000)-SUMIF(L$6:L$2000,L653,G$6:G$2000)))</f>
        <v/>
      </c>
      <c r="T653" s="46">
        <f>IF(AND(C653="",G653=""),"",IF(L653="","Nog factureren",IF(AND(G653&lt;&gt;"",OR(K653="",K653&gt;TODAY())),"Nog betalen",IF(OR(R653="",R653&gt;TODAY()),"Wacht op klant","Afgerond"))))</f>
        <v/>
      </c>
    </row>
    <row r="654">
      <c r="A654" s="45" t="n"/>
      <c r="B654" s="46">
        <f>IF(A654="","",YEAR(A654)&amp;" Q"&amp;ROUNDUP(MONTH(A654)/3,0))</f>
        <v/>
      </c>
      <c r="C654" s="47" t="n"/>
      <c r="D654" s="47" t="n"/>
      <c r="E654" s="47" t="n"/>
      <c r="F654" s="47" t="n"/>
      <c r="G654" s="48" t="n"/>
      <c r="H654" s="49" t="n"/>
      <c r="I654" s="50">
        <f>IF(G654="","",ROUND(G654*H654,2))</f>
        <v/>
      </c>
      <c r="J654" s="50">
        <f>IF(G654="","",G654+N(I654))</f>
        <v/>
      </c>
      <c r="K654" s="45" t="n"/>
      <c r="L654" s="47" t="n"/>
      <c r="M654" s="48" t="n"/>
      <c r="N654" s="49" t="n"/>
      <c r="O654" s="50">
        <f>IF(M654="","",ROUND(M654*N654,2))</f>
        <v/>
      </c>
      <c r="P654" s="50">
        <f>IF(M654="","",M654+N(O654))</f>
        <v/>
      </c>
      <c r="Q654" s="45" t="n"/>
      <c r="R654" s="45" t="n"/>
      <c r="S654" s="51">
        <f>IF(L654="","",IF(COUNTIF(L$6:L654,L654)&gt;1,"",SUMIF(L$6:L$2000,L654,M$6:M$2000)-SUMIF(L$6:L$2000,L654,G$6:G$2000)))</f>
        <v/>
      </c>
      <c r="T654" s="46">
        <f>IF(AND(C654="",G654=""),"",IF(L654="","Nog factureren",IF(AND(G654&lt;&gt;"",OR(K654="",K654&gt;TODAY())),"Nog betalen",IF(OR(R654="",R654&gt;TODAY()),"Wacht op klant","Afgerond"))))</f>
        <v/>
      </c>
    </row>
    <row r="655">
      <c r="A655" s="45" t="n"/>
      <c r="B655" s="46">
        <f>IF(A655="","",YEAR(A655)&amp;" Q"&amp;ROUNDUP(MONTH(A655)/3,0))</f>
        <v/>
      </c>
      <c r="C655" s="47" t="n"/>
      <c r="D655" s="47" t="n"/>
      <c r="E655" s="47" t="n"/>
      <c r="F655" s="47" t="n"/>
      <c r="G655" s="48" t="n"/>
      <c r="H655" s="49" t="n"/>
      <c r="I655" s="50">
        <f>IF(G655="","",ROUND(G655*H655,2))</f>
        <v/>
      </c>
      <c r="J655" s="50">
        <f>IF(G655="","",G655+N(I655))</f>
        <v/>
      </c>
      <c r="K655" s="45" t="n"/>
      <c r="L655" s="47" t="n"/>
      <c r="M655" s="48" t="n"/>
      <c r="N655" s="49" t="n"/>
      <c r="O655" s="50">
        <f>IF(M655="","",ROUND(M655*N655,2))</f>
        <v/>
      </c>
      <c r="P655" s="50">
        <f>IF(M655="","",M655+N(O655))</f>
        <v/>
      </c>
      <c r="Q655" s="45" t="n"/>
      <c r="R655" s="45" t="n"/>
      <c r="S655" s="51">
        <f>IF(L655="","",IF(COUNTIF(L$6:L655,L655)&gt;1,"",SUMIF(L$6:L$2000,L655,M$6:M$2000)-SUMIF(L$6:L$2000,L655,G$6:G$2000)))</f>
        <v/>
      </c>
      <c r="T655" s="46">
        <f>IF(AND(C655="",G655=""),"",IF(L655="","Nog factureren",IF(AND(G655&lt;&gt;"",OR(K655="",K655&gt;TODAY())),"Nog betalen",IF(OR(R655="",R655&gt;TODAY()),"Wacht op klant","Afgerond"))))</f>
        <v/>
      </c>
    </row>
    <row r="656">
      <c r="A656" s="45" t="n"/>
      <c r="B656" s="46">
        <f>IF(A656="","",YEAR(A656)&amp;" Q"&amp;ROUNDUP(MONTH(A656)/3,0))</f>
        <v/>
      </c>
      <c r="C656" s="47" t="n"/>
      <c r="D656" s="47" t="n"/>
      <c r="E656" s="47" t="n"/>
      <c r="F656" s="47" t="n"/>
      <c r="G656" s="48" t="n"/>
      <c r="H656" s="49" t="n"/>
      <c r="I656" s="50">
        <f>IF(G656="","",ROUND(G656*H656,2))</f>
        <v/>
      </c>
      <c r="J656" s="50">
        <f>IF(G656="","",G656+N(I656))</f>
        <v/>
      </c>
      <c r="K656" s="45" t="n"/>
      <c r="L656" s="47" t="n"/>
      <c r="M656" s="48" t="n"/>
      <c r="N656" s="49" t="n"/>
      <c r="O656" s="50">
        <f>IF(M656="","",ROUND(M656*N656,2))</f>
        <v/>
      </c>
      <c r="P656" s="50">
        <f>IF(M656="","",M656+N(O656))</f>
        <v/>
      </c>
      <c r="Q656" s="45" t="n"/>
      <c r="R656" s="45" t="n"/>
      <c r="S656" s="51">
        <f>IF(L656="","",IF(COUNTIF(L$6:L656,L656)&gt;1,"",SUMIF(L$6:L$2000,L656,M$6:M$2000)-SUMIF(L$6:L$2000,L656,G$6:G$2000)))</f>
        <v/>
      </c>
      <c r="T656" s="46">
        <f>IF(AND(C656="",G656=""),"",IF(L656="","Nog factureren",IF(AND(G656&lt;&gt;"",OR(K656="",K656&gt;TODAY())),"Nog betalen",IF(OR(R656="",R656&gt;TODAY()),"Wacht op klant","Afgerond"))))</f>
        <v/>
      </c>
    </row>
    <row r="657">
      <c r="A657" s="45" t="n"/>
      <c r="B657" s="46">
        <f>IF(A657="","",YEAR(A657)&amp;" Q"&amp;ROUNDUP(MONTH(A657)/3,0))</f>
        <v/>
      </c>
      <c r="C657" s="47" t="n"/>
      <c r="D657" s="47" t="n"/>
      <c r="E657" s="47" t="n"/>
      <c r="F657" s="47" t="n"/>
      <c r="G657" s="48" t="n"/>
      <c r="H657" s="49" t="n"/>
      <c r="I657" s="50">
        <f>IF(G657="","",ROUND(G657*H657,2))</f>
        <v/>
      </c>
      <c r="J657" s="50">
        <f>IF(G657="","",G657+N(I657))</f>
        <v/>
      </c>
      <c r="K657" s="45" t="n"/>
      <c r="L657" s="47" t="n"/>
      <c r="M657" s="48" t="n"/>
      <c r="N657" s="49" t="n"/>
      <c r="O657" s="50">
        <f>IF(M657="","",ROUND(M657*N657,2))</f>
        <v/>
      </c>
      <c r="P657" s="50">
        <f>IF(M657="","",M657+N(O657))</f>
        <v/>
      </c>
      <c r="Q657" s="45" t="n"/>
      <c r="R657" s="45" t="n"/>
      <c r="S657" s="51">
        <f>IF(L657="","",IF(COUNTIF(L$6:L657,L657)&gt;1,"",SUMIF(L$6:L$2000,L657,M$6:M$2000)-SUMIF(L$6:L$2000,L657,G$6:G$2000)))</f>
        <v/>
      </c>
      <c r="T657" s="46">
        <f>IF(AND(C657="",G657=""),"",IF(L657="","Nog factureren",IF(AND(G657&lt;&gt;"",OR(K657="",K657&gt;TODAY())),"Nog betalen",IF(OR(R657="",R657&gt;TODAY()),"Wacht op klant","Afgerond"))))</f>
        <v/>
      </c>
    </row>
    <row r="658">
      <c r="A658" s="45" t="n"/>
      <c r="B658" s="46">
        <f>IF(A658="","",YEAR(A658)&amp;" Q"&amp;ROUNDUP(MONTH(A658)/3,0))</f>
        <v/>
      </c>
      <c r="C658" s="47" t="n"/>
      <c r="D658" s="47" t="n"/>
      <c r="E658" s="47" t="n"/>
      <c r="F658" s="47" t="n"/>
      <c r="G658" s="48" t="n"/>
      <c r="H658" s="49" t="n"/>
      <c r="I658" s="50">
        <f>IF(G658="","",ROUND(G658*H658,2))</f>
        <v/>
      </c>
      <c r="J658" s="50">
        <f>IF(G658="","",G658+N(I658))</f>
        <v/>
      </c>
      <c r="K658" s="45" t="n"/>
      <c r="L658" s="47" t="n"/>
      <c r="M658" s="48" t="n"/>
      <c r="N658" s="49" t="n"/>
      <c r="O658" s="50">
        <f>IF(M658="","",ROUND(M658*N658,2))</f>
        <v/>
      </c>
      <c r="P658" s="50">
        <f>IF(M658="","",M658+N(O658))</f>
        <v/>
      </c>
      <c r="Q658" s="45" t="n"/>
      <c r="R658" s="45" t="n"/>
      <c r="S658" s="51">
        <f>IF(L658="","",IF(COUNTIF(L$6:L658,L658)&gt;1,"",SUMIF(L$6:L$2000,L658,M$6:M$2000)-SUMIF(L$6:L$2000,L658,G$6:G$2000)))</f>
        <v/>
      </c>
      <c r="T658" s="46">
        <f>IF(AND(C658="",G658=""),"",IF(L658="","Nog factureren",IF(AND(G658&lt;&gt;"",OR(K658="",K658&gt;TODAY())),"Nog betalen",IF(OR(R658="",R658&gt;TODAY()),"Wacht op klant","Afgerond"))))</f>
        <v/>
      </c>
    </row>
    <row r="659">
      <c r="A659" s="45" t="n"/>
      <c r="B659" s="46">
        <f>IF(A659="","",YEAR(A659)&amp;" Q"&amp;ROUNDUP(MONTH(A659)/3,0))</f>
        <v/>
      </c>
      <c r="C659" s="47" t="n"/>
      <c r="D659" s="47" t="n"/>
      <c r="E659" s="47" t="n"/>
      <c r="F659" s="47" t="n"/>
      <c r="G659" s="48" t="n"/>
      <c r="H659" s="49" t="n"/>
      <c r="I659" s="50">
        <f>IF(G659="","",ROUND(G659*H659,2))</f>
        <v/>
      </c>
      <c r="J659" s="50">
        <f>IF(G659="","",G659+N(I659))</f>
        <v/>
      </c>
      <c r="K659" s="45" t="n"/>
      <c r="L659" s="47" t="n"/>
      <c r="M659" s="48" t="n"/>
      <c r="N659" s="49" t="n"/>
      <c r="O659" s="50">
        <f>IF(M659="","",ROUND(M659*N659,2))</f>
        <v/>
      </c>
      <c r="P659" s="50">
        <f>IF(M659="","",M659+N(O659))</f>
        <v/>
      </c>
      <c r="Q659" s="45" t="n"/>
      <c r="R659" s="45" t="n"/>
      <c r="S659" s="51">
        <f>IF(L659="","",IF(COUNTIF(L$6:L659,L659)&gt;1,"",SUMIF(L$6:L$2000,L659,M$6:M$2000)-SUMIF(L$6:L$2000,L659,G$6:G$2000)))</f>
        <v/>
      </c>
      <c r="T659" s="46">
        <f>IF(AND(C659="",G659=""),"",IF(L659="","Nog factureren",IF(AND(G659&lt;&gt;"",OR(K659="",K659&gt;TODAY())),"Nog betalen",IF(OR(R659="",R659&gt;TODAY()),"Wacht op klant","Afgerond"))))</f>
        <v/>
      </c>
    </row>
    <row r="660">
      <c r="A660" s="45" t="n"/>
      <c r="B660" s="46">
        <f>IF(A660="","",YEAR(A660)&amp;" Q"&amp;ROUNDUP(MONTH(A660)/3,0))</f>
        <v/>
      </c>
      <c r="C660" s="47" t="n"/>
      <c r="D660" s="47" t="n"/>
      <c r="E660" s="47" t="n"/>
      <c r="F660" s="47" t="n"/>
      <c r="G660" s="48" t="n"/>
      <c r="H660" s="49" t="n"/>
      <c r="I660" s="50">
        <f>IF(G660="","",ROUND(G660*H660,2))</f>
        <v/>
      </c>
      <c r="J660" s="50">
        <f>IF(G660="","",G660+N(I660))</f>
        <v/>
      </c>
      <c r="K660" s="45" t="n"/>
      <c r="L660" s="47" t="n"/>
      <c r="M660" s="48" t="n"/>
      <c r="N660" s="49" t="n"/>
      <c r="O660" s="50">
        <f>IF(M660="","",ROUND(M660*N660,2))</f>
        <v/>
      </c>
      <c r="P660" s="50">
        <f>IF(M660="","",M660+N(O660))</f>
        <v/>
      </c>
      <c r="Q660" s="45" t="n"/>
      <c r="R660" s="45" t="n"/>
      <c r="S660" s="51">
        <f>IF(L660="","",IF(COUNTIF(L$6:L660,L660)&gt;1,"",SUMIF(L$6:L$2000,L660,M$6:M$2000)-SUMIF(L$6:L$2000,L660,G$6:G$2000)))</f>
        <v/>
      </c>
      <c r="T660" s="46">
        <f>IF(AND(C660="",G660=""),"",IF(L660="","Nog factureren",IF(AND(G660&lt;&gt;"",OR(K660="",K660&gt;TODAY())),"Nog betalen",IF(OR(R660="",R660&gt;TODAY()),"Wacht op klant","Afgerond"))))</f>
        <v/>
      </c>
    </row>
    <row r="661">
      <c r="A661" s="45" t="n"/>
      <c r="B661" s="46">
        <f>IF(A661="","",YEAR(A661)&amp;" Q"&amp;ROUNDUP(MONTH(A661)/3,0))</f>
        <v/>
      </c>
      <c r="C661" s="47" t="n"/>
      <c r="D661" s="47" t="n"/>
      <c r="E661" s="47" t="n"/>
      <c r="F661" s="47" t="n"/>
      <c r="G661" s="48" t="n"/>
      <c r="H661" s="49" t="n"/>
      <c r="I661" s="50">
        <f>IF(G661="","",ROUND(G661*H661,2))</f>
        <v/>
      </c>
      <c r="J661" s="50">
        <f>IF(G661="","",G661+N(I661))</f>
        <v/>
      </c>
      <c r="K661" s="45" t="n"/>
      <c r="L661" s="47" t="n"/>
      <c r="M661" s="48" t="n"/>
      <c r="N661" s="49" t="n"/>
      <c r="O661" s="50">
        <f>IF(M661="","",ROUND(M661*N661,2))</f>
        <v/>
      </c>
      <c r="P661" s="50">
        <f>IF(M661="","",M661+N(O661))</f>
        <v/>
      </c>
      <c r="Q661" s="45" t="n"/>
      <c r="R661" s="45" t="n"/>
      <c r="S661" s="51">
        <f>IF(L661="","",IF(COUNTIF(L$6:L661,L661)&gt;1,"",SUMIF(L$6:L$2000,L661,M$6:M$2000)-SUMIF(L$6:L$2000,L661,G$6:G$2000)))</f>
        <v/>
      </c>
      <c r="T661" s="46">
        <f>IF(AND(C661="",G661=""),"",IF(L661="","Nog factureren",IF(AND(G661&lt;&gt;"",OR(K661="",K661&gt;TODAY())),"Nog betalen",IF(OR(R661="",R661&gt;TODAY()),"Wacht op klant","Afgerond"))))</f>
        <v/>
      </c>
    </row>
    <row r="662">
      <c r="A662" s="45" t="n"/>
      <c r="B662" s="46">
        <f>IF(A662="","",YEAR(A662)&amp;" Q"&amp;ROUNDUP(MONTH(A662)/3,0))</f>
        <v/>
      </c>
      <c r="C662" s="47" t="n"/>
      <c r="D662" s="47" t="n"/>
      <c r="E662" s="47" t="n"/>
      <c r="F662" s="47" t="n"/>
      <c r="G662" s="48" t="n"/>
      <c r="H662" s="49" t="n"/>
      <c r="I662" s="50">
        <f>IF(G662="","",ROUND(G662*H662,2))</f>
        <v/>
      </c>
      <c r="J662" s="50">
        <f>IF(G662="","",G662+N(I662))</f>
        <v/>
      </c>
      <c r="K662" s="45" t="n"/>
      <c r="L662" s="47" t="n"/>
      <c r="M662" s="48" t="n"/>
      <c r="N662" s="49" t="n"/>
      <c r="O662" s="50">
        <f>IF(M662="","",ROUND(M662*N662,2))</f>
        <v/>
      </c>
      <c r="P662" s="50">
        <f>IF(M662="","",M662+N(O662))</f>
        <v/>
      </c>
      <c r="Q662" s="45" t="n"/>
      <c r="R662" s="45" t="n"/>
      <c r="S662" s="51">
        <f>IF(L662="","",IF(COUNTIF(L$6:L662,L662)&gt;1,"",SUMIF(L$6:L$2000,L662,M$6:M$2000)-SUMIF(L$6:L$2000,L662,G$6:G$2000)))</f>
        <v/>
      </c>
      <c r="T662" s="46">
        <f>IF(AND(C662="",G662=""),"",IF(L662="","Nog factureren",IF(AND(G662&lt;&gt;"",OR(K662="",K662&gt;TODAY())),"Nog betalen",IF(OR(R662="",R662&gt;TODAY()),"Wacht op klant","Afgerond"))))</f>
        <v/>
      </c>
    </row>
    <row r="663">
      <c r="A663" s="45" t="n"/>
      <c r="B663" s="46">
        <f>IF(A663="","",YEAR(A663)&amp;" Q"&amp;ROUNDUP(MONTH(A663)/3,0))</f>
        <v/>
      </c>
      <c r="C663" s="47" t="n"/>
      <c r="D663" s="47" t="n"/>
      <c r="E663" s="47" t="n"/>
      <c r="F663" s="47" t="n"/>
      <c r="G663" s="48" t="n"/>
      <c r="H663" s="49" t="n"/>
      <c r="I663" s="50">
        <f>IF(G663="","",ROUND(G663*H663,2))</f>
        <v/>
      </c>
      <c r="J663" s="50">
        <f>IF(G663="","",G663+N(I663))</f>
        <v/>
      </c>
      <c r="K663" s="45" t="n"/>
      <c r="L663" s="47" t="n"/>
      <c r="M663" s="48" t="n"/>
      <c r="N663" s="49" t="n"/>
      <c r="O663" s="50">
        <f>IF(M663="","",ROUND(M663*N663,2))</f>
        <v/>
      </c>
      <c r="P663" s="50">
        <f>IF(M663="","",M663+N(O663))</f>
        <v/>
      </c>
      <c r="Q663" s="45" t="n"/>
      <c r="R663" s="45" t="n"/>
      <c r="S663" s="51">
        <f>IF(L663="","",IF(COUNTIF(L$6:L663,L663)&gt;1,"",SUMIF(L$6:L$2000,L663,M$6:M$2000)-SUMIF(L$6:L$2000,L663,G$6:G$2000)))</f>
        <v/>
      </c>
      <c r="T663" s="46">
        <f>IF(AND(C663="",G663=""),"",IF(L663="","Nog factureren",IF(AND(G663&lt;&gt;"",OR(K663="",K663&gt;TODAY())),"Nog betalen",IF(OR(R663="",R663&gt;TODAY()),"Wacht op klant","Afgerond"))))</f>
        <v/>
      </c>
    </row>
    <row r="664">
      <c r="A664" s="45" t="n"/>
      <c r="B664" s="46">
        <f>IF(A664="","",YEAR(A664)&amp;" Q"&amp;ROUNDUP(MONTH(A664)/3,0))</f>
        <v/>
      </c>
      <c r="C664" s="47" t="n"/>
      <c r="D664" s="47" t="n"/>
      <c r="E664" s="47" t="n"/>
      <c r="F664" s="47" t="n"/>
      <c r="G664" s="48" t="n"/>
      <c r="H664" s="49" t="n"/>
      <c r="I664" s="50">
        <f>IF(G664="","",ROUND(G664*H664,2))</f>
        <v/>
      </c>
      <c r="J664" s="50">
        <f>IF(G664="","",G664+N(I664))</f>
        <v/>
      </c>
      <c r="K664" s="45" t="n"/>
      <c r="L664" s="47" t="n"/>
      <c r="M664" s="48" t="n"/>
      <c r="N664" s="49" t="n"/>
      <c r="O664" s="50">
        <f>IF(M664="","",ROUND(M664*N664,2))</f>
        <v/>
      </c>
      <c r="P664" s="50">
        <f>IF(M664="","",M664+N(O664))</f>
        <v/>
      </c>
      <c r="Q664" s="45" t="n"/>
      <c r="R664" s="45" t="n"/>
      <c r="S664" s="51">
        <f>IF(L664="","",IF(COUNTIF(L$6:L664,L664)&gt;1,"",SUMIF(L$6:L$2000,L664,M$6:M$2000)-SUMIF(L$6:L$2000,L664,G$6:G$2000)))</f>
        <v/>
      </c>
      <c r="T664" s="46">
        <f>IF(AND(C664="",G664=""),"",IF(L664="","Nog factureren",IF(AND(G664&lt;&gt;"",OR(K664="",K664&gt;TODAY())),"Nog betalen",IF(OR(R664="",R664&gt;TODAY()),"Wacht op klant","Afgerond"))))</f>
        <v/>
      </c>
    </row>
    <row r="665">
      <c r="A665" s="45" t="n"/>
      <c r="B665" s="46">
        <f>IF(A665="","",YEAR(A665)&amp;" Q"&amp;ROUNDUP(MONTH(A665)/3,0))</f>
        <v/>
      </c>
      <c r="C665" s="47" t="n"/>
      <c r="D665" s="47" t="n"/>
      <c r="E665" s="47" t="n"/>
      <c r="F665" s="47" t="n"/>
      <c r="G665" s="48" t="n"/>
      <c r="H665" s="49" t="n"/>
      <c r="I665" s="50">
        <f>IF(G665="","",ROUND(G665*H665,2))</f>
        <v/>
      </c>
      <c r="J665" s="50">
        <f>IF(G665="","",G665+N(I665))</f>
        <v/>
      </c>
      <c r="K665" s="45" t="n"/>
      <c r="L665" s="47" t="n"/>
      <c r="M665" s="48" t="n"/>
      <c r="N665" s="49" t="n"/>
      <c r="O665" s="50">
        <f>IF(M665="","",ROUND(M665*N665,2))</f>
        <v/>
      </c>
      <c r="P665" s="50">
        <f>IF(M665="","",M665+N(O665))</f>
        <v/>
      </c>
      <c r="Q665" s="45" t="n"/>
      <c r="R665" s="45" t="n"/>
      <c r="S665" s="51">
        <f>IF(L665="","",IF(COUNTIF(L$6:L665,L665)&gt;1,"",SUMIF(L$6:L$2000,L665,M$6:M$2000)-SUMIF(L$6:L$2000,L665,G$6:G$2000)))</f>
        <v/>
      </c>
      <c r="T665" s="46">
        <f>IF(AND(C665="",G665=""),"",IF(L665="","Nog factureren",IF(AND(G665&lt;&gt;"",OR(K665="",K665&gt;TODAY())),"Nog betalen",IF(OR(R665="",R665&gt;TODAY()),"Wacht op klant","Afgerond"))))</f>
        <v/>
      </c>
    </row>
    <row r="666">
      <c r="A666" s="45" t="n"/>
      <c r="B666" s="46">
        <f>IF(A666="","",YEAR(A666)&amp;" Q"&amp;ROUNDUP(MONTH(A666)/3,0))</f>
        <v/>
      </c>
      <c r="C666" s="47" t="n"/>
      <c r="D666" s="47" t="n"/>
      <c r="E666" s="47" t="n"/>
      <c r="F666" s="47" t="n"/>
      <c r="G666" s="48" t="n"/>
      <c r="H666" s="49" t="n"/>
      <c r="I666" s="50">
        <f>IF(G666="","",ROUND(G666*H666,2))</f>
        <v/>
      </c>
      <c r="J666" s="50">
        <f>IF(G666="","",G666+N(I666))</f>
        <v/>
      </c>
      <c r="K666" s="45" t="n"/>
      <c r="L666" s="47" t="n"/>
      <c r="M666" s="48" t="n"/>
      <c r="N666" s="49" t="n"/>
      <c r="O666" s="50">
        <f>IF(M666="","",ROUND(M666*N666,2))</f>
        <v/>
      </c>
      <c r="P666" s="50">
        <f>IF(M666="","",M666+N(O666))</f>
        <v/>
      </c>
      <c r="Q666" s="45" t="n"/>
      <c r="R666" s="45" t="n"/>
      <c r="S666" s="51">
        <f>IF(L666="","",IF(COUNTIF(L$6:L666,L666)&gt;1,"",SUMIF(L$6:L$2000,L666,M$6:M$2000)-SUMIF(L$6:L$2000,L666,G$6:G$2000)))</f>
        <v/>
      </c>
      <c r="T666" s="46">
        <f>IF(AND(C666="",G666=""),"",IF(L666="","Nog factureren",IF(AND(G666&lt;&gt;"",OR(K666="",K666&gt;TODAY())),"Nog betalen",IF(OR(R666="",R666&gt;TODAY()),"Wacht op klant","Afgerond"))))</f>
        <v/>
      </c>
    </row>
    <row r="667">
      <c r="A667" s="45" t="n"/>
      <c r="B667" s="46">
        <f>IF(A667="","",YEAR(A667)&amp;" Q"&amp;ROUNDUP(MONTH(A667)/3,0))</f>
        <v/>
      </c>
      <c r="C667" s="47" t="n"/>
      <c r="D667" s="47" t="n"/>
      <c r="E667" s="47" t="n"/>
      <c r="F667" s="47" t="n"/>
      <c r="G667" s="48" t="n"/>
      <c r="H667" s="49" t="n"/>
      <c r="I667" s="50">
        <f>IF(G667="","",ROUND(G667*H667,2))</f>
        <v/>
      </c>
      <c r="J667" s="50">
        <f>IF(G667="","",G667+N(I667))</f>
        <v/>
      </c>
      <c r="K667" s="45" t="n"/>
      <c r="L667" s="47" t="n"/>
      <c r="M667" s="48" t="n"/>
      <c r="N667" s="49" t="n"/>
      <c r="O667" s="50">
        <f>IF(M667="","",ROUND(M667*N667,2))</f>
        <v/>
      </c>
      <c r="P667" s="50">
        <f>IF(M667="","",M667+N(O667))</f>
        <v/>
      </c>
      <c r="Q667" s="45" t="n"/>
      <c r="R667" s="45" t="n"/>
      <c r="S667" s="51">
        <f>IF(L667="","",IF(COUNTIF(L$6:L667,L667)&gt;1,"",SUMIF(L$6:L$2000,L667,M$6:M$2000)-SUMIF(L$6:L$2000,L667,G$6:G$2000)))</f>
        <v/>
      </c>
      <c r="T667" s="46">
        <f>IF(AND(C667="",G667=""),"",IF(L667="","Nog factureren",IF(AND(G667&lt;&gt;"",OR(K667="",K667&gt;TODAY())),"Nog betalen",IF(OR(R667="",R667&gt;TODAY()),"Wacht op klant","Afgerond"))))</f>
        <v/>
      </c>
    </row>
    <row r="668">
      <c r="A668" s="45" t="n"/>
      <c r="B668" s="46">
        <f>IF(A668="","",YEAR(A668)&amp;" Q"&amp;ROUNDUP(MONTH(A668)/3,0))</f>
        <v/>
      </c>
      <c r="C668" s="47" t="n"/>
      <c r="D668" s="47" t="n"/>
      <c r="E668" s="47" t="n"/>
      <c r="F668" s="47" t="n"/>
      <c r="G668" s="48" t="n"/>
      <c r="H668" s="49" t="n"/>
      <c r="I668" s="50">
        <f>IF(G668="","",ROUND(G668*H668,2))</f>
        <v/>
      </c>
      <c r="J668" s="50">
        <f>IF(G668="","",G668+N(I668))</f>
        <v/>
      </c>
      <c r="K668" s="45" t="n"/>
      <c r="L668" s="47" t="n"/>
      <c r="M668" s="48" t="n"/>
      <c r="N668" s="49" t="n"/>
      <c r="O668" s="50">
        <f>IF(M668="","",ROUND(M668*N668,2))</f>
        <v/>
      </c>
      <c r="P668" s="50">
        <f>IF(M668="","",M668+N(O668))</f>
        <v/>
      </c>
      <c r="Q668" s="45" t="n"/>
      <c r="R668" s="45" t="n"/>
      <c r="S668" s="51">
        <f>IF(L668="","",IF(COUNTIF(L$6:L668,L668)&gt;1,"",SUMIF(L$6:L$2000,L668,M$6:M$2000)-SUMIF(L$6:L$2000,L668,G$6:G$2000)))</f>
        <v/>
      </c>
      <c r="T668" s="46">
        <f>IF(AND(C668="",G668=""),"",IF(L668="","Nog factureren",IF(AND(G668&lt;&gt;"",OR(K668="",K668&gt;TODAY())),"Nog betalen",IF(OR(R668="",R668&gt;TODAY()),"Wacht op klant","Afgerond"))))</f>
        <v/>
      </c>
    </row>
    <row r="669">
      <c r="A669" s="45" t="n"/>
      <c r="B669" s="46">
        <f>IF(A669="","",YEAR(A669)&amp;" Q"&amp;ROUNDUP(MONTH(A669)/3,0))</f>
        <v/>
      </c>
      <c r="C669" s="47" t="n"/>
      <c r="D669" s="47" t="n"/>
      <c r="E669" s="47" t="n"/>
      <c r="F669" s="47" t="n"/>
      <c r="G669" s="48" t="n"/>
      <c r="H669" s="49" t="n"/>
      <c r="I669" s="50">
        <f>IF(G669="","",ROUND(G669*H669,2))</f>
        <v/>
      </c>
      <c r="J669" s="50">
        <f>IF(G669="","",G669+N(I669))</f>
        <v/>
      </c>
      <c r="K669" s="45" t="n"/>
      <c r="L669" s="47" t="n"/>
      <c r="M669" s="48" t="n"/>
      <c r="N669" s="49" t="n"/>
      <c r="O669" s="50">
        <f>IF(M669="","",ROUND(M669*N669,2))</f>
        <v/>
      </c>
      <c r="P669" s="50">
        <f>IF(M669="","",M669+N(O669))</f>
        <v/>
      </c>
      <c r="Q669" s="45" t="n"/>
      <c r="R669" s="45" t="n"/>
      <c r="S669" s="51">
        <f>IF(L669="","",IF(COUNTIF(L$6:L669,L669)&gt;1,"",SUMIF(L$6:L$2000,L669,M$6:M$2000)-SUMIF(L$6:L$2000,L669,G$6:G$2000)))</f>
        <v/>
      </c>
      <c r="T669" s="46">
        <f>IF(AND(C669="",G669=""),"",IF(L669="","Nog factureren",IF(AND(G669&lt;&gt;"",OR(K669="",K669&gt;TODAY())),"Nog betalen",IF(OR(R669="",R669&gt;TODAY()),"Wacht op klant","Afgerond"))))</f>
        <v/>
      </c>
    </row>
    <row r="670">
      <c r="A670" s="45" t="n"/>
      <c r="B670" s="46">
        <f>IF(A670="","",YEAR(A670)&amp;" Q"&amp;ROUNDUP(MONTH(A670)/3,0))</f>
        <v/>
      </c>
      <c r="C670" s="47" t="n"/>
      <c r="D670" s="47" t="n"/>
      <c r="E670" s="47" t="n"/>
      <c r="F670" s="47" t="n"/>
      <c r="G670" s="48" t="n"/>
      <c r="H670" s="49" t="n"/>
      <c r="I670" s="50">
        <f>IF(G670="","",ROUND(G670*H670,2))</f>
        <v/>
      </c>
      <c r="J670" s="50">
        <f>IF(G670="","",G670+N(I670))</f>
        <v/>
      </c>
      <c r="K670" s="45" t="n"/>
      <c r="L670" s="47" t="n"/>
      <c r="M670" s="48" t="n"/>
      <c r="N670" s="49" t="n"/>
      <c r="O670" s="50">
        <f>IF(M670="","",ROUND(M670*N670,2))</f>
        <v/>
      </c>
      <c r="P670" s="50">
        <f>IF(M670="","",M670+N(O670))</f>
        <v/>
      </c>
      <c r="Q670" s="45" t="n"/>
      <c r="R670" s="45" t="n"/>
      <c r="S670" s="51">
        <f>IF(L670="","",IF(COUNTIF(L$6:L670,L670)&gt;1,"",SUMIF(L$6:L$2000,L670,M$6:M$2000)-SUMIF(L$6:L$2000,L670,G$6:G$2000)))</f>
        <v/>
      </c>
      <c r="T670" s="46">
        <f>IF(AND(C670="",G670=""),"",IF(L670="","Nog factureren",IF(AND(G670&lt;&gt;"",OR(K670="",K670&gt;TODAY())),"Nog betalen",IF(OR(R670="",R670&gt;TODAY()),"Wacht op klant","Afgerond"))))</f>
        <v/>
      </c>
    </row>
    <row r="671">
      <c r="A671" s="45" t="n"/>
      <c r="B671" s="46">
        <f>IF(A671="","",YEAR(A671)&amp;" Q"&amp;ROUNDUP(MONTH(A671)/3,0))</f>
        <v/>
      </c>
      <c r="C671" s="47" t="n"/>
      <c r="D671" s="47" t="n"/>
      <c r="E671" s="47" t="n"/>
      <c r="F671" s="47" t="n"/>
      <c r="G671" s="48" t="n"/>
      <c r="H671" s="49" t="n"/>
      <c r="I671" s="50">
        <f>IF(G671="","",ROUND(G671*H671,2))</f>
        <v/>
      </c>
      <c r="J671" s="50">
        <f>IF(G671="","",G671+N(I671))</f>
        <v/>
      </c>
      <c r="K671" s="45" t="n"/>
      <c r="L671" s="47" t="n"/>
      <c r="M671" s="48" t="n"/>
      <c r="N671" s="49" t="n"/>
      <c r="O671" s="50">
        <f>IF(M671="","",ROUND(M671*N671,2))</f>
        <v/>
      </c>
      <c r="P671" s="50">
        <f>IF(M671="","",M671+N(O671))</f>
        <v/>
      </c>
      <c r="Q671" s="45" t="n"/>
      <c r="R671" s="45" t="n"/>
      <c r="S671" s="51">
        <f>IF(L671="","",IF(COUNTIF(L$6:L671,L671)&gt;1,"",SUMIF(L$6:L$2000,L671,M$6:M$2000)-SUMIF(L$6:L$2000,L671,G$6:G$2000)))</f>
        <v/>
      </c>
      <c r="T671" s="46">
        <f>IF(AND(C671="",G671=""),"",IF(L671="","Nog factureren",IF(AND(G671&lt;&gt;"",OR(K671="",K671&gt;TODAY())),"Nog betalen",IF(OR(R671="",R671&gt;TODAY()),"Wacht op klant","Afgerond"))))</f>
        <v/>
      </c>
    </row>
    <row r="672">
      <c r="A672" s="45" t="n"/>
      <c r="B672" s="46">
        <f>IF(A672="","",YEAR(A672)&amp;" Q"&amp;ROUNDUP(MONTH(A672)/3,0))</f>
        <v/>
      </c>
      <c r="C672" s="47" t="n"/>
      <c r="D672" s="47" t="n"/>
      <c r="E672" s="47" t="n"/>
      <c r="F672" s="47" t="n"/>
      <c r="G672" s="48" t="n"/>
      <c r="H672" s="49" t="n"/>
      <c r="I672" s="50">
        <f>IF(G672="","",ROUND(G672*H672,2))</f>
        <v/>
      </c>
      <c r="J672" s="50">
        <f>IF(G672="","",G672+N(I672))</f>
        <v/>
      </c>
      <c r="K672" s="45" t="n"/>
      <c r="L672" s="47" t="n"/>
      <c r="M672" s="48" t="n"/>
      <c r="N672" s="49" t="n"/>
      <c r="O672" s="50">
        <f>IF(M672="","",ROUND(M672*N672,2))</f>
        <v/>
      </c>
      <c r="P672" s="50">
        <f>IF(M672="","",M672+N(O672))</f>
        <v/>
      </c>
      <c r="Q672" s="45" t="n"/>
      <c r="R672" s="45" t="n"/>
      <c r="S672" s="51">
        <f>IF(L672="","",IF(COUNTIF(L$6:L672,L672)&gt;1,"",SUMIF(L$6:L$2000,L672,M$6:M$2000)-SUMIF(L$6:L$2000,L672,G$6:G$2000)))</f>
        <v/>
      </c>
      <c r="T672" s="46">
        <f>IF(AND(C672="",G672=""),"",IF(L672="","Nog factureren",IF(AND(G672&lt;&gt;"",OR(K672="",K672&gt;TODAY())),"Nog betalen",IF(OR(R672="",R672&gt;TODAY()),"Wacht op klant","Afgerond"))))</f>
        <v/>
      </c>
    </row>
    <row r="673">
      <c r="A673" s="45" t="n"/>
      <c r="B673" s="46">
        <f>IF(A673="","",YEAR(A673)&amp;" Q"&amp;ROUNDUP(MONTH(A673)/3,0))</f>
        <v/>
      </c>
      <c r="C673" s="47" t="n"/>
      <c r="D673" s="47" t="n"/>
      <c r="E673" s="47" t="n"/>
      <c r="F673" s="47" t="n"/>
      <c r="G673" s="48" t="n"/>
      <c r="H673" s="49" t="n"/>
      <c r="I673" s="50">
        <f>IF(G673="","",ROUND(G673*H673,2))</f>
        <v/>
      </c>
      <c r="J673" s="50">
        <f>IF(G673="","",G673+N(I673))</f>
        <v/>
      </c>
      <c r="K673" s="45" t="n"/>
      <c r="L673" s="47" t="n"/>
      <c r="M673" s="48" t="n"/>
      <c r="N673" s="49" t="n"/>
      <c r="O673" s="50">
        <f>IF(M673="","",ROUND(M673*N673,2))</f>
        <v/>
      </c>
      <c r="P673" s="50">
        <f>IF(M673="","",M673+N(O673))</f>
        <v/>
      </c>
      <c r="Q673" s="45" t="n"/>
      <c r="R673" s="45" t="n"/>
      <c r="S673" s="51">
        <f>IF(L673="","",IF(COUNTIF(L$6:L673,L673)&gt;1,"",SUMIF(L$6:L$2000,L673,M$6:M$2000)-SUMIF(L$6:L$2000,L673,G$6:G$2000)))</f>
        <v/>
      </c>
      <c r="T673" s="46">
        <f>IF(AND(C673="",G673=""),"",IF(L673="","Nog factureren",IF(AND(G673&lt;&gt;"",OR(K673="",K673&gt;TODAY())),"Nog betalen",IF(OR(R673="",R673&gt;TODAY()),"Wacht op klant","Afgerond"))))</f>
        <v/>
      </c>
    </row>
    <row r="674">
      <c r="A674" s="45" t="n"/>
      <c r="B674" s="46">
        <f>IF(A674="","",YEAR(A674)&amp;" Q"&amp;ROUNDUP(MONTH(A674)/3,0))</f>
        <v/>
      </c>
      <c r="C674" s="47" t="n"/>
      <c r="D674" s="47" t="n"/>
      <c r="E674" s="47" t="n"/>
      <c r="F674" s="47" t="n"/>
      <c r="G674" s="48" t="n"/>
      <c r="H674" s="49" t="n"/>
      <c r="I674" s="50">
        <f>IF(G674="","",ROUND(G674*H674,2))</f>
        <v/>
      </c>
      <c r="J674" s="50">
        <f>IF(G674="","",G674+N(I674))</f>
        <v/>
      </c>
      <c r="K674" s="45" t="n"/>
      <c r="L674" s="47" t="n"/>
      <c r="M674" s="48" t="n"/>
      <c r="N674" s="49" t="n"/>
      <c r="O674" s="50">
        <f>IF(M674="","",ROUND(M674*N674,2))</f>
        <v/>
      </c>
      <c r="P674" s="50">
        <f>IF(M674="","",M674+N(O674))</f>
        <v/>
      </c>
      <c r="Q674" s="45" t="n"/>
      <c r="R674" s="45" t="n"/>
      <c r="S674" s="51">
        <f>IF(L674="","",IF(COUNTIF(L$6:L674,L674)&gt;1,"",SUMIF(L$6:L$2000,L674,M$6:M$2000)-SUMIF(L$6:L$2000,L674,G$6:G$2000)))</f>
        <v/>
      </c>
      <c r="T674" s="46">
        <f>IF(AND(C674="",G674=""),"",IF(L674="","Nog factureren",IF(AND(G674&lt;&gt;"",OR(K674="",K674&gt;TODAY())),"Nog betalen",IF(OR(R674="",R674&gt;TODAY()),"Wacht op klant","Afgerond"))))</f>
        <v/>
      </c>
    </row>
    <row r="675">
      <c r="A675" s="45" t="n"/>
      <c r="B675" s="46">
        <f>IF(A675="","",YEAR(A675)&amp;" Q"&amp;ROUNDUP(MONTH(A675)/3,0))</f>
        <v/>
      </c>
      <c r="C675" s="47" t="n"/>
      <c r="D675" s="47" t="n"/>
      <c r="E675" s="47" t="n"/>
      <c r="F675" s="47" t="n"/>
      <c r="G675" s="48" t="n"/>
      <c r="H675" s="49" t="n"/>
      <c r="I675" s="50">
        <f>IF(G675="","",ROUND(G675*H675,2))</f>
        <v/>
      </c>
      <c r="J675" s="50">
        <f>IF(G675="","",G675+N(I675))</f>
        <v/>
      </c>
      <c r="K675" s="45" t="n"/>
      <c r="L675" s="47" t="n"/>
      <c r="M675" s="48" t="n"/>
      <c r="N675" s="49" t="n"/>
      <c r="O675" s="50">
        <f>IF(M675="","",ROUND(M675*N675,2))</f>
        <v/>
      </c>
      <c r="P675" s="50">
        <f>IF(M675="","",M675+N(O675))</f>
        <v/>
      </c>
      <c r="Q675" s="45" t="n"/>
      <c r="R675" s="45" t="n"/>
      <c r="S675" s="51">
        <f>IF(L675="","",IF(COUNTIF(L$6:L675,L675)&gt;1,"",SUMIF(L$6:L$2000,L675,M$6:M$2000)-SUMIF(L$6:L$2000,L675,G$6:G$2000)))</f>
        <v/>
      </c>
      <c r="T675" s="46">
        <f>IF(AND(C675="",G675=""),"",IF(L675="","Nog factureren",IF(AND(G675&lt;&gt;"",OR(K675="",K675&gt;TODAY())),"Nog betalen",IF(OR(R675="",R675&gt;TODAY()),"Wacht op klant","Afgerond"))))</f>
        <v/>
      </c>
    </row>
    <row r="676">
      <c r="A676" s="45" t="n"/>
      <c r="B676" s="46">
        <f>IF(A676="","",YEAR(A676)&amp;" Q"&amp;ROUNDUP(MONTH(A676)/3,0))</f>
        <v/>
      </c>
      <c r="C676" s="47" t="n"/>
      <c r="D676" s="47" t="n"/>
      <c r="E676" s="47" t="n"/>
      <c r="F676" s="47" t="n"/>
      <c r="G676" s="48" t="n"/>
      <c r="H676" s="49" t="n"/>
      <c r="I676" s="50">
        <f>IF(G676="","",ROUND(G676*H676,2))</f>
        <v/>
      </c>
      <c r="J676" s="50">
        <f>IF(G676="","",G676+N(I676))</f>
        <v/>
      </c>
      <c r="K676" s="45" t="n"/>
      <c r="L676" s="47" t="n"/>
      <c r="M676" s="48" t="n"/>
      <c r="N676" s="49" t="n"/>
      <c r="O676" s="50">
        <f>IF(M676="","",ROUND(M676*N676,2))</f>
        <v/>
      </c>
      <c r="P676" s="50">
        <f>IF(M676="","",M676+N(O676))</f>
        <v/>
      </c>
      <c r="Q676" s="45" t="n"/>
      <c r="R676" s="45" t="n"/>
      <c r="S676" s="51">
        <f>IF(L676="","",IF(COUNTIF(L$6:L676,L676)&gt;1,"",SUMIF(L$6:L$2000,L676,M$6:M$2000)-SUMIF(L$6:L$2000,L676,G$6:G$2000)))</f>
        <v/>
      </c>
      <c r="T676" s="46">
        <f>IF(AND(C676="",G676=""),"",IF(L676="","Nog factureren",IF(AND(G676&lt;&gt;"",OR(K676="",K676&gt;TODAY())),"Nog betalen",IF(OR(R676="",R676&gt;TODAY()),"Wacht op klant","Afgerond"))))</f>
        <v/>
      </c>
    </row>
    <row r="677">
      <c r="A677" s="45" t="n"/>
      <c r="B677" s="46">
        <f>IF(A677="","",YEAR(A677)&amp;" Q"&amp;ROUNDUP(MONTH(A677)/3,0))</f>
        <v/>
      </c>
      <c r="C677" s="47" t="n"/>
      <c r="D677" s="47" t="n"/>
      <c r="E677" s="47" t="n"/>
      <c r="F677" s="47" t="n"/>
      <c r="G677" s="48" t="n"/>
      <c r="H677" s="49" t="n"/>
      <c r="I677" s="50">
        <f>IF(G677="","",ROUND(G677*H677,2))</f>
        <v/>
      </c>
      <c r="J677" s="50">
        <f>IF(G677="","",G677+N(I677))</f>
        <v/>
      </c>
      <c r="K677" s="45" t="n"/>
      <c r="L677" s="47" t="n"/>
      <c r="M677" s="48" t="n"/>
      <c r="N677" s="49" t="n"/>
      <c r="O677" s="50">
        <f>IF(M677="","",ROUND(M677*N677,2))</f>
        <v/>
      </c>
      <c r="P677" s="50">
        <f>IF(M677="","",M677+N(O677))</f>
        <v/>
      </c>
      <c r="Q677" s="45" t="n"/>
      <c r="R677" s="45" t="n"/>
      <c r="S677" s="51">
        <f>IF(L677="","",IF(COUNTIF(L$6:L677,L677)&gt;1,"",SUMIF(L$6:L$2000,L677,M$6:M$2000)-SUMIF(L$6:L$2000,L677,G$6:G$2000)))</f>
        <v/>
      </c>
      <c r="T677" s="46">
        <f>IF(AND(C677="",G677=""),"",IF(L677="","Nog factureren",IF(AND(G677&lt;&gt;"",OR(K677="",K677&gt;TODAY())),"Nog betalen",IF(OR(R677="",R677&gt;TODAY()),"Wacht op klant","Afgerond"))))</f>
        <v/>
      </c>
    </row>
    <row r="678">
      <c r="A678" s="45" t="n"/>
      <c r="B678" s="46">
        <f>IF(A678="","",YEAR(A678)&amp;" Q"&amp;ROUNDUP(MONTH(A678)/3,0))</f>
        <v/>
      </c>
      <c r="C678" s="47" t="n"/>
      <c r="D678" s="47" t="n"/>
      <c r="E678" s="47" t="n"/>
      <c r="F678" s="47" t="n"/>
      <c r="G678" s="48" t="n"/>
      <c r="H678" s="49" t="n"/>
      <c r="I678" s="50">
        <f>IF(G678="","",ROUND(G678*H678,2))</f>
        <v/>
      </c>
      <c r="J678" s="50">
        <f>IF(G678="","",G678+N(I678))</f>
        <v/>
      </c>
      <c r="K678" s="45" t="n"/>
      <c r="L678" s="47" t="n"/>
      <c r="M678" s="48" t="n"/>
      <c r="N678" s="49" t="n"/>
      <c r="O678" s="50">
        <f>IF(M678="","",ROUND(M678*N678,2))</f>
        <v/>
      </c>
      <c r="P678" s="50">
        <f>IF(M678="","",M678+N(O678))</f>
        <v/>
      </c>
      <c r="Q678" s="45" t="n"/>
      <c r="R678" s="45" t="n"/>
      <c r="S678" s="51">
        <f>IF(L678="","",IF(COUNTIF(L$6:L678,L678)&gt;1,"",SUMIF(L$6:L$2000,L678,M$6:M$2000)-SUMIF(L$6:L$2000,L678,G$6:G$2000)))</f>
        <v/>
      </c>
      <c r="T678" s="46">
        <f>IF(AND(C678="",G678=""),"",IF(L678="","Nog factureren",IF(AND(G678&lt;&gt;"",OR(K678="",K678&gt;TODAY())),"Nog betalen",IF(OR(R678="",R678&gt;TODAY()),"Wacht op klant","Afgerond"))))</f>
        <v/>
      </c>
    </row>
    <row r="679">
      <c r="A679" s="45" t="n"/>
      <c r="B679" s="46">
        <f>IF(A679="","",YEAR(A679)&amp;" Q"&amp;ROUNDUP(MONTH(A679)/3,0))</f>
        <v/>
      </c>
      <c r="C679" s="47" t="n"/>
      <c r="D679" s="47" t="n"/>
      <c r="E679" s="47" t="n"/>
      <c r="F679" s="47" t="n"/>
      <c r="G679" s="48" t="n"/>
      <c r="H679" s="49" t="n"/>
      <c r="I679" s="50">
        <f>IF(G679="","",ROUND(G679*H679,2))</f>
        <v/>
      </c>
      <c r="J679" s="50">
        <f>IF(G679="","",G679+N(I679))</f>
        <v/>
      </c>
      <c r="K679" s="45" t="n"/>
      <c r="L679" s="47" t="n"/>
      <c r="M679" s="48" t="n"/>
      <c r="N679" s="49" t="n"/>
      <c r="O679" s="50">
        <f>IF(M679="","",ROUND(M679*N679,2))</f>
        <v/>
      </c>
      <c r="P679" s="50">
        <f>IF(M679="","",M679+N(O679))</f>
        <v/>
      </c>
      <c r="Q679" s="45" t="n"/>
      <c r="R679" s="45" t="n"/>
      <c r="S679" s="51">
        <f>IF(L679="","",IF(COUNTIF(L$6:L679,L679)&gt;1,"",SUMIF(L$6:L$2000,L679,M$6:M$2000)-SUMIF(L$6:L$2000,L679,G$6:G$2000)))</f>
        <v/>
      </c>
      <c r="T679" s="46">
        <f>IF(AND(C679="",G679=""),"",IF(L679="","Nog factureren",IF(AND(G679&lt;&gt;"",OR(K679="",K679&gt;TODAY())),"Nog betalen",IF(OR(R679="",R679&gt;TODAY()),"Wacht op klant","Afgerond"))))</f>
        <v/>
      </c>
    </row>
    <row r="680">
      <c r="A680" s="45" t="n"/>
      <c r="B680" s="46">
        <f>IF(A680="","",YEAR(A680)&amp;" Q"&amp;ROUNDUP(MONTH(A680)/3,0))</f>
        <v/>
      </c>
      <c r="C680" s="47" t="n"/>
      <c r="D680" s="47" t="n"/>
      <c r="E680" s="47" t="n"/>
      <c r="F680" s="47" t="n"/>
      <c r="G680" s="48" t="n"/>
      <c r="H680" s="49" t="n"/>
      <c r="I680" s="50">
        <f>IF(G680="","",ROUND(G680*H680,2))</f>
        <v/>
      </c>
      <c r="J680" s="50">
        <f>IF(G680="","",G680+N(I680))</f>
        <v/>
      </c>
      <c r="K680" s="45" t="n"/>
      <c r="L680" s="47" t="n"/>
      <c r="M680" s="48" t="n"/>
      <c r="N680" s="49" t="n"/>
      <c r="O680" s="50">
        <f>IF(M680="","",ROUND(M680*N680,2))</f>
        <v/>
      </c>
      <c r="P680" s="50">
        <f>IF(M680="","",M680+N(O680))</f>
        <v/>
      </c>
      <c r="Q680" s="45" t="n"/>
      <c r="R680" s="45" t="n"/>
      <c r="S680" s="51">
        <f>IF(L680="","",IF(COUNTIF(L$6:L680,L680)&gt;1,"",SUMIF(L$6:L$2000,L680,M$6:M$2000)-SUMIF(L$6:L$2000,L680,G$6:G$2000)))</f>
        <v/>
      </c>
      <c r="T680" s="46">
        <f>IF(AND(C680="",G680=""),"",IF(L680="","Nog factureren",IF(AND(G680&lt;&gt;"",OR(K680="",K680&gt;TODAY())),"Nog betalen",IF(OR(R680="",R680&gt;TODAY()),"Wacht op klant","Afgerond"))))</f>
        <v/>
      </c>
    </row>
    <row r="681">
      <c r="A681" s="45" t="n"/>
      <c r="B681" s="46">
        <f>IF(A681="","",YEAR(A681)&amp;" Q"&amp;ROUNDUP(MONTH(A681)/3,0))</f>
        <v/>
      </c>
      <c r="C681" s="47" t="n"/>
      <c r="D681" s="47" t="n"/>
      <c r="E681" s="47" t="n"/>
      <c r="F681" s="47" t="n"/>
      <c r="G681" s="48" t="n"/>
      <c r="H681" s="49" t="n"/>
      <c r="I681" s="50">
        <f>IF(G681="","",ROUND(G681*H681,2))</f>
        <v/>
      </c>
      <c r="J681" s="50">
        <f>IF(G681="","",G681+N(I681))</f>
        <v/>
      </c>
      <c r="K681" s="45" t="n"/>
      <c r="L681" s="47" t="n"/>
      <c r="M681" s="48" t="n"/>
      <c r="N681" s="49" t="n"/>
      <c r="O681" s="50">
        <f>IF(M681="","",ROUND(M681*N681,2))</f>
        <v/>
      </c>
      <c r="P681" s="50">
        <f>IF(M681="","",M681+N(O681))</f>
        <v/>
      </c>
      <c r="Q681" s="45" t="n"/>
      <c r="R681" s="45" t="n"/>
      <c r="S681" s="51">
        <f>IF(L681="","",IF(COUNTIF(L$6:L681,L681)&gt;1,"",SUMIF(L$6:L$2000,L681,M$6:M$2000)-SUMIF(L$6:L$2000,L681,G$6:G$2000)))</f>
        <v/>
      </c>
      <c r="T681" s="46">
        <f>IF(AND(C681="",G681=""),"",IF(L681="","Nog factureren",IF(AND(G681&lt;&gt;"",OR(K681="",K681&gt;TODAY())),"Nog betalen",IF(OR(R681="",R681&gt;TODAY()),"Wacht op klant","Afgerond"))))</f>
        <v/>
      </c>
    </row>
    <row r="682">
      <c r="A682" s="45" t="n"/>
      <c r="B682" s="46">
        <f>IF(A682="","",YEAR(A682)&amp;" Q"&amp;ROUNDUP(MONTH(A682)/3,0))</f>
        <v/>
      </c>
      <c r="C682" s="47" t="n"/>
      <c r="D682" s="47" t="n"/>
      <c r="E682" s="47" t="n"/>
      <c r="F682" s="47" t="n"/>
      <c r="G682" s="48" t="n"/>
      <c r="H682" s="49" t="n"/>
      <c r="I682" s="50">
        <f>IF(G682="","",ROUND(G682*H682,2))</f>
        <v/>
      </c>
      <c r="J682" s="50">
        <f>IF(G682="","",G682+N(I682))</f>
        <v/>
      </c>
      <c r="K682" s="45" t="n"/>
      <c r="L682" s="47" t="n"/>
      <c r="M682" s="48" t="n"/>
      <c r="N682" s="49" t="n"/>
      <c r="O682" s="50">
        <f>IF(M682="","",ROUND(M682*N682,2))</f>
        <v/>
      </c>
      <c r="P682" s="50">
        <f>IF(M682="","",M682+N(O682))</f>
        <v/>
      </c>
      <c r="Q682" s="45" t="n"/>
      <c r="R682" s="45" t="n"/>
      <c r="S682" s="51">
        <f>IF(L682="","",IF(COUNTIF(L$6:L682,L682)&gt;1,"",SUMIF(L$6:L$2000,L682,M$6:M$2000)-SUMIF(L$6:L$2000,L682,G$6:G$2000)))</f>
        <v/>
      </c>
      <c r="T682" s="46">
        <f>IF(AND(C682="",G682=""),"",IF(L682="","Nog factureren",IF(AND(G682&lt;&gt;"",OR(K682="",K682&gt;TODAY())),"Nog betalen",IF(OR(R682="",R682&gt;TODAY()),"Wacht op klant","Afgerond"))))</f>
        <v/>
      </c>
    </row>
    <row r="683">
      <c r="A683" s="45" t="n"/>
      <c r="B683" s="46">
        <f>IF(A683="","",YEAR(A683)&amp;" Q"&amp;ROUNDUP(MONTH(A683)/3,0))</f>
        <v/>
      </c>
      <c r="C683" s="47" t="n"/>
      <c r="D683" s="47" t="n"/>
      <c r="E683" s="47" t="n"/>
      <c r="F683" s="47" t="n"/>
      <c r="G683" s="48" t="n"/>
      <c r="H683" s="49" t="n"/>
      <c r="I683" s="50">
        <f>IF(G683="","",ROUND(G683*H683,2))</f>
        <v/>
      </c>
      <c r="J683" s="50">
        <f>IF(G683="","",G683+N(I683))</f>
        <v/>
      </c>
      <c r="K683" s="45" t="n"/>
      <c r="L683" s="47" t="n"/>
      <c r="M683" s="48" t="n"/>
      <c r="N683" s="49" t="n"/>
      <c r="O683" s="50">
        <f>IF(M683="","",ROUND(M683*N683,2))</f>
        <v/>
      </c>
      <c r="P683" s="50">
        <f>IF(M683="","",M683+N(O683))</f>
        <v/>
      </c>
      <c r="Q683" s="45" t="n"/>
      <c r="R683" s="45" t="n"/>
      <c r="S683" s="51">
        <f>IF(L683="","",IF(COUNTIF(L$6:L683,L683)&gt;1,"",SUMIF(L$6:L$2000,L683,M$6:M$2000)-SUMIF(L$6:L$2000,L683,G$6:G$2000)))</f>
        <v/>
      </c>
      <c r="T683" s="46">
        <f>IF(AND(C683="",G683=""),"",IF(L683="","Nog factureren",IF(AND(G683&lt;&gt;"",OR(K683="",K683&gt;TODAY())),"Nog betalen",IF(OR(R683="",R683&gt;TODAY()),"Wacht op klant","Afgerond"))))</f>
        <v/>
      </c>
    </row>
    <row r="684">
      <c r="A684" s="45" t="n"/>
      <c r="B684" s="46">
        <f>IF(A684="","",YEAR(A684)&amp;" Q"&amp;ROUNDUP(MONTH(A684)/3,0))</f>
        <v/>
      </c>
      <c r="C684" s="47" t="n"/>
      <c r="D684" s="47" t="n"/>
      <c r="E684" s="47" t="n"/>
      <c r="F684" s="47" t="n"/>
      <c r="G684" s="48" t="n"/>
      <c r="H684" s="49" t="n"/>
      <c r="I684" s="50">
        <f>IF(G684="","",ROUND(G684*H684,2))</f>
        <v/>
      </c>
      <c r="J684" s="50">
        <f>IF(G684="","",G684+N(I684))</f>
        <v/>
      </c>
      <c r="K684" s="45" t="n"/>
      <c r="L684" s="47" t="n"/>
      <c r="M684" s="48" t="n"/>
      <c r="N684" s="49" t="n"/>
      <c r="O684" s="50">
        <f>IF(M684="","",ROUND(M684*N684,2))</f>
        <v/>
      </c>
      <c r="P684" s="50">
        <f>IF(M684="","",M684+N(O684))</f>
        <v/>
      </c>
      <c r="Q684" s="45" t="n"/>
      <c r="R684" s="45" t="n"/>
      <c r="S684" s="51">
        <f>IF(L684="","",IF(COUNTIF(L$6:L684,L684)&gt;1,"",SUMIF(L$6:L$2000,L684,M$6:M$2000)-SUMIF(L$6:L$2000,L684,G$6:G$2000)))</f>
        <v/>
      </c>
      <c r="T684" s="46">
        <f>IF(AND(C684="",G684=""),"",IF(L684="","Nog factureren",IF(AND(G684&lt;&gt;"",OR(K684="",K684&gt;TODAY())),"Nog betalen",IF(OR(R684="",R684&gt;TODAY()),"Wacht op klant","Afgerond"))))</f>
        <v/>
      </c>
    </row>
    <row r="685">
      <c r="A685" s="45" t="n"/>
      <c r="B685" s="46">
        <f>IF(A685="","",YEAR(A685)&amp;" Q"&amp;ROUNDUP(MONTH(A685)/3,0))</f>
        <v/>
      </c>
      <c r="C685" s="47" t="n"/>
      <c r="D685" s="47" t="n"/>
      <c r="E685" s="47" t="n"/>
      <c r="F685" s="47" t="n"/>
      <c r="G685" s="48" t="n"/>
      <c r="H685" s="49" t="n"/>
      <c r="I685" s="50">
        <f>IF(G685="","",ROUND(G685*H685,2))</f>
        <v/>
      </c>
      <c r="J685" s="50">
        <f>IF(G685="","",G685+N(I685))</f>
        <v/>
      </c>
      <c r="K685" s="45" t="n"/>
      <c r="L685" s="47" t="n"/>
      <c r="M685" s="48" t="n"/>
      <c r="N685" s="49" t="n"/>
      <c r="O685" s="50">
        <f>IF(M685="","",ROUND(M685*N685,2))</f>
        <v/>
      </c>
      <c r="P685" s="50">
        <f>IF(M685="","",M685+N(O685))</f>
        <v/>
      </c>
      <c r="Q685" s="45" t="n"/>
      <c r="R685" s="45" t="n"/>
      <c r="S685" s="51">
        <f>IF(L685="","",IF(COUNTIF(L$6:L685,L685)&gt;1,"",SUMIF(L$6:L$2000,L685,M$6:M$2000)-SUMIF(L$6:L$2000,L685,G$6:G$2000)))</f>
        <v/>
      </c>
      <c r="T685" s="46">
        <f>IF(AND(C685="",G685=""),"",IF(L685="","Nog factureren",IF(AND(G685&lt;&gt;"",OR(K685="",K685&gt;TODAY())),"Nog betalen",IF(OR(R685="",R685&gt;TODAY()),"Wacht op klant","Afgerond"))))</f>
        <v/>
      </c>
    </row>
    <row r="686">
      <c r="A686" s="45" t="n"/>
      <c r="B686" s="46">
        <f>IF(A686="","",YEAR(A686)&amp;" Q"&amp;ROUNDUP(MONTH(A686)/3,0))</f>
        <v/>
      </c>
      <c r="C686" s="47" t="n"/>
      <c r="D686" s="47" t="n"/>
      <c r="E686" s="47" t="n"/>
      <c r="F686" s="47" t="n"/>
      <c r="G686" s="48" t="n"/>
      <c r="H686" s="49" t="n"/>
      <c r="I686" s="50">
        <f>IF(G686="","",ROUND(G686*H686,2))</f>
        <v/>
      </c>
      <c r="J686" s="50">
        <f>IF(G686="","",G686+N(I686))</f>
        <v/>
      </c>
      <c r="K686" s="45" t="n"/>
      <c r="L686" s="47" t="n"/>
      <c r="M686" s="48" t="n"/>
      <c r="N686" s="49" t="n"/>
      <c r="O686" s="50">
        <f>IF(M686="","",ROUND(M686*N686,2))</f>
        <v/>
      </c>
      <c r="P686" s="50">
        <f>IF(M686="","",M686+N(O686))</f>
        <v/>
      </c>
      <c r="Q686" s="45" t="n"/>
      <c r="R686" s="45" t="n"/>
      <c r="S686" s="51">
        <f>IF(L686="","",IF(COUNTIF(L$6:L686,L686)&gt;1,"",SUMIF(L$6:L$2000,L686,M$6:M$2000)-SUMIF(L$6:L$2000,L686,G$6:G$2000)))</f>
        <v/>
      </c>
      <c r="T686" s="46">
        <f>IF(AND(C686="",G686=""),"",IF(L686="","Nog factureren",IF(AND(G686&lt;&gt;"",OR(K686="",K686&gt;TODAY())),"Nog betalen",IF(OR(R686="",R686&gt;TODAY()),"Wacht op klant","Afgerond"))))</f>
        <v/>
      </c>
    </row>
    <row r="687">
      <c r="A687" s="45" t="n"/>
      <c r="B687" s="46">
        <f>IF(A687="","",YEAR(A687)&amp;" Q"&amp;ROUNDUP(MONTH(A687)/3,0))</f>
        <v/>
      </c>
      <c r="C687" s="47" t="n"/>
      <c r="D687" s="47" t="n"/>
      <c r="E687" s="47" t="n"/>
      <c r="F687" s="47" t="n"/>
      <c r="G687" s="48" t="n"/>
      <c r="H687" s="49" t="n"/>
      <c r="I687" s="50">
        <f>IF(G687="","",ROUND(G687*H687,2))</f>
        <v/>
      </c>
      <c r="J687" s="50">
        <f>IF(G687="","",G687+N(I687))</f>
        <v/>
      </c>
      <c r="K687" s="45" t="n"/>
      <c r="L687" s="47" t="n"/>
      <c r="M687" s="48" t="n"/>
      <c r="N687" s="49" t="n"/>
      <c r="O687" s="50">
        <f>IF(M687="","",ROUND(M687*N687,2))</f>
        <v/>
      </c>
      <c r="P687" s="50">
        <f>IF(M687="","",M687+N(O687))</f>
        <v/>
      </c>
      <c r="Q687" s="45" t="n"/>
      <c r="R687" s="45" t="n"/>
      <c r="S687" s="51">
        <f>IF(L687="","",IF(COUNTIF(L$6:L687,L687)&gt;1,"",SUMIF(L$6:L$2000,L687,M$6:M$2000)-SUMIF(L$6:L$2000,L687,G$6:G$2000)))</f>
        <v/>
      </c>
      <c r="T687" s="46">
        <f>IF(AND(C687="",G687=""),"",IF(L687="","Nog factureren",IF(AND(G687&lt;&gt;"",OR(K687="",K687&gt;TODAY())),"Nog betalen",IF(OR(R687="",R687&gt;TODAY()),"Wacht op klant","Afgerond"))))</f>
        <v/>
      </c>
    </row>
    <row r="688">
      <c r="A688" s="45" t="n"/>
      <c r="B688" s="46">
        <f>IF(A688="","",YEAR(A688)&amp;" Q"&amp;ROUNDUP(MONTH(A688)/3,0))</f>
        <v/>
      </c>
      <c r="C688" s="47" t="n"/>
      <c r="D688" s="47" t="n"/>
      <c r="E688" s="47" t="n"/>
      <c r="F688" s="47" t="n"/>
      <c r="G688" s="48" t="n"/>
      <c r="H688" s="49" t="n"/>
      <c r="I688" s="50">
        <f>IF(G688="","",ROUND(G688*H688,2))</f>
        <v/>
      </c>
      <c r="J688" s="50">
        <f>IF(G688="","",G688+N(I688))</f>
        <v/>
      </c>
      <c r="K688" s="45" t="n"/>
      <c r="L688" s="47" t="n"/>
      <c r="M688" s="48" t="n"/>
      <c r="N688" s="49" t="n"/>
      <c r="O688" s="50">
        <f>IF(M688="","",ROUND(M688*N688,2))</f>
        <v/>
      </c>
      <c r="P688" s="50">
        <f>IF(M688="","",M688+N(O688))</f>
        <v/>
      </c>
      <c r="Q688" s="45" t="n"/>
      <c r="R688" s="45" t="n"/>
      <c r="S688" s="51">
        <f>IF(L688="","",IF(COUNTIF(L$6:L688,L688)&gt;1,"",SUMIF(L$6:L$2000,L688,M$6:M$2000)-SUMIF(L$6:L$2000,L688,G$6:G$2000)))</f>
        <v/>
      </c>
      <c r="T688" s="46">
        <f>IF(AND(C688="",G688=""),"",IF(L688="","Nog factureren",IF(AND(G688&lt;&gt;"",OR(K688="",K688&gt;TODAY())),"Nog betalen",IF(OR(R688="",R688&gt;TODAY()),"Wacht op klant","Afgerond"))))</f>
        <v/>
      </c>
    </row>
    <row r="689">
      <c r="A689" s="45" t="n"/>
      <c r="B689" s="46">
        <f>IF(A689="","",YEAR(A689)&amp;" Q"&amp;ROUNDUP(MONTH(A689)/3,0))</f>
        <v/>
      </c>
      <c r="C689" s="47" t="n"/>
      <c r="D689" s="47" t="n"/>
      <c r="E689" s="47" t="n"/>
      <c r="F689" s="47" t="n"/>
      <c r="G689" s="48" t="n"/>
      <c r="H689" s="49" t="n"/>
      <c r="I689" s="50">
        <f>IF(G689="","",ROUND(G689*H689,2))</f>
        <v/>
      </c>
      <c r="J689" s="50">
        <f>IF(G689="","",G689+N(I689))</f>
        <v/>
      </c>
      <c r="K689" s="45" t="n"/>
      <c r="L689" s="47" t="n"/>
      <c r="M689" s="48" t="n"/>
      <c r="N689" s="49" t="n"/>
      <c r="O689" s="50">
        <f>IF(M689="","",ROUND(M689*N689,2))</f>
        <v/>
      </c>
      <c r="P689" s="50">
        <f>IF(M689="","",M689+N(O689))</f>
        <v/>
      </c>
      <c r="Q689" s="45" t="n"/>
      <c r="R689" s="45" t="n"/>
      <c r="S689" s="51">
        <f>IF(L689="","",IF(COUNTIF(L$6:L689,L689)&gt;1,"",SUMIF(L$6:L$2000,L689,M$6:M$2000)-SUMIF(L$6:L$2000,L689,G$6:G$2000)))</f>
        <v/>
      </c>
      <c r="T689" s="46">
        <f>IF(AND(C689="",G689=""),"",IF(L689="","Nog factureren",IF(AND(G689&lt;&gt;"",OR(K689="",K689&gt;TODAY())),"Nog betalen",IF(OR(R689="",R689&gt;TODAY()),"Wacht op klant","Afgerond"))))</f>
        <v/>
      </c>
    </row>
    <row r="690">
      <c r="A690" s="45" t="n"/>
      <c r="B690" s="46">
        <f>IF(A690="","",YEAR(A690)&amp;" Q"&amp;ROUNDUP(MONTH(A690)/3,0))</f>
        <v/>
      </c>
      <c r="C690" s="47" t="n"/>
      <c r="D690" s="47" t="n"/>
      <c r="E690" s="47" t="n"/>
      <c r="F690" s="47" t="n"/>
      <c r="G690" s="48" t="n"/>
      <c r="H690" s="49" t="n"/>
      <c r="I690" s="50">
        <f>IF(G690="","",ROUND(G690*H690,2))</f>
        <v/>
      </c>
      <c r="J690" s="50">
        <f>IF(G690="","",G690+N(I690))</f>
        <v/>
      </c>
      <c r="K690" s="45" t="n"/>
      <c r="L690" s="47" t="n"/>
      <c r="M690" s="48" t="n"/>
      <c r="N690" s="49" t="n"/>
      <c r="O690" s="50">
        <f>IF(M690="","",ROUND(M690*N690,2))</f>
        <v/>
      </c>
      <c r="P690" s="50">
        <f>IF(M690="","",M690+N(O690))</f>
        <v/>
      </c>
      <c r="Q690" s="45" t="n"/>
      <c r="R690" s="45" t="n"/>
      <c r="S690" s="51">
        <f>IF(L690="","",IF(COUNTIF(L$6:L690,L690)&gt;1,"",SUMIF(L$6:L$2000,L690,M$6:M$2000)-SUMIF(L$6:L$2000,L690,G$6:G$2000)))</f>
        <v/>
      </c>
      <c r="T690" s="46">
        <f>IF(AND(C690="",G690=""),"",IF(L690="","Nog factureren",IF(AND(G690&lt;&gt;"",OR(K690="",K690&gt;TODAY())),"Nog betalen",IF(OR(R690="",R690&gt;TODAY()),"Wacht op klant","Afgerond"))))</f>
        <v/>
      </c>
    </row>
    <row r="691">
      <c r="A691" s="45" t="n"/>
      <c r="B691" s="46">
        <f>IF(A691="","",YEAR(A691)&amp;" Q"&amp;ROUNDUP(MONTH(A691)/3,0))</f>
        <v/>
      </c>
      <c r="C691" s="47" t="n"/>
      <c r="D691" s="47" t="n"/>
      <c r="E691" s="47" t="n"/>
      <c r="F691" s="47" t="n"/>
      <c r="G691" s="48" t="n"/>
      <c r="H691" s="49" t="n"/>
      <c r="I691" s="50">
        <f>IF(G691="","",ROUND(G691*H691,2))</f>
        <v/>
      </c>
      <c r="J691" s="50">
        <f>IF(G691="","",G691+N(I691))</f>
        <v/>
      </c>
      <c r="K691" s="45" t="n"/>
      <c r="L691" s="47" t="n"/>
      <c r="M691" s="48" t="n"/>
      <c r="N691" s="49" t="n"/>
      <c r="O691" s="50">
        <f>IF(M691="","",ROUND(M691*N691,2))</f>
        <v/>
      </c>
      <c r="P691" s="50">
        <f>IF(M691="","",M691+N(O691))</f>
        <v/>
      </c>
      <c r="Q691" s="45" t="n"/>
      <c r="R691" s="45" t="n"/>
      <c r="S691" s="51">
        <f>IF(L691="","",IF(COUNTIF(L$6:L691,L691)&gt;1,"",SUMIF(L$6:L$2000,L691,M$6:M$2000)-SUMIF(L$6:L$2000,L691,G$6:G$2000)))</f>
        <v/>
      </c>
      <c r="T691" s="46">
        <f>IF(AND(C691="",G691=""),"",IF(L691="","Nog factureren",IF(AND(G691&lt;&gt;"",OR(K691="",K691&gt;TODAY())),"Nog betalen",IF(OR(R691="",R691&gt;TODAY()),"Wacht op klant","Afgerond"))))</f>
        <v/>
      </c>
    </row>
    <row r="692">
      <c r="A692" s="45" t="n"/>
      <c r="B692" s="46">
        <f>IF(A692="","",YEAR(A692)&amp;" Q"&amp;ROUNDUP(MONTH(A692)/3,0))</f>
        <v/>
      </c>
      <c r="C692" s="47" t="n"/>
      <c r="D692" s="47" t="n"/>
      <c r="E692" s="47" t="n"/>
      <c r="F692" s="47" t="n"/>
      <c r="G692" s="48" t="n"/>
      <c r="H692" s="49" t="n"/>
      <c r="I692" s="50">
        <f>IF(G692="","",ROUND(G692*H692,2))</f>
        <v/>
      </c>
      <c r="J692" s="50">
        <f>IF(G692="","",G692+N(I692))</f>
        <v/>
      </c>
      <c r="K692" s="45" t="n"/>
      <c r="L692" s="47" t="n"/>
      <c r="M692" s="48" t="n"/>
      <c r="N692" s="49" t="n"/>
      <c r="O692" s="50">
        <f>IF(M692="","",ROUND(M692*N692,2))</f>
        <v/>
      </c>
      <c r="P692" s="50">
        <f>IF(M692="","",M692+N(O692))</f>
        <v/>
      </c>
      <c r="Q692" s="45" t="n"/>
      <c r="R692" s="45" t="n"/>
      <c r="S692" s="51">
        <f>IF(L692="","",IF(COUNTIF(L$6:L692,L692)&gt;1,"",SUMIF(L$6:L$2000,L692,M$6:M$2000)-SUMIF(L$6:L$2000,L692,G$6:G$2000)))</f>
        <v/>
      </c>
      <c r="T692" s="46">
        <f>IF(AND(C692="",G692=""),"",IF(L692="","Nog factureren",IF(AND(G692&lt;&gt;"",OR(K692="",K692&gt;TODAY())),"Nog betalen",IF(OR(R692="",R692&gt;TODAY()),"Wacht op klant","Afgerond"))))</f>
        <v/>
      </c>
    </row>
    <row r="693">
      <c r="A693" s="45" t="n"/>
      <c r="B693" s="46">
        <f>IF(A693="","",YEAR(A693)&amp;" Q"&amp;ROUNDUP(MONTH(A693)/3,0))</f>
        <v/>
      </c>
      <c r="C693" s="47" t="n"/>
      <c r="D693" s="47" t="n"/>
      <c r="E693" s="47" t="n"/>
      <c r="F693" s="47" t="n"/>
      <c r="G693" s="48" t="n"/>
      <c r="H693" s="49" t="n"/>
      <c r="I693" s="50">
        <f>IF(G693="","",ROUND(G693*H693,2))</f>
        <v/>
      </c>
      <c r="J693" s="50">
        <f>IF(G693="","",G693+N(I693))</f>
        <v/>
      </c>
      <c r="K693" s="45" t="n"/>
      <c r="L693" s="47" t="n"/>
      <c r="M693" s="48" t="n"/>
      <c r="N693" s="49" t="n"/>
      <c r="O693" s="50">
        <f>IF(M693="","",ROUND(M693*N693,2))</f>
        <v/>
      </c>
      <c r="P693" s="50">
        <f>IF(M693="","",M693+N(O693))</f>
        <v/>
      </c>
      <c r="Q693" s="45" t="n"/>
      <c r="R693" s="45" t="n"/>
      <c r="S693" s="51">
        <f>IF(L693="","",IF(COUNTIF(L$6:L693,L693)&gt;1,"",SUMIF(L$6:L$2000,L693,M$6:M$2000)-SUMIF(L$6:L$2000,L693,G$6:G$2000)))</f>
        <v/>
      </c>
      <c r="T693" s="46">
        <f>IF(AND(C693="",G693=""),"",IF(L693="","Nog factureren",IF(AND(G693&lt;&gt;"",OR(K693="",K693&gt;TODAY())),"Nog betalen",IF(OR(R693="",R693&gt;TODAY()),"Wacht op klant","Afgerond"))))</f>
        <v/>
      </c>
    </row>
    <row r="694">
      <c r="A694" s="45" t="n"/>
      <c r="B694" s="46">
        <f>IF(A694="","",YEAR(A694)&amp;" Q"&amp;ROUNDUP(MONTH(A694)/3,0))</f>
        <v/>
      </c>
      <c r="C694" s="47" t="n"/>
      <c r="D694" s="47" t="n"/>
      <c r="E694" s="47" t="n"/>
      <c r="F694" s="47" t="n"/>
      <c r="G694" s="48" t="n"/>
      <c r="H694" s="49" t="n"/>
      <c r="I694" s="50">
        <f>IF(G694="","",ROUND(G694*H694,2))</f>
        <v/>
      </c>
      <c r="J694" s="50">
        <f>IF(G694="","",G694+N(I694))</f>
        <v/>
      </c>
      <c r="K694" s="45" t="n"/>
      <c r="L694" s="47" t="n"/>
      <c r="M694" s="48" t="n"/>
      <c r="N694" s="49" t="n"/>
      <c r="O694" s="50">
        <f>IF(M694="","",ROUND(M694*N694,2))</f>
        <v/>
      </c>
      <c r="P694" s="50">
        <f>IF(M694="","",M694+N(O694))</f>
        <v/>
      </c>
      <c r="Q694" s="45" t="n"/>
      <c r="R694" s="45" t="n"/>
      <c r="S694" s="51">
        <f>IF(L694="","",IF(COUNTIF(L$6:L694,L694)&gt;1,"",SUMIF(L$6:L$2000,L694,M$6:M$2000)-SUMIF(L$6:L$2000,L694,G$6:G$2000)))</f>
        <v/>
      </c>
      <c r="T694" s="46">
        <f>IF(AND(C694="",G694=""),"",IF(L694="","Nog factureren",IF(AND(G694&lt;&gt;"",OR(K694="",K694&gt;TODAY())),"Nog betalen",IF(OR(R694="",R694&gt;TODAY()),"Wacht op klant","Afgerond"))))</f>
        <v/>
      </c>
    </row>
    <row r="695">
      <c r="A695" s="45" t="n"/>
      <c r="B695" s="46">
        <f>IF(A695="","",YEAR(A695)&amp;" Q"&amp;ROUNDUP(MONTH(A695)/3,0))</f>
        <v/>
      </c>
      <c r="C695" s="47" t="n"/>
      <c r="D695" s="47" t="n"/>
      <c r="E695" s="47" t="n"/>
      <c r="F695" s="47" t="n"/>
      <c r="G695" s="48" t="n"/>
      <c r="H695" s="49" t="n"/>
      <c r="I695" s="50">
        <f>IF(G695="","",ROUND(G695*H695,2))</f>
        <v/>
      </c>
      <c r="J695" s="50">
        <f>IF(G695="","",G695+N(I695))</f>
        <v/>
      </c>
      <c r="K695" s="45" t="n"/>
      <c r="L695" s="47" t="n"/>
      <c r="M695" s="48" t="n"/>
      <c r="N695" s="49" t="n"/>
      <c r="O695" s="50">
        <f>IF(M695="","",ROUND(M695*N695,2))</f>
        <v/>
      </c>
      <c r="P695" s="50">
        <f>IF(M695="","",M695+N(O695))</f>
        <v/>
      </c>
      <c r="Q695" s="45" t="n"/>
      <c r="R695" s="45" t="n"/>
      <c r="S695" s="51">
        <f>IF(L695="","",IF(COUNTIF(L$6:L695,L695)&gt;1,"",SUMIF(L$6:L$2000,L695,M$6:M$2000)-SUMIF(L$6:L$2000,L695,G$6:G$2000)))</f>
        <v/>
      </c>
      <c r="T695" s="46">
        <f>IF(AND(C695="",G695=""),"",IF(L695="","Nog factureren",IF(AND(G695&lt;&gt;"",OR(K695="",K695&gt;TODAY())),"Nog betalen",IF(OR(R695="",R695&gt;TODAY()),"Wacht op klant","Afgerond"))))</f>
        <v/>
      </c>
    </row>
    <row r="696">
      <c r="A696" s="45" t="n"/>
      <c r="B696" s="46">
        <f>IF(A696="","",YEAR(A696)&amp;" Q"&amp;ROUNDUP(MONTH(A696)/3,0))</f>
        <v/>
      </c>
      <c r="C696" s="47" t="n"/>
      <c r="D696" s="47" t="n"/>
      <c r="E696" s="47" t="n"/>
      <c r="F696" s="47" t="n"/>
      <c r="G696" s="48" t="n"/>
      <c r="H696" s="49" t="n"/>
      <c r="I696" s="50">
        <f>IF(G696="","",ROUND(G696*H696,2))</f>
        <v/>
      </c>
      <c r="J696" s="50">
        <f>IF(G696="","",G696+N(I696))</f>
        <v/>
      </c>
      <c r="K696" s="45" t="n"/>
      <c r="L696" s="47" t="n"/>
      <c r="M696" s="48" t="n"/>
      <c r="N696" s="49" t="n"/>
      <c r="O696" s="50">
        <f>IF(M696="","",ROUND(M696*N696,2))</f>
        <v/>
      </c>
      <c r="P696" s="50">
        <f>IF(M696="","",M696+N(O696))</f>
        <v/>
      </c>
      <c r="Q696" s="45" t="n"/>
      <c r="R696" s="45" t="n"/>
      <c r="S696" s="51">
        <f>IF(L696="","",IF(COUNTIF(L$6:L696,L696)&gt;1,"",SUMIF(L$6:L$2000,L696,M$6:M$2000)-SUMIF(L$6:L$2000,L696,G$6:G$2000)))</f>
        <v/>
      </c>
      <c r="T696" s="46">
        <f>IF(AND(C696="",G696=""),"",IF(L696="","Nog factureren",IF(AND(G696&lt;&gt;"",OR(K696="",K696&gt;TODAY())),"Nog betalen",IF(OR(R696="",R696&gt;TODAY()),"Wacht op klant","Afgerond"))))</f>
        <v/>
      </c>
    </row>
    <row r="697">
      <c r="A697" s="45" t="n"/>
      <c r="B697" s="46">
        <f>IF(A697="","",YEAR(A697)&amp;" Q"&amp;ROUNDUP(MONTH(A697)/3,0))</f>
        <v/>
      </c>
      <c r="C697" s="47" t="n"/>
      <c r="D697" s="47" t="n"/>
      <c r="E697" s="47" t="n"/>
      <c r="F697" s="47" t="n"/>
      <c r="G697" s="48" t="n"/>
      <c r="H697" s="49" t="n"/>
      <c r="I697" s="50">
        <f>IF(G697="","",ROUND(G697*H697,2))</f>
        <v/>
      </c>
      <c r="J697" s="50">
        <f>IF(G697="","",G697+N(I697))</f>
        <v/>
      </c>
      <c r="K697" s="45" t="n"/>
      <c r="L697" s="47" t="n"/>
      <c r="M697" s="48" t="n"/>
      <c r="N697" s="49" t="n"/>
      <c r="O697" s="50">
        <f>IF(M697="","",ROUND(M697*N697,2))</f>
        <v/>
      </c>
      <c r="P697" s="50">
        <f>IF(M697="","",M697+N(O697))</f>
        <v/>
      </c>
      <c r="Q697" s="45" t="n"/>
      <c r="R697" s="45" t="n"/>
      <c r="S697" s="51">
        <f>IF(L697="","",IF(COUNTIF(L$6:L697,L697)&gt;1,"",SUMIF(L$6:L$2000,L697,M$6:M$2000)-SUMIF(L$6:L$2000,L697,G$6:G$2000)))</f>
        <v/>
      </c>
      <c r="T697" s="46">
        <f>IF(AND(C697="",G697=""),"",IF(L697="","Nog factureren",IF(AND(G697&lt;&gt;"",OR(K697="",K697&gt;TODAY())),"Nog betalen",IF(OR(R697="",R697&gt;TODAY()),"Wacht op klant","Afgerond"))))</f>
        <v/>
      </c>
    </row>
    <row r="698">
      <c r="A698" s="45" t="n"/>
      <c r="B698" s="46">
        <f>IF(A698="","",YEAR(A698)&amp;" Q"&amp;ROUNDUP(MONTH(A698)/3,0))</f>
        <v/>
      </c>
      <c r="C698" s="47" t="n"/>
      <c r="D698" s="47" t="n"/>
      <c r="E698" s="47" t="n"/>
      <c r="F698" s="47" t="n"/>
      <c r="G698" s="48" t="n"/>
      <c r="H698" s="49" t="n"/>
      <c r="I698" s="50">
        <f>IF(G698="","",ROUND(G698*H698,2))</f>
        <v/>
      </c>
      <c r="J698" s="50">
        <f>IF(G698="","",G698+N(I698))</f>
        <v/>
      </c>
      <c r="K698" s="45" t="n"/>
      <c r="L698" s="47" t="n"/>
      <c r="M698" s="48" t="n"/>
      <c r="N698" s="49" t="n"/>
      <c r="O698" s="50">
        <f>IF(M698="","",ROUND(M698*N698,2))</f>
        <v/>
      </c>
      <c r="P698" s="50">
        <f>IF(M698="","",M698+N(O698))</f>
        <v/>
      </c>
      <c r="Q698" s="45" t="n"/>
      <c r="R698" s="45" t="n"/>
      <c r="S698" s="51">
        <f>IF(L698="","",IF(COUNTIF(L$6:L698,L698)&gt;1,"",SUMIF(L$6:L$2000,L698,M$6:M$2000)-SUMIF(L$6:L$2000,L698,G$6:G$2000)))</f>
        <v/>
      </c>
      <c r="T698" s="46">
        <f>IF(AND(C698="",G698=""),"",IF(L698="","Nog factureren",IF(AND(G698&lt;&gt;"",OR(K698="",K698&gt;TODAY())),"Nog betalen",IF(OR(R698="",R698&gt;TODAY()),"Wacht op klant","Afgerond"))))</f>
        <v/>
      </c>
    </row>
    <row r="699">
      <c r="A699" s="45" t="n"/>
      <c r="B699" s="46">
        <f>IF(A699="","",YEAR(A699)&amp;" Q"&amp;ROUNDUP(MONTH(A699)/3,0))</f>
        <v/>
      </c>
      <c r="C699" s="47" t="n"/>
      <c r="D699" s="47" t="n"/>
      <c r="E699" s="47" t="n"/>
      <c r="F699" s="47" t="n"/>
      <c r="G699" s="48" t="n"/>
      <c r="H699" s="49" t="n"/>
      <c r="I699" s="50">
        <f>IF(G699="","",ROUND(G699*H699,2))</f>
        <v/>
      </c>
      <c r="J699" s="50">
        <f>IF(G699="","",G699+N(I699))</f>
        <v/>
      </c>
      <c r="K699" s="45" t="n"/>
      <c r="L699" s="47" t="n"/>
      <c r="M699" s="48" t="n"/>
      <c r="N699" s="49" t="n"/>
      <c r="O699" s="50">
        <f>IF(M699="","",ROUND(M699*N699,2))</f>
        <v/>
      </c>
      <c r="P699" s="50">
        <f>IF(M699="","",M699+N(O699))</f>
        <v/>
      </c>
      <c r="Q699" s="45" t="n"/>
      <c r="R699" s="45" t="n"/>
      <c r="S699" s="51">
        <f>IF(L699="","",IF(COUNTIF(L$6:L699,L699)&gt;1,"",SUMIF(L$6:L$2000,L699,M$6:M$2000)-SUMIF(L$6:L$2000,L699,G$6:G$2000)))</f>
        <v/>
      </c>
      <c r="T699" s="46">
        <f>IF(AND(C699="",G699=""),"",IF(L699="","Nog factureren",IF(AND(G699&lt;&gt;"",OR(K699="",K699&gt;TODAY())),"Nog betalen",IF(OR(R699="",R699&gt;TODAY()),"Wacht op klant","Afgerond"))))</f>
        <v/>
      </c>
    </row>
    <row r="700">
      <c r="A700" s="45" t="n"/>
      <c r="B700" s="46">
        <f>IF(A700="","",YEAR(A700)&amp;" Q"&amp;ROUNDUP(MONTH(A700)/3,0))</f>
        <v/>
      </c>
      <c r="C700" s="47" t="n"/>
      <c r="D700" s="47" t="n"/>
      <c r="E700" s="47" t="n"/>
      <c r="F700" s="47" t="n"/>
      <c r="G700" s="48" t="n"/>
      <c r="H700" s="49" t="n"/>
      <c r="I700" s="50">
        <f>IF(G700="","",ROUND(G700*H700,2))</f>
        <v/>
      </c>
      <c r="J700" s="50">
        <f>IF(G700="","",G700+N(I700))</f>
        <v/>
      </c>
      <c r="K700" s="45" t="n"/>
      <c r="L700" s="47" t="n"/>
      <c r="M700" s="48" t="n"/>
      <c r="N700" s="49" t="n"/>
      <c r="O700" s="50">
        <f>IF(M700="","",ROUND(M700*N700,2))</f>
        <v/>
      </c>
      <c r="P700" s="50">
        <f>IF(M700="","",M700+N(O700))</f>
        <v/>
      </c>
      <c r="Q700" s="45" t="n"/>
      <c r="R700" s="45" t="n"/>
      <c r="S700" s="51">
        <f>IF(L700="","",IF(COUNTIF(L$6:L700,L700)&gt;1,"",SUMIF(L$6:L$2000,L700,M$6:M$2000)-SUMIF(L$6:L$2000,L700,G$6:G$2000)))</f>
        <v/>
      </c>
      <c r="T700" s="46">
        <f>IF(AND(C700="",G700=""),"",IF(L700="","Nog factureren",IF(AND(G700&lt;&gt;"",OR(K700="",K700&gt;TODAY())),"Nog betalen",IF(OR(R700="",R700&gt;TODAY()),"Wacht op klant","Afgerond"))))</f>
        <v/>
      </c>
    </row>
    <row r="701">
      <c r="A701" s="45" t="n"/>
      <c r="B701" s="46">
        <f>IF(A701="","",YEAR(A701)&amp;" Q"&amp;ROUNDUP(MONTH(A701)/3,0))</f>
        <v/>
      </c>
      <c r="C701" s="47" t="n"/>
      <c r="D701" s="47" t="n"/>
      <c r="E701" s="47" t="n"/>
      <c r="F701" s="47" t="n"/>
      <c r="G701" s="48" t="n"/>
      <c r="H701" s="49" t="n"/>
      <c r="I701" s="50">
        <f>IF(G701="","",ROUND(G701*H701,2))</f>
        <v/>
      </c>
      <c r="J701" s="50">
        <f>IF(G701="","",G701+N(I701))</f>
        <v/>
      </c>
      <c r="K701" s="45" t="n"/>
      <c r="L701" s="47" t="n"/>
      <c r="M701" s="48" t="n"/>
      <c r="N701" s="49" t="n"/>
      <c r="O701" s="50">
        <f>IF(M701="","",ROUND(M701*N701,2))</f>
        <v/>
      </c>
      <c r="P701" s="50">
        <f>IF(M701="","",M701+N(O701))</f>
        <v/>
      </c>
      <c r="Q701" s="45" t="n"/>
      <c r="R701" s="45" t="n"/>
      <c r="S701" s="51">
        <f>IF(L701="","",IF(COUNTIF(L$6:L701,L701)&gt;1,"",SUMIF(L$6:L$2000,L701,M$6:M$2000)-SUMIF(L$6:L$2000,L701,G$6:G$2000)))</f>
        <v/>
      </c>
      <c r="T701" s="46">
        <f>IF(AND(C701="",G701=""),"",IF(L701="","Nog factureren",IF(AND(G701&lt;&gt;"",OR(K701="",K701&gt;TODAY())),"Nog betalen",IF(OR(R701="",R701&gt;TODAY()),"Wacht op klant","Afgerond"))))</f>
        <v/>
      </c>
    </row>
    <row r="702">
      <c r="A702" s="45" t="n"/>
      <c r="B702" s="46">
        <f>IF(A702="","",YEAR(A702)&amp;" Q"&amp;ROUNDUP(MONTH(A702)/3,0))</f>
        <v/>
      </c>
      <c r="C702" s="47" t="n"/>
      <c r="D702" s="47" t="n"/>
      <c r="E702" s="47" t="n"/>
      <c r="F702" s="47" t="n"/>
      <c r="G702" s="48" t="n"/>
      <c r="H702" s="49" t="n"/>
      <c r="I702" s="50">
        <f>IF(G702="","",ROUND(G702*H702,2))</f>
        <v/>
      </c>
      <c r="J702" s="50">
        <f>IF(G702="","",G702+N(I702))</f>
        <v/>
      </c>
      <c r="K702" s="45" t="n"/>
      <c r="L702" s="47" t="n"/>
      <c r="M702" s="48" t="n"/>
      <c r="N702" s="49" t="n"/>
      <c r="O702" s="50">
        <f>IF(M702="","",ROUND(M702*N702,2))</f>
        <v/>
      </c>
      <c r="P702" s="50">
        <f>IF(M702="","",M702+N(O702))</f>
        <v/>
      </c>
      <c r="Q702" s="45" t="n"/>
      <c r="R702" s="45" t="n"/>
      <c r="S702" s="51">
        <f>IF(L702="","",IF(COUNTIF(L$6:L702,L702)&gt;1,"",SUMIF(L$6:L$2000,L702,M$6:M$2000)-SUMIF(L$6:L$2000,L702,G$6:G$2000)))</f>
        <v/>
      </c>
      <c r="T702" s="46">
        <f>IF(AND(C702="",G702=""),"",IF(L702="","Nog factureren",IF(AND(G702&lt;&gt;"",OR(K702="",K702&gt;TODAY())),"Nog betalen",IF(OR(R702="",R702&gt;TODAY()),"Wacht op klant","Afgerond"))))</f>
        <v/>
      </c>
    </row>
    <row r="703">
      <c r="A703" s="45" t="n"/>
      <c r="B703" s="46">
        <f>IF(A703="","",YEAR(A703)&amp;" Q"&amp;ROUNDUP(MONTH(A703)/3,0))</f>
        <v/>
      </c>
      <c r="C703" s="47" t="n"/>
      <c r="D703" s="47" t="n"/>
      <c r="E703" s="47" t="n"/>
      <c r="F703" s="47" t="n"/>
      <c r="G703" s="48" t="n"/>
      <c r="H703" s="49" t="n"/>
      <c r="I703" s="50">
        <f>IF(G703="","",ROUND(G703*H703,2))</f>
        <v/>
      </c>
      <c r="J703" s="50">
        <f>IF(G703="","",G703+N(I703))</f>
        <v/>
      </c>
      <c r="K703" s="45" t="n"/>
      <c r="L703" s="47" t="n"/>
      <c r="M703" s="48" t="n"/>
      <c r="N703" s="49" t="n"/>
      <c r="O703" s="50">
        <f>IF(M703="","",ROUND(M703*N703,2))</f>
        <v/>
      </c>
      <c r="P703" s="50">
        <f>IF(M703="","",M703+N(O703))</f>
        <v/>
      </c>
      <c r="Q703" s="45" t="n"/>
      <c r="R703" s="45" t="n"/>
      <c r="S703" s="51">
        <f>IF(L703="","",IF(COUNTIF(L$6:L703,L703)&gt;1,"",SUMIF(L$6:L$2000,L703,M$6:M$2000)-SUMIF(L$6:L$2000,L703,G$6:G$2000)))</f>
        <v/>
      </c>
      <c r="T703" s="46">
        <f>IF(AND(C703="",G703=""),"",IF(L703="","Nog factureren",IF(AND(G703&lt;&gt;"",OR(K703="",K703&gt;TODAY())),"Nog betalen",IF(OR(R703="",R703&gt;TODAY()),"Wacht op klant","Afgerond"))))</f>
        <v/>
      </c>
    </row>
    <row r="704">
      <c r="A704" s="45" t="n"/>
      <c r="B704" s="46">
        <f>IF(A704="","",YEAR(A704)&amp;" Q"&amp;ROUNDUP(MONTH(A704)/3,0))</f>
        <v/>
      </c>
      <c r="C704" s="47" t="n"/>
      <c r="D704" s="47" t="n"/>
      <c r="E704" s="47" t="n"/>
      <c r="F704" s="47" t="n"/>
      <c r="G704" s="48" t="n"/>
      <c r="H704" s="49" t="n"/>
      <c r="I704" s="50">
        <f>IF(G704="","",ROUND(G704*H704,2))</f>
        <v/>
      </c>
      <c r="J704" s="50">
        <f>IF(G704="","",G704+N(I704))</f>
        <v/>
      </c>
      <c r="K704" s="45" t="n"/>
      <c r="L704" s="47" t="n"/>
      <c r="M704" s="48" t="n"/>
      <c r="N704" s="49" t="n"/>
      <c r="O704" s="50">
        <f>IF(M704="","",ROUND(M704*N704,2))</f>
        <v/>
      </c>
      <c r="P704" s="50">
        <f>IF(M704="","",M704+N(O704))</f>
        <v/>
      </c>
      <c r="Q704" s="45" t="n"/>
      <c r="R704" s="45" t="n"/>
      <c r="S704" s="51">
        <f>IF(L704="","",IF(COUNTIF(L$6:L704,L704)&gt;1,"",SUMIF(L$6:L$2000,L704,M$6:M$2000)-SUMIF(L$6:L$2000,L704,G$6:G$2000)))</f>
        <v/>
      </c>
      <c r="T704" s="46">
        <f>IF(AND(C704="",G704=""),"",IF(L704="","Nog factureren",IF(AND(G704&lt;&gt;"",OR(K704="",K704&gt;TODAY())),"Nog betalen",IF(OR(R704="",R704&gt;TODAY()),"Wacht op klant","Afgerond"))))</f>
        <v/>
      </c>
    </row>
    <row r="705">
      <c r="A705" s="45" t="n"/>
      <c r="B705" s="46">
        <f>IF(A705="","",YEAR(A705)&amp;" Q"&amp;ROUNDUP(MONTH(A705)/3,0))</f>
        <v/>
      </c>
      <c r="C705" s="47" t="n"/>
      <c r="D705" s="47" t="n"/>
      <c r="E705" s="47" t="n"/>
      <c r="F705" s="47" t="n"/>
      <c r="G705" s="48" t="n"/>
      <c r="H705" s="49" t="n"/>
      <c r="I705" s="50">
        <f>IF(G705="","",ROUND(G705*H705,2))</f>
        <v/>
      </c>
      <c r="J705" s="50">
        <f>IF(G705="","",G705+N(I705))</f>
        <v/>
      </c>
      <c r="K705" s="45" t="n"/>
      <c r="L705" s="47" t="n"/>
      <c r="M705" s="48" t="n"/>
      <c r="N705" s="49" t="n"/>
      <c r="O705" s="50">
        <f>IF(M705="","",ROUND(M705*N705,2))</f>
        <v/>
      </c>
      <c r="P705" s="50">
        <f>IF(M705="","",M705+N(O705))</f>
        <v/>
      </c>
      <c r="Q705" s="45" t="n"/>
      <c r="R705" s="45" t="n"/>
      <c r="S705" s="51">
        <f>IF(L705="","",IF(COUNTIF(L$6:L705,L705)&gt;1,"",SUMIF(L$6:L$2000,L705,M$6:M$2000)-SUMIF(L$6:L$2000,L705,G$6:G$2000)))</f>
        <v/>
      </c>
      <c r="T705" s="46">
        <f>IF(AND(C705="",G705=""),"",IF(L705="","Nog factureren",IF(AND(G705&lt;&gt;"",OR(K705="",K705&gt;TODAY())),"Nog betalen",IF(OR(R705="",R705&gt;TODAY()),"Wacht op klant","Afgerond"))))</f>
        <v/>
      </c>
    </row>
    <row r="706">
      <c r="A706" s="45" t="n"/>
      <c r="B706" s="46">
        <f>IF(A706="","",YEAR(A706)&amp;" Q"&amp;ROUNDUP(MONTH(A706)/3,0))</f>
        <v/>
      </c>
      <c r="C706" s="47" t="n"/>
      <c r="D706" s="47" t="n"/>
      <c r="E706" s="47" t="n"/>
      <c r="F706" s="47" t="n"/>
      <c r="G706" s="48" t="n"/>
      <c r="H706" s="49" t="n"/>
      <c r="I706" s="50">
        <f>IF(G706="","",ROUND(G706*H706,2))</f>
        <v/>
      </c>
      <c r="J706" s="50">
        <f>IF(G706="","",G706+N(I706))</f>
        <v/>
      </c>
      <c r="K706" s="45" t="n"/>
      <c r="L706" s="47" t="n"/>
      <c r="M706" s="48" t="n"/>
      <c r="N706" s="49" t="n"/>
      <c r="O706" s="50">
        <f>IF(M706="","",ROUND(M706*N706,2))</f>
        <v/>
      </c>
      <c r="P706" s="50">
        <f>IF(M706="","",M706+N(O706))</f>
        <v/>
      </c>
      <c r="Q706" s="45" t="n"/>
      <c r="R706" s="45" t="n"/>
      <c r="S706" s="51">
        <f>IF(L706="","",IF(COUNTIF(L$6:L706,L706)&gt;1,"",SUMIF(L$6:L$2000,L706,M$6:M$2000)-SUMIF(L$6:L$2000,L706,G$6:G$2000)))</f>
        <v/>
      </c>
      <c r="T706" s="46">
        <f>IF(AND(C706="",G706=""),"",IF(L706="","Nog factureren",IF(AND(G706&lt;&gt;"",OR(K706="",K706&gt;TODAY())),"Nog betalen",IF(OR(R706="",R706&gt;TODAY()),"Wacht op klant","Afgerond"))))</f>
        <v/>
      </c>
    </row>
    <row r="707">
      <c r="A707" s="45" t="n"/>
      <c r="B707" s="46">
        <f>IF(A707="","",YEAR(A707)&amp;" Q"&amp;ROUNDUP(MONTH(A707)/3,0))</f>
        <v/>
      </c>
      <c r="C707" s="47" t="n"/>
      <c r="D707" s="47" t="n"/>
      <c r="E707" s="47" t="n"/>
      <c r="F707" s="47" t="n"/>
      <c r="G707" s="48" t="n"/>
      <c r="H707" s="49" t="n"/>
      <c r="I707" s="50">
        <f>IF(G707="","",ROUND(G707*H707,2))</f>
        <v/>
      </c>
      <c r="J707" s="50">
        <f>IF(G707="","",G707+N(I707))</f>
        <v/>
      </c>
      <c r="K707" s="45" t="n"/>
      <c r="L707" s="47" t="n"/>
      <c r="M707" s="48" t="n"/>
      <c r="N707" s="49" t="n"/>
      <c r="O707" s="50">
        <f>IF(M707="","",ROUND(M707*N707,2))</f>
        <v/>
      </c>
      <c r="P707" s="50">
        <f>IF(M707="","",M707+N(O707))</f>
        <v/>
      </c>
      <c r="Q707" s="45" t="n"/>
      <c r="R707" s="45" t="n"/>
      <c r="S707" s="51">
        <f>IF(L707="","",IF(COUNTIF(L$6:L707,L707)&gt;1,"",SUMIF(L$6:L$2000,L707,M$6:M$2000)-SUMIF(L$6:L$2000,L707,G$6:G$2000)))</f>
        <v/>
      </c>
      <c r="T707" s="46">
        <f>IF(AND(C707="",G707=""),"",IF(L707="","Nog factureren",IF(AND(G707&lt;&gt;"",OR(K707="",K707&gt;TODAY())),"Nog betalen",IF(OR(R707="",R707&gt;TODAY()),"Wacht op klant","Afgerond"))))</f>
        <v/>
      </c>
    </row>
    <row r="708">
      <c r="A708" s="45" t="n"/>
      <c r="B708" s="46">
        <f>IF(A708="","",YEAR(A708)&amp;" Q"&amp;ROUNDUP(MONTH(A708)/3,0))</f>
        <v/>
      </c>
      <c r="C708" s="47" t="n"/>
      <c r="D708" s="47" t="n"/>
      <c r="E708" s="47" t="n"/>
      <c r="F708" s="47" t="n"/>
      <c r="G708" s="48" t="n"/>
      <c r="H708" s="49" t="n"/>
      <c r="I708" s="50">
        <f>IF(G708="","",ROUND(G708*H708,2))</f>
        <v/>
      </c>
      <c r="J708" s="50">
        <f>IF(G708="","",G708+N(I708))</f>
        <v/>
      </c>
      <c r="K708" s="45" t="n"/>
      <c r="L708" s="47" t="n"/>
      <c r="M708" s="48" t="n"/>
      <c r="N708" s="49" t="n"/>
      <c r="O708" s="50">
        <f>IF(M708="","",ROUND(M708*N708,2))</f>
        <v/>
      </c>
      <c r="P708" s="50">
        <f>IF(M708="","",M708+N(O708))</f>
        <v/>
      </c>
      <c r="Q708" s="45" t="n"/>
      <c r="R708" s="45" t="n"/>
      <c r="S708" s="51">
        <f>IF(L708="","",IF(COUNTIF(L$6:L708,L708)&gt;1,"",SUMIF(L$6:L$2000,L708,M$6:M$2000)-SUMIF(L$6:L$2000,L708,G$6:G$2000)))</f>
        <v/>
      </c>
      <c r="T708" s="46">
        <f>IF(AND(C708="",G708=""),"",IF(L708="","Nog factureren",IF(AND(G708&lt;&gt;"",OR(K708="",K708&gt;TODAY())),"Nog betalen",IF(OR(R708="",R708&gt;TODAY()),"Wacht op klant","Afgerond"))))</f>
        <v/>
      </c>
    </row>
    <row r="709">
      <c r="A709" s="45" t="n"/>
      <c r="B709" s="46">
        <f>IF(A709="","",YEAR(A709)&amp;" Q"&amp;ROUNDUP(MONTH(A709)/3,0))</f>
        <v/>
      </c>
      <c r="C709" s="47" t="n"/>
      <c r="D709" s="47" t="n"/>
      <c r="E709" s="47" t="n"/>
      <c r="F709" s="47" t="n"/>
      <c r="G709" s="48" t="n"/>
      <c r="H709" s="49" t="n"/>
      <c r="I709" s="50">
        <f>IF(G709="","",ROUND(G709*H709,2))</f>
        <v/>
      </c>
      <c r="J709" s="50">
        <f>IF(G709="","",G709+N(I709))</f>
        <v/>
      </c>
      <c r="K709" s="45" t="n"/>
      <c r="L709" s="47" t="n"/>
      <c r="M709" s="48" t="n"/>
      <c r="N709" s="49" t="n"/>
      <c r="O709" s="50">
        <f>IF(M709="","",ROUND(M709*N709,2))</f>
        <v/>
      </c>
      <c r="P709" s="50">
        <f>IF(M709="","",M709+N(O709))</f>
        <v/>
      </c>
      <c r="Q709" s="45" t="n"/>
      <c r="R709" s="45" t="n"/>
      <c r="S709" s="51">
        <f>IF(L709="","",IF(COUNTIF(L$6:L709,L709)&gt;1,"",SUMIF(L$6:L$2000,L709,M$6:M$2000)-SUMIF(L$6:L$2000,L709,G$6:G$2000)))</f>
        <v/>
      </c>
      <c r="T709" s="46">
        <f>IF(AND(C709="",G709=""),"",IF(L709="","Nog factureren",IF(AND(G709&lt;&gt;"",OR(K709="",K709&gt;TODAY())),"Nog betalen",IF(OR(R709="",R709&gt;TODAY()),"Wacht op klant","Afgerond"))))</f>
        <v/>
      </c>
    </row>
    <row r="710">
      <c r="A710" s="45" t="n"/>
      <c r="B710" s="46">
        <f>IF(A710="","",YEAR(A710)&amp;" Q"&amp;ROUNDUP(MONTH(A710)/3,0))</f>
        <v/>
      </c>
      <c r="C710" s="47" t="n"/>
      <c r="D710" s="47" t="n"/>
      <c r="E710" s="47" t="n"/>
      <c r="F710" s="47" t="n"/>
      <c r="G710" s="48" t="n"/>
      <c r="H710" s="49" t="n"/>
      <c r="I710" s="50">
        <f>IF(G710="","",ROUND(G710*H710,2))</f>
        <v/>
      </c>
      <c r="J710" s="50">
        <f>IF(G710="","",G710+N(I710))</f>
        <v/>
      </c>
      <c r="K710" s="45" t="n"/>
      <c r="L710" s="47" t="n"/>
      <c r="M710" s="48" t="n"/>
      <c r="N710" s="49" t="n"/>
      <c r="O710" s="50">
        <f>IF(M710="","",ROUND(M710*N710,2))</f>
        <v/>
      </c>
      <c r="P710" s="50">
        <f>IF(M710="","",M710+N(O710))</f>
        <v/>
      </c>
      <c r="Q710" s="45" t="n"/>
      <c r="R710" s="45" t="n"/>
      <c r="S710" s="51">
        <f>IF(L710="","",IF(COUNTIF(L$6:L710,L710)&gt;1,"",SUMIF(L$6:L$2000,L710,M$6:M$2000)-SUMIF(L$6:L$2000,L710,G$6:G$2000)))</f>
        <v/>
      </c>
      <c r="T710" s="46">
        <f>IF(AND(C710="",G710=""),"",IF(L710="","Nog factureren",IF(AND(G710&lt;&gt;"",OR(K710="",K710&gt;TODAY())),"Nog betalen",IF(OR(R710="",R710&gt;TODAY()),"Wacht op klant","Afgerond"))))</f>
        <v/>
      </c>
    </row>
    <row r="711">
      <c r="A711" s="45" t="n"/>
      <c r="B711" s="46">
        <f>IF(A711="","",YEAR(A711)&amp;" Q"&amp;ROUNDUP(MONTH(A711)/3,0))</f>
        <v/>
      </c>
      <c r="C711" s="47" t="n"/>
      <c r="D711" s="47" t="n"/>
      <c r="E711" s="47" t="n"/>
      <c r="F711" s="47" t="n"/>
      <c r="G711" s="48" t="n"/>
      <c r="H711" s="49" t="n"/>
      <c r="I711" s="50">
        <f>IF(G711="","",ROUND(G711*H711,2))</f>
        <v/>
      </c>
      <c r="J711" s="50">
        <f>IF(G711="","",G711+N(I711))</f>
        <v/>
      </c>
      <c r="K711" s="45" t="n"/>
      <c r="L711" s="47" t="n"/>
      <c r="M711" s="48" t="n"/>
      <c r="N711" s="49" t="n"/>
      <c r="O711" s="50">
        <f>IF(M711="","",ROUND(M711*N711,2))</f>
        <v/>
      </c>
      <c r="P711" s="50">
        <f>IF(M711="","",M711+N(O711))</f>
        <v/>
      </c>
      <c r="Q711" s="45" t="n"/>
      <c r="R711" s="45" t="n"/>
      <c r="S711" s="51">
        <f>IF(L711="","",IF(COUNTIF(L$6:L711,L711)&gt;1,"",SUMIF(L$6:L$2000,L711,M$6:M$2000)-SUMIF(L$6:L$2000,L711,G$6:G$2000)))</f>
        <v/>
      </c>
      <c r="T711" s="46">
        <f>IF(AND(C711="",G711=""),"",IF(L711="","Nog factureren",IF(AND(G711&lt;&gt;"",OR(K711="",K711&gt;TODAY())),"Nog betalen",IF(OR(R711="",R711&gt;TODAY()),"Wacht op klant","Afgerond"))))</f>
        <v/>
      </c>
    </row>
    <row r="712">
      <c r="A712" s="45" t="n"/>
      <c r="B712" s="46">
        <f>IF(A712="","",YEAR(A712)&amp;" Q"&amp;ROUNDUP(MONTH(A712)/3,0))</f>
        <v/>
      </c>
      <c r="C712" s="47" t="n"/>
      <c r="D712" s="47" t="n"/>
      <c r="E712" s="47" t="n"/>
      <c r="F712" s="47" t="n"/>
      <c r="G712" s="48" t="n"/>
      <c r="H712" s="49" t="n"/>
      <c r="I712" s="50">
        <f>IF(G712="","",ROUND(G712*H712,2))</f>
        <v/>
      </c>
      <c r="J712" s="50">
        <f>IF(G712="","",G712+N(I712))</f>
        <v/>
      </c>
      <c r="K712" s="45" t="n"/>
      <c r="L712" s="47" t="n"/>
      <c r="M712" s="48" t="n"/>
      <c r="N712" s="49" t="n"/>
      <c r="O712" s="50">
        <f>IF(M712="","",ROUND(M712*N712,2))</f>
        <v/>
      </c>
      <c r="P712" s="50">
        <f>IF(M712="","",M712+N(O712))</f>
        <v/>
      </c>
      <c r="Q712" s="45" t="n"/>
      <c r="R712" s="45" t="n"/>
      <c r="S712" s="51">
        <f>IF(L712="","",IF(COUNTIF(L$6:L712,L712)&gt;1,"",SUMIF(L$6:L$2000,L712,M$6:M$2000)-SUMIF(L$6:L$2000,L712,G$6:G$2000)))</f>
        <v/>
      </c>
      <c r="T712" s="46">
        <f>IF(AND(C712="",G712=""),"",IF(L712="","Nog factureren",IF(AND(G712&lt;&gt;"",OR(K712="",K712&gt;TODAY())),"Nog betalen",IF(OR(R712="",R712&gt;TODAY()),"Wacht op klant","Afgerond"))))</f>
        <v/>
      </c>
    </row>
    <row r="713">
      <c r="A713" s="45" t="n"/>
      <c r="B713" s="46">
        <f>IF(A713="","",YEAR(A713)&amp;" Q"&amp;ROUNDUP(MONTH(A713)/3,0))</f>
        <v/>
      </c>
      <c r="C713" s="47" t="n"/>
      <c r="D713" s="47" t="n"/>
      <c r="E713" s="47" t="n"/>
      <c r="F713" s="47" t="n"/>
      <c r="G713" s="48" t="n"/>
      <c r="H713" s="49" t="n"/>
      <c r="I713" s="50">
        <f>IF(G713="","",ROUND(G713*H713,2))</f>
        <v/>
      </c>
      <c r="J713" s="50">
        <f>IF(G713="","",G713+N(I713))</f>
        <v/>
      </c>
      <c r="K713" s="45" t="n"/>
      <c r="L713" s="47" t="n"/>
      <c r="M713" s="48" t="n"/>
      <c r="N713" s="49" t="n"/>
      <c r="O713" s="50">
        <f>IF(M713="","",ROUND(M713*N713,2))</f>
        <v/>
      </c>
      <c r="P713" s="50">
        <f>IF(M713="","",M713+N(O713))</f>
        <v/>
      </c>
      <c r="Q713" s="45" t="n"/>
      <c r="R713" s="45" t="n"/>
      <c r="S713" s="51">
        <f>IF(L713="","",IF(COUNTIF(L$6:L713,L713)&gt;1,"",SUMIF(L$6:L$2000,L713,M$6:M$2000)-SUMIF(L$6:L$2000,L713,G$6:G$2000)))</f>
        <v/>
      </c>
      <c r="T713" s="46">
        <f>IF(AND(C713="",G713=""),"",IF(L713="","Nog factureren",IF(AND(G713&lt;&gt;"",OR(K713="",K713&gt;TODAY())),"Nog betalen",IF(OR(R713="",R713&gt;TODAY()),"Wacht op klant","Afgerond"))))</f>
        <v/>
      </c>
    </row>
    <row r="714">
      <c r="A714" s="45" t="n"/>
      <c r="B714" s="46">
        <f>IF(A714="","",YEAR(A714)&amp;" Q"&amp;ROUNDUP(MONTH(A714)/3,0))</f>
        <v/>
      </c>
      <c r="C714" s="47" t="n"/>
      <c r="D714" s="47" t="n"/>
      <c r="E714" s="47" t="n"/>
      <c r="F714" s="47" t="n"/>
      <c r="G714" s="48" t="n"/>
      <c r="H714" s="49" t="n"/>
      <c r="I714" s="50">
        <f>IF(G714="","",ROUND(G714*H714,2))</f>
        <v/>
      </c>
      <c r="J714" s="50">
        <f>IF(G714="","",G714+N(I714))</f>
        <v/>
      </c>
      <c r="K714" s="45" t="n"/>
      <c r="L714" s="47" t="n"/>
      <c r="M714" s="48" t="n"/>
      <c r="N714" s="49" t="n"/>
      <c r="O714" s="50">
        <f>IF(M714="","",ROUND(M714*N714,2))</f>
        <v/>
      </c>
      <c r="P714" s="50">
        <f>IF(M714="","",M714+N(O714))</f>
        <v/>
      </c>
      <c r="Q714" s="45" t="n"/>
      <c r="R714" s="45" t="n"/>
      <c r="S714" s="51">
        <f>IF(L714="","",IF(COUNTIF(L$6:L714,L714)&gt;1,"",SUMIF(L$6:L$2000,L714,M$6:M$2000)-SUMIF(L$6:L$2000,L714,G$6:G$2000)))</f>
        <v/>
      </c>
      <c r="T714" s="46">
        <f>IF(AND(C714="",G714=""),"",IF(L714="","Nog factureren",IF(AND(G714&lt;&gt;"",OR(K714="",K714&gt;TODAY())),"Nog betalen",IF(OR(R714="",R714&gt;TODAY()),"Wacht op klant","Afgerond"))))</f>
        <v/>
      </c>
    </row>
    <row r="715">
      <c r="A715" s="45" t="n"/>
      <c r="B715" s="46">
        <f>IF(A715="","",YEAR(A715)&amp;" Q"&amp;ROUNDUP(MONTH(A715)/3,0))</f>
        <v/>
      </c>
      <c r="C715" s="47" t="n"/>
      <c r="D715" s="47" t="n"/>
      <c r="E715" s="47" t="n"/>
      <c r="F715" s="47" t="n"/>
      <c r="G715" s="48" t="n"/>
      <c r="H715" s="49" t="n"/>
      <c r="I715" s="50">
        <f>IF(G715="","",ROUND(G715*H715,2))</f>
        <v/>
      </c>
      <c r="J715" s="50">
        <f>IF(G715="","",G715+N(I715))</f>
        <v/>
      </c>
      <c r="K715" s="45" t="n"/>
      <c r="L715" s="47" t="n"/>
      <c r="M715" s="48" t="n"/>
      <c r="N715" s="49" t="n"/>
      <c r="O715" s="50">
        <f>IF(M715="","",ROUND(M715*N715,2))</f>
        <v/>
      </c>
      <c r="P715" s="50">
        <f>IF(M715="","",M715+N(O715))</f>
        <v/>
      </c>
      <c r="Q715" s="45" t="n"/>
      <c r="R715" s="45" t="n"/>
      <c r="S715" s="51">
        <f>IF(L715="","",IF(COUNTIF(L$6:L715,L715)&gt;1,"",SUMIF(L$6:L$2000,L715,M$6:M$2000)-SUMIF(L$6:L$2000,L715,G$6:G$2000)))</f>
        <v/>
      </c>
      <c r="T715" s="46">
        <f>IF(AND(C715="",G715=""),"",IF(L715="","Nog factureren",IF(AND(G715&lt;&gt;"",OR(K715="",K715&gt;TODAY())),"Nog betalen",IF(OR(R715="",R715&gt;TODAY()),"Wacht op klant","Afgerond"))))</f>
        <v/>
      </c>
    </row>
    <row r="716">
      <c r="A716" s="45" t="n"/>
      <c r="B716" s="46">
        <f>IF(A716="","",YEAR(A716)&amp;" Q"&amp;ROUNDUP(MONTH(A716)/3,0))</f>
        <v/>
      </c>
      <c r="C716" s="47" t="n"/>
      <c r="D716" s="47" t="n"/>
      <c r="E716" s="47" t="n"/>
      <c r="F716" s="47" t="n"/>
      <c r="G716" s="48" t="n"/>
      <c r="H716" s="49" t="n"/>
      <c r="I716" s="50">
        <f>IF(G716="","",ROUND(G716*H716,2))</f>
        <v/>
      </c>
      <c r="J716" s="50">
        <f>IF(G716="","",G716+N(I716))</f>
        <v/>
      </c>
      <c r="K716" s="45" t="n"/>
      <c r="L716" s="47" t="n"/>
      <c r="M716" s="48" t="n"/>
      <c r="N716" s="49" t="n"/>
      <c r="O716" s="50">
        <f>IF(M716="","",ROUND(M716*N716,2))</f>
        <v/>
      </c>
      <c r="P716" s="50">
        <f>IF(M716="","",M716+N(O716))</f>
        <v/>
      </c>
      <c r="Q716" s="45" t="n"/>
      <c r="R716" s="45" t="n"/>
      <c r="S716" s="51">
        <f>IF(L716="","",IF(COUNTIF(L$6:L716,L716)&gt;1,"",SUMIF(L$6:L$2000,L716,M$6:M$2000)-SUMIF(L$6:L$2000,L716,G$6:G$2000)))</f>
        <v/>
      </c>
      <c r="T716" s="46">
        <f>IF(AND(C716="",G716=""),"",IF(L716="","Nog factureren",IF(AND(G716&lt;&gt;"",OR(K716="",K716&gt;TODAY())),"Nog betalen",IF(OR(R716="",R716&gt;TODAY()),"Wacht op klant","Afgerond"))))</f>
        <v/>
      </c>
    </row>
    <row r="717">
      <c r="A717" s="45" t="n"/>
      <c r="B717" s="46">
        <f>IF(A717="","",YEAR(A717)&amp;" Q"&amp;ROUNDUP(MONTH(A717)/3,0))</f>
        <v/>
      </c>
      <c r="C717" s="47" t="n"/>
      <c r="D717" s="47" t="n"/>
      <c r="E717" s="47" t="n"/>
      <c r="F717" s="47" t="n"/>
      <c r="G717" s="48" t="n"/>
      <c r="H717" s="49" t="n"/>
      <c r="I717" s="50">
        <f>IF(G717="","",ROUND(G717*H717,2))</f>
        <v/>
      </c>
      <c r="J717" s="50">
        <f>IF(G717="","",G717+N(I717))</f>
        <v/>
      </c>
      <c r="K717" s="45" t="n"/>
      <c r="L717" s="47" t="n"/>
      <c r="M717" s="48" t="n"/>
      <c r="N717" s="49" t="n"/>
      <c r="O717" s="50">
        <f>IF(M717="","",ROUND(M717*N717,2))</f>
        <v/>
      </c>
      <c r="P717" s="50">
        <f>IF(M717="","",M717+N(O717))</f>
        <v/>
      </c>
      <c r="Q717" s="45" t="n"/>
      <c r="R717" s="45" t="n"/>
      <c r="S717" s="51">
        <f>IF(L717="","",IF(COUNTIF(L$6:L717,L717)&gt;1,"",SUMIF(L$6:L$2000,L717,M$6:M$2000)-SUMIF(L$6:L$2000,L717,G$6:G$2000)))</f>
        <v/>
      </c>
      <c r="T717" s="46">
        <f>IF(AND(C717="",G717=""),"",IF(L717="","Nog factureren",IF(AND(G717&lt;&gt;"",OR(K717="",K717&gt;TODAY())),"Nog betalen",IF(OR(R717="",R717&gt;TODAY()),"Wacht op klant","Afgerond"))))</f>
        <v/>
      </c>
    </row>
    <row r="718">
      <c r="A718" s="45" t="n"/>
      <c r="B718" s="46">
        <f>IF(A718="","",YEAR(A718)&amp;" Q"&amp;ROUNDUP(MONTH(A718)/3,0))</f>
        <v/>
      </c>
      <c r="C718" s="47" t="n"/>
      <c r="D718" s="47" t="n"/>
      <c r="E718" s="47" t="n"/>
      <c r="F718" s="47" t="n"/>
      <c r="G718" s="48" t="n"/>
      <c r="H718" s="49" t="n"/>
      <c r="I718" s="50">
        <f>IF(G718="","",ROUND(G718*H718,2))</f>
        <v/>
      </c>
      <c r="J718" s="50">
        <f>IF(G718="","",G718+N(I718))</f>
        <v/>
      </c>
      <c r="K718" s="45" t="n"/>
      <c r="L718" s="47" t="n"/>
      <c r="M718" s="48" t="n"/>
      <c r="N718" s="49" t="n"/>
      <c r="O718" s="50">
        <f>IF(M718="","",ROUND(M718*N718,2))</f>
        <v/>
      </c>
      <c r="P718" s="50">
        <f>IF(M718="","",M718+N(O718))</f>
        <v/>
      </c>
      <c r="Q718" s="45" t="n"/>
      <c r="R718" s="45" t="n"/>
      <c r="S718" s="51">
        <f>IF(L718="","",IF(COUNTIF(L$6:L718,L718)&gt;1,"",SUMIF(L$6:L$2000,L718,M$6:M$2000)-SUMIF(L$6:L$2000,L718,G$6:G$2000)))</f>
        <v/>
      </c>
      <c r="T718" s="46">
        <f>IF(AND(C718="",G718=""),"",IF(L718="","Nog factureren",IF(AND(G718&lt;&gt;"",OR(K718="",K718&gt;TODAY())),"Nog betalen",IF(OR(R718="",R718&gt;TODAY()),"Wacht op klant","Afgerond"))))</f>
        <v/>
      </c>
    </row>
    <row r="719">
      <c r="A719" s="45" t="n"/>
      <c r="B719" s="46">
        <f>IF(A719="","",YEAR(A719)&amp;" Q"&amp;ROUNDUP(MONTH(A719)/3,0))</f>
        <v/>
      </c>
      <c r="C719" s="47" t="n"/>
      <c r="D719" s="47" t="n"/>
      <c r="E719" s="47" t="n"/>
      <c r="F719" s="47" t="n"/>
      <c r="G719" s="48" t="n"/>
      <c r="H719" s="49" t="n"/>
      <c r="I719" s="50">
        <f>IF(G719="","",ROUND(G719*H719,2))</f>
        <v/>
      </c>
      <c r="J719" s="50">
        <f>IF(G719="","",G719+N(I719))</f>
        <v/>
      </c>
      <c r="K719" s="45" t="n"/>
      <c r="L719" s="47" t="n"/>
      <c r="M719" s="48" t="n"/>
      <c r="N719" s="49" t="n"/>
      <c r="O719" s="50">
        <f>IF(M719="","",ROUND(M719*N719,2))</f>
        <v/>
      </c>
      <c r="P719" s="50">
        <f>IF(M719="","",M719+N(O719))</f>
        <v/>
      </c>
      <c r="Q719" s="45" t="n"/>
      <c r="R719" s="45" t="n"/>
      <c r="S719" s="51">
        <f>IF(L719="","",IF(COUNTIF(L$6:L719,L719)&gt;1,"",SUMIF(L$6:L$2000,L719,M$6:M$2000)-SUMIF(L$6:L$2000,L719,G$6:G$2000)))</f>
        <v/>
      </c>
      <c r="T719" s="46">
        <f>IF(AND(C719="",G719=""),"",IF(L719="","Nog factureren",IF(AND(G719&lt;&gt;"",OR(K719="",K719&gt;TODAY())),"Nog betalen",IF(OR(R719="",R719&gt;TODAY()),"Wacht op klant","Afgerond"))))</f>
        <v/>
      </c>
    </row>
    <row r="720">
      <c r="A720" s="45" t="n"/>
      <c r="B720" s="46">
        <f>IF(A720="","",YEAR(A720)&amp;" Q"&amp;ROUNDUP(MONTH(A720)/3,0))</f>
        <v/>
      </c>
      <c r="C720" s="47" t="n"/>
      <c r="D720" s="47" t="n"/>
      <c r="E720" s="47" t="n"/>
      <c r="F720" s="47" t="n"/>
      <c r="G720" s="48" t="n"/>
      <c r="H720" s="49" t="n"/>
      <c r="I720" s="50">
        <f>IF(G720="","",ROUND(G720*H720,2))</f>
        <v/>
      </c>
      <c r="J720" s="50">
        <f>IF(G720="","",G720+N(I720))</f>
        <v/>
      </c>
      <c r="K720" s="45" t="n"/>
      <c r="L720" s="47" t="n"/>
      <c r="M720" s="48" t="n"/>
      <c r="N720" s="49" t="n"/>
      <c r="O720" s="50">
        <f>IF(M720="","",ROUND(M720*N720,2))</f>
        <v/>
      </c>
      <c r="P720" s="50">
        <f>IF(M720="","",M720+N(O720))</f>
        <v/>
      </c>
      <c r="Q720" s="45" t="n"/>
      <c r="R720" s="45" t="n"/>
      <c r="S720" s="51">
        <f>IF(L720="","",IF(COUNTIF(L$6:L720,L720)&gt;1,"",SUMIF(L$6:L$2000,L720,M$6:M$2000)-SUMIF(L$6:L$2000,L720,G$6:G$2000)))</f>
        <v/>
      </c>
      <c r="T720" s="46">
        <f>IF(AND(C720="",G720=""),"",IF(L720="","Nog factureren",IF(AND(G720&lt;&gt;"",OR(K720="",K720&gt;TODAY())),"Nog betalen",IF(OR(R720="",R720&gt;TODAY()),"Wacht op klant","Afgerond"))))</f>
        <v/>
      </c>
    </row>
    <row r="721">
      <c r="A721" s="45" t="n"/>
      <c r="B721" s="46">
        <f>IF(A721="","",YEAR(A721)&amp;" Q"&amp;ROUNDUP(MONTH(A721)/3,0))</f>
        <v/>
      </c>
      <c r="C721" s="47" t="n"/>
      <c r="D721" s="47" t="n"/>
      <c r="E721" s="47" t="n"/>
      <c r="F721" s="47" t="n"/>
      <c r="G721" s="48" t="n"/>
      <c r="H721" s="49" t="n"/>
      <c r="I721" s="50">
        <f>IF(G721="","",ROUND(G721*H721,2))</f>
        <v/>
      </c>
      <c r="J721" s="50">
        <f>IF(G721="","",G721+N(I721))</f>
        <v/>
      </c>
      <c r="K721" s="45" t="n"/>
      <c r="L721" s="47" t="n"/>
      <c r="M721" s="48" t="n"/>
      <c r="N721" s="49" t="n"/>
      <c r="O721" s="50">
        <f>IF(M721="","",ROUND(M721*N721,2))</f>
        <v/>
      </c>
      <c r="P721" s="50">
        <f>IF(M721="","",M721+N(O721))</f>
        <v/>
      </c>
      <c r="Q721" s="45" t="n"/>
      <c r="R721" s="45" t="n"/>
      <c r="S721" s="51">
        <f>IF(L721="","",IF(COUNTIF(L$6:L721,L721)&gt;1,"",SUMIF(L$6:L$2000,L721,M$6:M$2000)-SUMIF(L$6:L$2000,L721,G$6:G$2000)))</f>
        <v/>
      </c>
      <c r="T721" s="46">
        <f>IF(AND(C721="",G721=""),"",IF(L721="","Nog factureren",IF(AND(G721&lt;&gt;"",OR(K721="",K721&gt;TODAY())),"Nog betalen",IF(OR(R721="",R721&gt;TODAY()),"Wacht op klant","Afgerond"))))</f>
        <v/>
      </c>
    </row>
    <row r="722">
      <c r="A722" s="45" t="n"/>
      <c r="B722" s="46">
        <f>IF(A722="","",YEAR(A722)&amp;" Q"&amp;ROUNDUP(MONTH(A722)/3,0))</f>
        <v/>
      </c>
      <c r="C722" s="47" t="n"/>
      <c r="D722" s="47" t="n"/>
      <c r="E722" s="47" t="n"/>
      <c r="F722" s="47" t="n"/>
      <c r="G722" s="48" t="n"/>
      <c r="H722" s="49" t="n"/>
      <c r="I722" s="50">
        <f>IF(G722="","",ROUND(G722*H722,2))</f>
        <v/>
      </c>
      <c r="J722" s="50">
        <f>IF(G722="","",G722+N(I722))</f>
        <v/>
      </c>
      <c r="K722" s="45" t="n"/>
      <c r="L722" s="47" t="n"/>
      <c r="M722" s="48" t="n"/>
      <c r="N722" s="49" t="n"/>
      <c r="O722" s="50">
        <f>IF(M722="","",ROUND(M722*N722,2))</f>
        <v/>
      </c>
      <c r="P722" s="50">
        <f>IF(M722="","",M722+N(O722))</f>
        <v/>
      </c>
      <c r="Q722" s="45" t="n"/>
      <c r="R722" s="45" t="n"/>
      <c r="S722" s="51">
        <f>IF(L722="","",IF(COUNTIF(L$6:L722,L722)&gt;1,"",SUMIF(L$6:L$2000,L722,M$6:M$2000)-SUMIF(L$6:L$2000,L722,G$6:G$2000)))</f>
        <v/>
      </c>
      <c r="T722" s="46">
        <f>IF(AND(C722="",G722=""),"",IF(L722="","Nog factureren",IF(AND(G722&lt;&gt;"",OR(K722="",K722&gt;TODAY())),"Nog betalen",IF(OR(R722="",R722&gt;TODAY()),"Wacht op klant","Afgerond"))))</f>
        <v/>
      </c>
    </row>
    <row r="723">
      <c r="A723" s="45" t="n"/>
      <c r="B723" s="46">
        <f>IF(A723="","",YEAR(A723)&amp;" Q"&amp;ROUNDUP(MONTH(A723)/3,0))</f>
        <v/>
      </c>
      <c r="C723" s="47" t="n"/>
      <c r="D723" s="47" t="n"/>
      <c r="E723" s="47" t="n"/>
      <c r="F723" s="47" t="n"/>
      <c r="G723" s="48" t="n"/>
      <c r="H723" s="49" t="n"/>
      <c r="I723" s="50">
        <f>IF(G723="","",ROUND(G723*H723,2))</f>
        <v/>
      </c>
      <c r="J723" s="50">
        <f>IF(G723="","",G723+N(I723))</f>
        <v/>
      </c>
      <c r="K723" s="45" t="n"/>
      <c r="L723" s="47" t="n"/>
      <c r="M723" s="48" t="n"/>
      <c r="N723" s="49" t="n"/>
      <c r="O723" s="50">
        <f>IF(M723="","",ROUND(M723*N723,2))</f>
        <v/>
      </c>
      <c r="P723" s="50">
        <f>IF(M723="","",M723+N(O723))</f>
        <v/>
      </c>
      <c r="Q723" s="45" t="n"/>
      <c r="R723" s="45" t="n"/>
      <c r="S723" s="51">
        <f>IF(L723="","",IF(COUNTIF(L$6:L723,L723)&gt;1,"",SUMIF(L$6:L$2000,L723,M$6:M$2000)-SUMIF(L$6:L$2000,L723,G$6:G$2000)))</f>
        <v/>
      </c>
      <c r="T723" s="46">
        <f>IF(AND(C723="",G723=""),"",IF(L723="","Nog factureren",IF(AND(G723&lt;&gt;"",OR(K723="",K723&gt;TODAY())),"Nog betalen",IF(OR(R723="",R723&gt;TODAY()),"Wacht op klant","Afgerond"))))</f>
        <v/>
      </c>
    </row>
    <row r="724">
      <c r="A724" s="45" t="n"/>
      <c r="B724" s="46">
        <f>IF(A724="","",YEAR(A724)&amp;" Q"&amp;ROUNDUP(MONTH(A724)/3,0))</f>
        <v/>
      </c>
      <c r="C724" s="47" t="n"/>
      <c r="D724" s="47" t="n"/>
      <c r="E724" s="47" t="n"/>
      <c r="F724" s="47" t="n"/>
      <c r="G724" s="48" t="n"/>
      <c r="H724" s="49" t="n"/>
      <c r="I724" s="50">
        <f>IF(G724="","",ROUND(G724*H724,2))</f>
        <v/>
      </c>
      <c r="J724" s="50">
        <f>IF(G724="","",G724+N(I724))</f>
        <v/>
      </c>
      <c r="K724" s="45" t="n"/>
      <c r="L724" s="47" t="n"/>
      <c r="M724" s="48" t="n"/>
      <c r="N724" s="49" t="n"/>
      <c r="O724" s="50">
        <f>IF(M724="","",ROUND(M724*N724,2))</f>
        <v/>
      </c>
      <c r="P724" s="50">
        <f>IF(M724="","",M724+N(O724))</f>
        <v/>
      </c>
      <c r="Q724" s="45" t="n"/>
      <c r="R724" s="45" t="n"/>
      <c r="S724" s="51">
        <f>IF(L724="","",IF(COUNTIF(L$6:L724,L724)&gt;1,"",SUMIF(L$6:L$2000,L724,M$6:M$2000)-SUMIF(L$6:L$2000,L724,G$6:G$2000)))</f>
        <v/>
      </c>
      <c r="T724" s="46">
        <f>IF(AND(C724="",G724=""),"",IF(L724="","Nog factureren",IF(AND(G724&lt;&gt;"",OR(K724="",K724&gt;TODAY())),"Nog betalen",IF(OR(R724="",R724&gt;TODAY()),"Wacht op klant","Afgerond"))))</f>
        <v/>
      </c>
    </row>
    <row r="725">
      <c r="A725" s="45" t="n"/>
      <c r="B725" s="46">
        <f>IF(A725="","",YEAR(A725)&amp;" Q"&amp;ROUNDUP(MONTH(A725)/3,0))</f>
        <v/>
      </c>
      <c r="C725" s="47" t="n"/>
      <c r="D725" s="47" t="n"/>
      <c r="E725" s="47" t="n"/>
      <c r="F725" s="47" t="n"/>
      <c r="G725" s="48" t="n"/>
      <c r="H725" s="49" t="n"/>
      <c r="I725" s="50">
        <f>IF(G725="","",ROUND(G725*H725,2))</f>
        <v/>
      </c>
      <c r="J725" s="50">
        <f>IF(G725="","",G725+N(I725))</f>
        <v/>
      </c>
      <c r="K725" s="45" t="n"/>
      <c r="L725" s="47" t="n"/>
      <c r="M725" s="48" t="n"/>
      <c r="N725" s="49" t="n"/>
      <c r="O725" s="50">
        <f>IF(M725="","",ROUND(M725*N725,2))</f>
        <v/>
      </c>
      <c r="P725" s="50">
        <f>IF(M725="","",M725+N(O725))</f>
        <v/>
      </c>
      <c r="Q725" s="45" t="n"/>
      <c r="R725" s="45" t="n"/>
      <c r="S725" s="51">
        <f>IF(L725="","",IF(COUNTIF(L$6:L725,L725)&gt;1,"",SUMIF(L$6:L$2000,L725,M$6:M$2000)-SUMIF(L$6:L$2000,L725,G$6:G$2000)))</f>
        <v/>
      </c>
      <c r="T725" s="46">
        <f>IF(AND(C725="",G725=""),"",IF(L725="","Nog factureren",IF(AND(G725&lt;&gt;"",OR(K725="",K725&gt;TODAY())),"Nog betalen",IF(OR(R725="",R725&gt;TODAY()),"Wacht op klant","Afgerond"))))</f>
        <v/>
      </c>
    </row>
    <row r="726">
      <c r="A726" s="45" t="n"/>
      <c r="B726" s="46">
        <f>IF(A726="","",YEAR(A726)&amp;" Q"&amp;ROUNDUP(MONTH(A726)/3,0))</f>
        <v/>
      </c>
      <c r="C726" s="47" t="n"/>
      <c r="D726" s="47" t="n"/>
      <c r="E726" s="47" t="n"/>
      <c r="F726" s="47" t="n"/>
      <c r="G726" s="48" t="n"/>
      <c r="H726" s="49" t="n"/>
      <c r="I726" s="50">
        <f>IF(G726="","",ROUND(G726*H726,2))</f>
        <v/>
      </c>
      <c r="J726" s="50">
        <f>IF(G726="","",G726+N(I726))</f>
        <v/>
      </c>
      <c r="K726" s="45" t="n"/>
      <c r="L726" s="47" t="n"/>
      <c r="M726" s="48" t="n"/>
      <c r="N726" s="49" t="n"/>
      <c r="O726" s="50">
        <f>IF(M726="","",ROUND(M726*N726,2))</f>
        <v/>
      </c>
      <c r="P726" s="50">
        <f>IF(M726="","",M726+N(O726))</f>
        <v/>
      </c>
      <c r="Q726" s="45" t="n"/>
      <c r="R726" s="45" t="n"/>
      <c r="S726" s="51">
        <f>IF(L726="","",IF(COUNTIF(L$6:L726,L726)&gt;1,"",SUMIF(L$6:L$2000,L726,M$6:M$2000)-SUMIF(L$6:L$2000,L726,G$6:G$2000)))</f>
        <v/>
      </c>
      <c r="T726" s="46">
        <f>IF(AND(C726="",G726=""),"",IF(L726="","Nog factureren",IF(AND(G726&lt;&gt;"",OR(K726="",K726&gt;TODAY())),"Nog betalen",IF(OR(R726="",R726&gt;TODAY()),"Wacht op klant","Afgerond"))))</f>
        <v/>
      </c>
    </row>
    <row r="727">
      <c r="A727" s="45" t="n"/>
      <c r="B727" s="46">
        <f>IF(A727="","",YEAR(A727)&amp;" Q"&amp;ROUNDUP(MONTH(A727)/3,0))</f>
        <v/>
      </c>
      <c r="C727" s="47" t="n"/>
      <c r="D727" s="47" t="n"/>
      <c r="E727" s="47" t="n"/>
      <c r="F727" s="47" t="n"/>
      <c r="G727" s="48" t="n"/>
      <c r="H727" s="49" t="n"/>
      <c r="I727" s="50">
        <f>IF(G727="","",ROUND(G727*H727,2))</f>
        <v/>
      </c>
      <c r="J727" s="50">
        <f>IF(G727="","",G727+N(I727))</f>
        <v/>
      </c>
      <c r="K727" s="45" t="n"/>
      <c r="L727" s="47" t="n"/>
      <c r="M727" s="48" t="n"/>
      <c r="N727" s="49" t="n"/>
      <c r="O727" s="50">
        <f>IF(M727="","",ROUND(M727*N727,2))</f>
        <v/>
      </c>
      <c r="P727" s="50">
        <f>IF(M727="","",M727+N(O727))</f>
        <v/>
      </c>
      <c r="Q727" s="45" t="n"/>
      <c r="R727" s="45" t="n"/>
      <c r="S727" s="51">
        <f>IF(L727="","",IF(COUNTIF(L$6:L727,L727)&gt;1,"",SUMIF(L$6:L$2000,L727,M$6:M$2000)-SUMIF(L$6:L$2000,L727,G$6:G$2000)))</f>
        <v/>
      </c>
      <c r="T727" s="46">
        <f>IF(AND(C727="",G727=""),"",IF(L727="","Nog factureren",IF(AND(G727&lt;&gt;"",OR(K727="",K727&gt;TODAY())),"Nog betalen",IF(OR(R727="",R727&gt;TODAY()),"Wacht op klant","Afgerond"))))</f>
        <v/>
      </c>
    </row>
    <row r="728">
      <c r="A728" s="45" t="n"/>
      <c r="B728" s="46">
        <f>IF(A728="","",YEAR(A728)&amp;" Q"&amp;ROUNDUP(MONTH(A728)/3,0))</f>
        <v/>
      </c>
      <c r="C728" s="47" t="n"/>
      <c r="D728" s="47" t="n"/>
      <c r="E728" s="47" t="n"/>
      <c r="F728" s="47" t="n"/>
      <c r="G728" s="48" t="n"/>
      <c r="H728" s="49" t="n"/>
      <c r="I728" s="50">
        <f>IF(G728="","",ROUND(G728*H728,2))</f>
        <v/>
      </c>
      <c r="J728" s="50">
        <f>IF(G728="","",G728+N(I728))</f>
        <v/>
      </c>
      <c r="K728" s="45" t="n"/>
      <c r="L728" s="47" t="n"/>
      <c r="M728" s="48" t="n"/>
      <c r="N728" s="49" t="n"/>
      <c r="O728" s="50">
        <f>IF(M728="","",ROUND(M728*N728,2))</f>
        <v/>
      </c>
      <c r="P728" s="50">
        <f>IF(M728="","",M728+N(O728))</f>
        <v/>
      </c>
      <c r="Q728" s="45" t="n"/>
      <c r="R728" s="45" t="n"/>
      <c r="S728" s="51">
        <f>IF(L728="","",IF(COUNTIF(L$6:L728,L728)&gt;1,"",SUMIF(L$6:L$2000,L728,M$6:M$2000)-SUMIF(L$6:L$2000,L728,G$6:G$2000)))</f>
        <v/>
      </c>
      <c r="T728" s="46">
        <f>IF(AND(C728="",G728=""),"",IF(L728="","Nog factureren",IF(AND(G728&lt;&gt;"",OR(K728="",K728&gt;TODAY())),"Nog betalen",IF(OR(R728="",R728&gt;TODAY()),"Wacht op klant","Afgerond"))))</f>
        <v/>
      </c>
    </row>
    <row r="729">
      <c r="A729" s="45" t="n"/>
      <c r="B729" s="46">
        <f>IF(A729="","",YEAR(A729)&amp;" Q"&amp;ROUNDUP(MONTH(A729)/3,0))</f>
        <v/>
      </c>
      <c r="C729" s="47" t="n"/>
      <c r="D729" s="47" t="n"/>
      <c r="E729" s="47" t="n"/>
      <c r="F729" s="47" t="n"/>
      <c r="G729" s="48" t="n"/>
      <c r="H729" s="49" t="n"/>
      <c r="I729" s="50">
        <f>IF(G729="","",ROUND(G729*H729,2))</f>
        <v/>
      </c>
      <c r="J729" s="50">
        <f>IF(G729="","",G729+N(I729))</f>
        <v/>
      </c>
      <c r="K729" s="45" t="n"/>
      <c r="L729" s="47" t="n"/>
      <c r="M729" s="48" t="n"/>
      <c r="N729" s="49" t="n"/>
      <c r="O729" s="50">
        <f>IF(M729="","",ROUND(M729*N729,2))</f>
        <v/>
      </c>
      <c r="P729" s="50">
        <f>IF(M729="","",M729+N(O729))</f>
        <v/>
      </c>
      <c r="Q729" s="45" t="n"/>
      <c r="R729" s="45" t="n"/>
      <c r="S729" s="51">
        <f>IF(L729="","",IF(COUNTIF(L$6:L729,L729)&gt;1,"",SUMIF(L$6:L$2000,L729,M$6:M$2000)-SUMIF(L$6:L$2000,L729,G$6:G$2000)))</f>
        <v/>
      </c>
      <c r="T729" s="46">
        <f>IF(AND(C729="",G729=""),"",IF(L729="","Nog factureren",IF(AND(G729&lt;&gt;"",OR(K729="",K729&gt;TODAY())),"Nog betalen",IF(OR(R729="",R729&gt;TODAY()),"Wacht op klant","Afgerond"))))</f>
        <v/>
      </c>
    </row>
    <row r="730">
      <c r="A730" s="45" t="n"/>
      <c r="B730" s="46">
        <f>IF(A730="","",YEAR(A730)&amp;" Q"&amp;ROUNDUP(MONTH(A730)/3,0))</f>
        <v/>
      </c>
      <c r="C730" s="47" t="n"/>
      <c r="D730" s="47" t="n"/>
      <c r="E730" s="47" t="n"/>
      <c r="F730" s="47" t="n"/>
      <c r="G730" s="48" t="n"/>
      <c r="H730" s="49" t="n"/>
      <c r="I730" s="50">
        <f>IF(G730="","",ROUND(G730*H730,2))</f>
        <v/>
      </c>
      <c r="J730" s="50">
        <f>IF(G730="","",G730+N(I730))</f>
        <v/>
      </c>
      <c r="K730" s="45" t="n"/>
      <c r="L730" s="47" t="n"/>
      <c r="M730" s="48" t="n"/>
      <c r="N730" s="49" t="n"/>
      <c r="O730" s="50">
        <f>IF(M730="","",ROUND(M730*N730,2))</f>
        <v/>
      </c>
      <c r="P730" s="50">
        <f>IF(M730="","",M730+N(O730))</f>
        <v/>
      </c>
      <c r="Q730" s="45" t="n"/>
      <c r="R730" s="45" t="n"/>
      <c r="S730" s="51">
        <f>IF(L730="","",IF(COUNTIF(L$6:L730,L730)&gt;1,"",SUMIF(L$6:L$2000,L730,M$6:M$2000)-SUMIF(L$6:L$2000,L730,G$6:G$2000)))</f>
        <v/>
      </c>
      <c r="T730" s="46">
        <f>IF(AND(C730="",G730=""),"",IF(L730="","Nog factureren",IF(AND(G730&lt;&gt;"",OR(K730="",K730&gt;TODAY())),"Nog betalen",IF(OR(R730="",R730&gt;TODAY()),"Wacht op klant","Afgerond"))))</f>
        <v/>
      </c>
    </row>
    <row r="731">
      <c r="A731" s="45" t="n"/>
      <c r="B731" s="46">
        <f>IF(A731="","",YEAR(A731)&amp;" Q"&amp;ROUNDUP(MONTH(A731)/3,0))</f>
        <v/>
      </c>
      <c r="C731" s="47" t="n"/>
      <c r="D731" s="47" t="n"/>
      <c r="E731" s="47" t="n"/>
      <c r="F731" s="47" t="n"/>
      <c r="G731" s="48" t="n"/>
      <c r="H731" s="49" t="n"/>
      <c r="I731" s="50">
        <f>IF(G731="","",ROUND(G731*H731,2))</f>
        <v/>
      </c>
      <c r="J731" s="50">
        <f>IF(G731="","",G731+N(I731))</f>
        <v/>
      </c>
      <c r="K731" s="45" t="n"/>
      <c r="L731" s="47" t="n"/>
      <c r="M731" s="48" t="n"/>
      <c r="N731" s="49" t="n"/>
      <c r="O731" s="50">
        <f>IF(M731="","",ROUND(M731*N731,2))</f>
        <v/>
      </c>
      <c r="P731" s="50">
        <f>IF(M731="","",M731+N(O731))</f>
        <v/>
      </c>
      <c r="Q731" s="45" t="n"/>
      <c r="R731" s="45" t="n"/>
      <c r="S731" s="51">
        <f>IF(L731="","",IF(COUNTIF(L$6:L731,L731)&gt;1,"",SUMIF(L$6:L$2000,L731,M$6:M$2000)-SUMIF(L$6:L$2000,L731,G$6:G$2000)))</f>
        <v/>
      </c>
      <c r="T731" s="46">
        <f>IF(AND(C731="",G731=""),"",IF(L731="","Nog factureren",IF(AND(G731&lt;&gt;"",OR(K731="",K731&gt;TODAY())),"Nog betalen",IF(OR(R731="",R731&gt;TODAY()),"Wacht op klant","Afgerond"))))</f>
        <v/>
      </c>
    </row>
    <row r="732">
      <c r="A732" s="45" t="n"/>
      <c r="B732" s="46">
        <f>IF(A732="","",YEAR(A732)&amp;" Q"&amp;ROUNDUP(MONTH(A732)/3,0))</f>
        <v/>
      </c>
      <c r="C732" s="47" t="n"/>
      <c r="D732" s="47" t="n"/>
      <c r="E732" s="47" t="n"/>
      <c r="F732" s="47" t="n"/>
      <c r="G732" s="48" t="n"/>
      <c r="H732" s="49" t="n"/>
      <c r="I732" s="50">
        <f>IF(G732="","",ROUND(G732*H732,2))</f>
        <v/>
      </c>
      <c r="J732" s="50">
        <f>IF(G732="","",G732+N(I732))</f>
        <v/>
      </c>
      <c r="K732" s="45" t="n"/>
      <c r="L732" s="47" t="n"/>
      <c r="M732" s="48" t="n"/>
      <c r="N732" s="49" t="n"/>
      <c r="O732" s="50">
        <f>IF(M732="","",ROUND(M732*N732,2))</f>
        <v/>
      </c>
      <c r="P732" s="50">
        <f>IF(M732="","",M732+N(O732))</f>
        <v/>
      </c>
      <c r="Q732" s="45" t="n"/>
      <c r="R732" s="45" t="n"/>
      <c r="S732" s="51">
        <f>IF(L732="","",IF(COUNTIF(L$6:L732,L732)&gt;1,"",SUMIF(L$6:L$2000,L732,M$6:M$2000)-SUMIF(L$6:L$2000,L732,G$6:G$2000)))</f>
        <v/>
      </c>
      <c r="T732" s="46">
        <f>IF(AND(C732="",G732=""),"",IF(L732="","Nog factureren",IF(AND(G732&lt;&gt;"",OR(K732="",K732&gt;TODAY())),"Nog betalen",IF(OR(R732="",R732&gt;TODAY()),"Wacht op klant","Afgerond"))))</f>
        <v/>
      </c>
    </row>
    <row r="733">
      <c r="A733" s="45" t="n"/>
      <c r="B733" s="46">
        <f>IF(A733="","",YEAR(A733)&amp;" Q"&amp;ROUNDUP(MONTH(A733)/3,0))</f>
        <v/>
      </c>
      <c r="C733" s="47" t="n"/>
      <c r="D733" s="47" t="n"/>
      <c r="E733" s="47" t="n"/>
      <c r="F733" s="47" t="n"/>
      <c r="G733" s="48" t="n"/>
      <c r="H733" s="49" t="n"/>
      <c r="I733" s="50">
        <f>IF(G733="","",ROUND(G733*H733,2))</f>
        <v/>
      </c>
      <c r="J733" s="50">
        <f>IF(G733="","",G733+N(I733))</f>
        <v/>
      </c>
      <c r="K733" s="45" t="n"/>
      <c r="L733" s="47" t="n"/>
      <c r="M733" s="48" t="n"/>
      <c r="N733" s="49" t="n"/>
      <c r="O733" s="50">
        <f>IF(M733="","",ROUND(M733*N733,2))</f>
        <v/>
      </c>
      <c r="P733" s="50">
        <f>IF(M733="","",M733+N(O733))</f>
        <v/>
      </c>
      <c r="Q733" s="45" t="n"/>
      <c r="R733" s="45" t="n"/>
      <c r="S733" s="51">
        <f>IF(L733="","",IF(COUNTIF(L$6:L733,L733)&gt;1,"",SUMIF(L$6:L$2000,L733,M$6:M$2000)-SUMIF(L$6:L$2000,L733,G$6:G$2000)))</f>
        <v/>
      </c>
      <c r="T733" s="46">
        <f>IF(AND(C733="",G733=""),"",IF(L733="","Nog factureren",IF(AND(G733&lt;&gt;"",OR(K733="",K733&gt;TODAY())),"Nog betalen",IF(OR(R733="",R733&gt;TODAY()),"Wacht op klant","Afgerond"))))</f>
        <v/>
      </c>
    </row>
    <row r="734">
      <c r="A734" s="45" t="n"/>
      <c r="B734" s="46">
        <f>IF(A734="","",YEAR(A734)&amp;" Q"&amp;ROUNDUP(MONTH(A734)/3,0))</f>
        <v/>
      </c>
      <c r="C734" s="47" t="n"/>
      <c r="D734" s="47" t="n"/>
      <c r="E734" s="47" t="n"/>
      <c r="F734" s="47" t="n"/>
      <c r="G734" s="48" t="n"/>
      <c r="H734" s="49" t="n"/>
      <c r="I734" s="50">
        <f>IF(G734="","",ROUND(G734*H734,2))</f>
        <v/>
      </c>
      <c r="J734" s="50">
        <f>IF(G734="","",G734+N(I734))</f>
        <v/>
      </c>
      <c r="K734" s="45" t="n"/>
      <c r="L734" s="47" t="n"/>
      <c r="M734" s="48" t="n"/>
      <c r="N734" s="49" t="n"/>
      <c r="O734" s="50">
        <f>IF(M734="","",ROUND(M734*N734,2))</f>
        <v/>
      </c>
      <c r="P734" s="50">
        <f>IF(M734="","",M734+N(O734))</f>
        <v/>
      </c>
      <c r="Q734" s="45" t="n"/>
      <c r="R734" s="45" t="n"/>
      <c r="S734" s="51">
        <f>IF(L734="","",IF(COUNTIF(L$6:L734,L734)&gt;1,"",SUMIF(L$6:L$2000,L734,M$6:M$2000)-SUMIF(L$6:L$2000,L734,G$6:G$2000)))</f>
        <v/>
      </c>
      <c r="T734" s="46">
        <f>IF(AND(C734="",G734=""),"",IF(L734="","Nog factureren",IF(AND(G734&lt;&gt;"",OR(K734="",K734&gt;TODAY())),"Nog betalen",IF(OR(R734="",R734&gt;TODAY()),"Wacht op klant","Afgerond"))))</f>
        <v/>
      </c>
    </row>
    <row r="735">
      <c r="A735" s="45" t="n"/>
      <c r="B735" s="46">
        <f>IF(A735="","",YEAR(A735)&amp;" Q"&amp;ROUNDUP(MONTH(A735)/3,0))</f>
        <v/>
      </c>
      <c r="C735" s="47" t="n"/>
      <c r="D735" s="47" t="n"/>
      <c r="E735" s="47" t="n"/>
      <c r="F735" s="47" t="n"/>
      <c r="G735" s="48" t="n"/>
      <c r="H735" s="49" t="n"/>
      <c r="I735" s="50">
        <f>IF(G735="","",ROUND(G735*H735,2))</f>
        <v/>
      </c>
      <c r="J735" s="50">
        <f>IF(G735="","",G735+N(I735))</f>
        <v/>
      </c>
      <c r="K735" s="45" t="n"/>
      <c r="L735" s="47" t="n"/>
      <c r="M735" s="48" t="n"/>
      <c r="N735" s="49" t="n"/>
      <c r="O735" s="50">
        <f>IF(M735="","",ROUND(M735*N735,2))</f>
        <v/>
      </c>
      <c r="P735" s="50">
        <f>IF(M735="","",M735+N(O735))</f>
        <v/>
      </c>
      <c r="Q735" s="45" t="n"/>
      <c r="R735" s="45" t="n"/>
      <c r="S735" s="51">
        <f>IF(L735="","",IF(COUNTIF(L$6:L735,L735)&gt;1,"",SUMIF(L$6:L$2000,L735,M$6:M$2000)-SUMIF(L$6:L$2000,L735,G$6:G$2000)))</f>
        <v/>
      </c>
      <c r="T735" s="46">
        <f>IF(AND(C735="",G735=""),"",IF(L735="","Nog factureren",IF(AND(G735&lt;&gt;"",OR(K735="",K735&gt;TODAY())),"Nog betalen",IF(OR(R735="",R735&gt;TODAY()),"Wacht op klant","Afgerond"))))</f>
        <v/>
      </c>
    </row>
    <row r="736">
      <c r="A736" s="45" t="n"/>
      <c r="B736" s="46">
        <f>IF(A736="","",YEAR(A736)&amp;" Q"&amp;ROUNDUP(MONTH(A736)/3,0))</f>
        <v/>
      </c>
      <c r="C736" s="47" t="n"/>
      <c r="D736" s="47" t="n"/>
      <c r="E736" s="47" t="n"/>
      <c r="F736" s="47" t="n"/>
      <c r="G736" s="48" t="n"/>
      <c r="H736" s="49" t="n"/>
      <c r="I736" s="50">
        <f>IF(G736="","",ROUND(G736*H736,2))</f>
        <v/>
      </c>
      <c r="J736" s="50">
        <f>IF(G736="","",G736+N(I736))</f>
        <v/>
      </c>
      <c r="K736" s="45" t="n"/>
      <c r="L736" s="47" t="n"/>
      <c r="M736" s="48" t="n"/>
      <c r="N736" s="49" t="n"/>
      <c r="O736" s="50">
        <f>IF(M736="","",ROUND(M736*N736,2))</f>
        <v/>
      </c>
      <c r="P736" s="50">
        <f>IF(M736="","",M736+N(O736))</f>
        <v/>
      </c>
      <c r="Q736" s="45" t="n"/>
      <c r="R736" s="45" t="n"/>
      <c r="S736" s="51">
        <f>IF(L736="","",IF(COUNTIF(L$6:L736,L736)&gt;1,"",SUMIF(L$6:L$2000,L736,M$6:M$2000)-SUMIF(L$6:L$2000,L736,G$6:G$2000)))</f>
        <v/>
      </c>
      <c r="T736" s="46">
        <f>IF(AND(C736="",G736=""),"",IF(L736="","Nog factureren",IF(AND(G736&lt;&gt;"",OR(K736="",K736&gt;TODAY())),"Nog betalen",IF(OR(R736="",R736&gt;TODAY()),"Wacht op klant","Afgerond"))))</f>
        <v/>
      </c>
    </row>
    <row r="737">
      <c r="A737" s="45" t="n"/>
      <c r="B737" s="46">
        <f>IF(A737="","",YEAR(A737)&amp;" Q"&amp;ROUNDUP(MONTH(A737)/3,0))</f>
        <v/>
      </c>
      <c r="C737" s="47" t="n"/>
      <c r="D737" s="47" t="n"/>
      <c r="E737" s="47" t="n"/>
      <c r="F737" s="47" t="n"/>
      <c r="G737" s="48" t="n"/>
      <c r="H737" s="49" t="n"/>
      <c r="I737" s="50">
        <f>IF(G737="","",ROUND(G737*H737,2))</f>
        <v/>
      </c>
      <c r="J737" s="50">
        <f>IF(G737="","",G737+N(I737))</f>
        <v/>
      </c>
      <c r="K737" s="45" t="n"/>
      <c r="L737" s="47" t="n"/>
      <c r="M737" s="48" t="n"/>
      <c r="N737" s="49" t="n"/>
      <c r="O737" s="50">
        <f>IF(M737="","",ROUND(M737*N737,2))</f>
        <v/>
      </c>
      <c r="P737" s="50">
        <f>IF(M737="","",M737+N(O737))</f>
        <v/>
      </c>
      <c r="Q737" s="45" t="n"/>
      <c r="R737" s="45" t="n"/>
      <c r="S737" s="51">
        <f>IF(L737="","",IF(COUNTIF(L$6:L737,L737)&gt;1,"",SUMIF(L$6:L$2000,L737,M$6:M$2000)-SUMIF(L$6:L$2000,L737,G$6:G$2000)))</f>
        <v/>
      </c>
      <c r="T737" s="46">
        <f>IF(AND(C737="",G737=""),"",IF(L737="","Nog factureren",IF(AND(G737&lt;&gt;"",OR(K737="",K737&gt;TODAY())),"Nog betalen",IF(OR(R737="",R737&gt;TODAY()),"Wacht op klant","Afgerond"))))</f>
        <v/>
      </c>
    </row>
    <row r="738">
      <c r="A738" s="45" t="n"/>
      <c r="B738" s="46">
        <f>IF(A738="","",YEAR(A738)&amp;" Q"&amp;ROUNDUP(MONTH(A738)/3,0))</f>
        <v/>
      </c>
      <c r="C738" s="47" t="n"/>
      <c r="D738" s="47" t="n"/>
      <c r="E738" s="47" t="n"/>
      <c r="F738" s="47" t="n"/>
      <c r="G738" s="48" t="n"/>
      <c r="H738" s="49" t="n"/>
      <c r="I738" s="50">
        <f>IF(G738="","",ROUND(G738*H738,2))</f>
        <v/>
      </c>
      <c r="J738" s="50">
        <f>IF(G738="","",G738+N(I738))</f>
        <v/>
      </c>
      <c r="K738" s="45" t="n"/>
      <c r="L738" s="47" t="n"/>
      <c r="M738" s="48" t="n"/>
      <c r="N738" s="49" t="n"/>
      <c r="O738" s="50">
        <f>IF(M738="","",ROUND(M738*N738,2))</f>
        <v/>
      </c>
      <c r="P738" s="50">
        <f>IF(M738="","",M738+N(O738))</f>
        <v/>
      </c>
      <c r="Q738" s="45" t="n"/>
      <c r="R738" s="45" t="n"/>
      <c r="S738" s="51">
        <f>IF(L738="","",IF(COUNTIF(L$6:L738,L738)&gt;1,"",SUMIF(L$6:L$2000,L738,M$6:M$2000)-SUMIF(L$6:L$2000,L738,G$6:G$2000)))</f>
        <v/>
      </c>
      <c r="T738" s="46">
        <f>IF(AND(C738="",G738=""),"",IF(L738="","Nog factureren",IF(AND(G738&lt;&gt;"",OR(K738="",K738&gt;TODAY())),"Nog betalen",IF(OR(R738="",R738&gt;TODAY()),"Wacht op klant","Afgerond"))))</f>
        <v/>
      </c>
    </row>
    <row r="739">
      <c r="A739" s="45" t="n"/>
      <c r="B739" s="46">
        <f>IF(A739="","",YEAR(A739)&amp;" Q"&amp;ROUNDUP(MONTH(A739)/3,0))</f>
        <v/>
      </c>
      <c r="C739" s="47" t="n"/>
      <c r="D739" s="47" t="n"/>
      <c r="E739" s="47" t="n"/>
      <c r="F739" s="47" t="n"/>
      <c r="G739" s="48" t="n"/>
      <c r="H739" s="49" t="n"/>
      <c r="I739" s="50">
        <f>IF(G739="","",ROUND(G739*H739,2))</f>
        <v/>
      </c>
      <c r="J739" s="50">
        <f>IF(G739="","",G739+N(I739))</f>
        <v/>
      </c>
      <c r="K739" s="45" t="n"/>
      <c r="L739" s="47" t="n"/>
      <c r="M739" s="48" t="n"/>
      <c r="N739" s="49" t="n"/>
      <c r="O739" s="50">
        <f>IF(M739="","",ROUND(M739*N739,2))</f>
        <v/>
      </c>
      <c r="P739" s="50">
        <f>IF(M739="","",M739+N(O739))</f>
        <v/>
      </c>
      <c r="Q739" s="45" t="n"/>
      <c r="R739" s="45" t="n"/>
      <c r="S739" s="51">
        <f>IF(L739="","",IF(COUNTIF(L$6:L739,L739)&gt;1,"",SUMIF(L$6:L$2000,L739,M$6:M$2000)-SUMIF(L$6:L$2000,L739,G$6:G$2000)))</f>
        <v/>
      </c>
      <c r="T739" s="46">
        <f>IF(AND(C739="",G739=""),"",IF(L739="","Nog factureren",IF(AND(G739&lt;&gt;"",OR(K739="",K739&gt;TODAY())),"Nog betalen",IF(OR(R739="",R739&gt;TODAY()),"Wacht op klant","Afgerond"))))</f>
        <v/>
      </c>
    </row>
    <row r="740">
      <c r="A740" s="45" t="n"/>
      <c r="B740" s="46">
        <f>IF(A740="","",YEAR(A740)&amp;" Q"&amp;ROUNDUP(MONTH(A740)/3,0))</f>
        <v/>
      </c>
      <c r="C740" s="47" t="n"/>
      <c r="D740" s="47" t="n"/>
      <c r="E740" s="47" t="n"/>
      <c r="F740" s="47" t="n"/>
      <c r="G740" s="48" t="n"/>
      <c r="H740" s="49" t="n"/>
      <c r="I740" s="50">
        <f>IF(G740="","",ROUND(G740*H740,2))</f>
        <v/>
      </c>
      <c r="J740" s="50">
        <f>IF(G740="","",G740+N(I740))</f>
        <v/>
      </c>
      <c r="K740" s="45" t="n"/>
      <c r="L740" s="47" t="n"/>
      <c r="M740" s="48" t="n"/>
      <c r="N740" s="49" t="n"/>
      <c r="O740" s="50">
        <f>IF(M740="","",ROUND(M740*N740,2))</f>
        <v/>
      </c>
      <c r="P740" s="50">
        <f>IF(M740="","",M740+N(O740))</f>
        <v/>
      </c>
      <c r="Q740" s="45" t="n"/>
      <c r="R740" s="45" t="n"/>
      <c r="S740" s="51">
        <f>IF(L740="","",IF(COUNTIF(L$6:L740,L740)&gt;1,"",SUMIF(L$6:L$2000,L740,M$6:M$2000)-SUMIF(L$6:L$2000,L740,G$6:G$2000)))</f>
        <v/>
      </c>
      <c r="T740" s="46">
        <f>IF(AND(C740="",G740=""),"",IF(L740="","Nog factureren",IF(AND(G740&lt;&gt;"",OR(K740="",K740&gt;TODAY())),"Nog betalen",IF(OR(R740="",R740&gt;TODAY()),"Wacht op klant","Afgerond"))))</f>
        <v/>
      </c>
    </row>
    <row r="741">
      <c r="A741" s="45" t="n"/>
      <c r="B741" s="46">
        <f>IF(A741="","",YEAR(A741)&amp;" Q"&amp;ROUNDUP(MONTH(A741)/3,0))</f>
        <v/>
      </c>
      <c r="C741" s="47" t="n"/>
      <c r="D741" s="47" t="n"/>
      <c r="E741" s="47" t="n"/>
      <c r="F741" s="47" t="n"/>
      <c r="G741" s="48" t="n"/>
      <c r="H741" s="49" t="n"/>
      <c r="I741" s="50">
        <f>IF(G741="","",ROUND(G741*H741,2))</f>
        <v/>
      </c>
      <c r="J741" s="50">
        <f>IF(G741="","",G741+N(I741))</f>
        <v/>
      </c>
      <c r="K741" s="45" t="n"/>
      <c r="L741" s="47" t="n"/>
      <c r="M741" s="48" t="n"/>
      <c r="N741" s="49" t="n"/>
      <c r="O741" s="50">
        <f>IF(M741="","",ROUND(M741*N741,2))</f>
        <v/>
      </c>
      <c r="P741" s="50">
        <f>IF(M741="","",M741+N(O741))</f>
        <v/>
      </c>
      <c r="Q741" s="45" t="n"/>
      <c r="R741" s="45" t="n"/>
      <c r="S741" s="51">
        <f>IF(L741="","",IF(COUNTIF(L$6:L741,L741)&gt;1,"",SUMIF(L$6:L$2000,L741,M$6:M$2000)-SUMIF(L$6:L$2000,L741,G$6:G$2000)))</f>
        <v/>
      </c>
      <c r="T741" s="46">
        <f>IF(AND(C741="",G741=""),"",IF(L741="","Nog factureren",IF(AND(G741&lt;&gt;"",OR(K741="",K741&gt;TODAY())),"Nog betalen",IF(OR(R741="",R741&gt;TODAY()),"Wacht op klant","Afgerond"))))</f>
        <v/>
      </c>
    </row>
    <row r="742">
      <c r="A742" s="45" t="n"/>
      <c r="B742" s="46">
        <f>IF(A742="","",YEAR(A742)&amp;" Q"&amp;ROUNDUP(MONTH(A742)/3,0))</f>
        <v/>
      </c>
      <c r="C742" s="47" t="n"/>
      <c r="D742" s="47" t="n"/>
      <c r="E742" s="47" t="n"/>
      <c r="F742" s="47" t="n"/>
      <c r="G742" s="48" t="n"/>
      <c r="H742" s="49" t="n"/>
      <c r="I742" s="50">
        <f>IF(G742="","",ROUND(G742*H742,2))</f>
        <v/>
      </c>
      <c r="J742" s="50">
        <f>IF(G742="","",G742+N(I742))</f>
        <v/>
      </c>
      <c r="K742" s="45" t="n"/>
      <c r="L742" s="47" t="n"/>
      <c r="M742" s="48" t="n"/>
      <c r="N742" s="49" t="n"/>
      <c r="O742" s="50">
        <f>IF(M742="","",ROUND(M742*N742,2))</f>
        <v/>
      </c>
      <c r="P742" s="50">
        <f>IF(M742="","",M742+N(O742))</f>
        <v/>
      </c>
      <c r="Q742" s="45" t="n"/>
      <c r="R742" s="45" t="n"/>
      <c r="S742" s="51">
        <f>IF(L742="","",IF(COUNTIF(L$6:L742,L742)&gt;1,"",SUMIF(L$6:L$2000,L742,M$6:M$2000)-SUMIF(L$6:L$2000,L742,G$6:G$2000)))</f>
        <v/>
      </c>
      <c r="T742" s="46">
        <f>IF(AND(C742="",G742=""),"",IF(L742="","Nog factureren",IF(AND(G742&lt;&gt;"",OR(K742="",K742&gt;TODAY())),"Nog betalen",IF(OR(R742="",R742&gt;TODAY()),"Wacht op klant","Afgerond"))))</f>
        <v/>
      </c>
    </row>
    <row r="743">
      <c r="A743" s="45" t="n"/>
      <c r="B743" s="46">
        <f>IF(A743="","",YEAR(A743)&amp;" Q"&amp;ROUNDUP(MONTH(A743)/3,0))</f>
        <v/>
      </c>
      <c r="C743" s="47" t="n"/>
      <c r="D743" s="47" t="n"/>
      <c r="E743" s="47" t="n"/>
      <c r="F743" s="47" t="n"/>
      <c r="G743" s="48" t="n"/>
      <c r="H743" s="49" t="n"/>
      <c r="I743" s="50">
        <f>IF(G743="","",ROUND(G743*H743,2))</f>
        <v/>
      </c>
      <c r="J743" s="50">
        <f>IF(G743="","",G743+N(I743))</f>
        <v/>
      </c>
      <c r="K743" s="45" t="n"/>
      <c r="L743" s="47" t="n"/>
      <c r="M743" s="48" t="n"/>
      <c r="N743" s="49" t="n"/>
      <c r="O743" s="50">
        <f>IF(M743="","",ROUND(M743*N743,2))</f>
        <v/>
      </c>
      <c r="P743" s="50">
        <f>IF(M743="","",M743+N(O743))</f>
        <v/>
      </c>
      <c r="Q743" s="45" t="n"/>
      <c r="R743" s="45" t="n"/>
      <c r="S743" s="51">
        <f>IF(L743="","",IF(COUNTIF(L$6:L743,L743)&gt;1,"",SUMIF(L$6:L$2000,L743,M$6:M$2000)-SUMIF(L$6:L$2000,L743,G$6:G$2000)))</f>
        <v/>
      </c>
      <c r="T743" s="46">
        <f>IF(AND(C743="",G743=""),"",IF(L743="","Nog factureren",IF(AND(G743&lt;&gt;"",OR(K743="",K743&gt;TODAY())),"Nog betalen",IF(OR(R743="",R743&gt;TODAY()),"Wacht op klant","Afgerond"))))</f>
        <v/>
      </c>
    </row>
    <row r="744">
      <c r="A744" s="45" t="n"/>
      <c r="B744" s="46">
        <f>IF(A744="","",YEAR(A744)&amp;" Q"&amp;ROUNDUP(MONTH(A744)/3,0))</f>
        <v/>
      </c>
      <c r="C744" s="47" t="n"/>
      <c r="D744" s="47" t="n"/>
      <c r="E744" s="47" t="n"/>
      <c r="F744" s="47" t="n"/>
      <c r="G744" s="48" t="n"/>
      <c r="H744" s="49" t="n"/>
      <c r="I744" s="50">
        <f>IF(G744="","",ROUND(G744*H744,2))</f>
        <v/>
      </c>
      <c r="J744" s="50">
        <f>IF(G744="","",G744+N(I744))</f>
        <v/>
      </c>
      <c r="K744" s="45" t="n"/>
      <c r="L744" s="47" t="n"/>
      <c r="M744" s="48" t="n"/>
      <c r="N744" s="49" t="n"/>
      <c r="O744" s="50">
        <f>IF(M744="","",ROUND(M744*N744,2))</f>
        <v/>
      </c>
      <c r="P744" s="50">
        <f>IF(M744="","",M744+N(O744))</f>
        <v/>
      </c>
      <c r="Q744" s="45" t="n"/>
      <c r="R744" s="45" t="n"/>
      <c r="S744" s="51">
        <f>IF(L744="","",IF(COUNTIF(L$6:L744,L744)&gt;1,"",SUMIF(L$6:L$2000,L744,M$6:M$2000)-SUMIF(L$6:L$2000,L744,G$6:G$2000)))</f>
        <v/>
      </c>
      <c r="T744" s="46">
        <f>IF(AND(C744="",G744=""),"",IF(L744="","Nog factureren",IF(AND(G744&lt;&gt;"",OR(K744="",K744&gt;TODAY())),"Nog betalen",IF(OR(R744="",R744&gt;TODAY()),"Wacht op klant","Afgerond"))))</f>
        <v/>
      </c>
    </row>
    <row r="745">
      <c r="A745" s="45" t="n"/>
      <c r="B745" s="46">
        <f>IF(A745="","",YEAR(A745)&amp;" Q"&amp;ROUNDUP(MONTH(A745)/3,0))</f>
        <v/>
      </c>
      <c r="C745" s="47" t="n"/>
      <c r="D745" s="47" t="n"/>
      <c r="E745" s="47" t="n"/>
      <c r="F745" s="47" t="n"/>
      <c r="G745" s="48" t="n"/>
      <c r="H745" s="49" t="n"/>
      <c r="I745" s="50">
        <f>IF(G745="","",ROUND(G745*H745,2))</f>
        <v/>
      </c>
      <c r="J745" s="50">
        <f>IF(G745="","",G745+N(I745))</f>
        <v/>
      </c>
      <c r="K745" s="45" t="n"/>
      <c r="L745" s="47" t="n"/>
      <c r="M745" s="48" t="n"/>
      <c r="N745" s="49" t="n"/>
      <c r="O745" s="50">
        <f>IF(M745="","",ROUND(M745*N745,2))</f>
        <v/>
      </c>
      <c r="P745" s="50">
        <f>IF(M745="","",M745+N(O745))</f>
        <v/>
      </c>
      <c r="Q745" s="45" t="n"/>
      <c r="R745" s="45" t="n"/>
      <c r="S745" s="51">
        <f>IF(L745="","",IF(COUNTIF(L$6:L745,L745)&gt;1,"",SUMIF(L$6:L$2000,L745,M$6:M$2000)-SUMIF(L$6:L$2000,L745,G$6:G$2000)))</f>
        <v/>
      </c>
      <c r="T745" s="46">
        <f>IF(AND(C745="",G745=""),"",IF(L745="","Nog factureren",IF(AND(G745&lt;&gt;"",OR(K745="",K745&gt;TODAY())),"Nog betalen",IF(OR(R745="",R745&gt;TODAY()),"Wacht op klant","Afgerond"))))</f>
        <v/>
      </c>
    </row>
    <row r="746">
      <c r="A746" s="45" t="n"/>
      <c r="B746" s="46">
        <f>IF(A746="","",YEAR(A746)&amp;" Q"&amp;ROUNDUP(MONTH(A746)/3,0))</f>
        <v/>
      </c>
      <c r="C746" s="47" t="n"/>
      <c r="D746" s="47" t="n"/>
      <c r="E746" s="47" t="n"/>
      <c r="F746" s="47" t="n"/>
      <c r="G746" s="48" t="n"/>
      <c r="H746" s="49" t="n"/>
      <c r="I746" s="50">
        <f>IF(G746="","",ROUND(G746*H746,2))</f>
        <v/>
      </c>
      <c r="J746" s="50">
        <f>IF(G746="","",G746+N(I746))</f>
        <v/>
      </c>
      <c r="K746" s="45" t="n"/>
      <c r="L746" s="47" t="n"/>
      <c r="M746" s="48" t="n"/>
      <c r="N746" s="49" t="n"/>
      <c r="O746" s="50">
        <f>IF(M746="","",ROUND(M746*N746,2))</f>
        <v/>
      </c>
      <c r="P746" s="50">
        <f>IF(M746="","",M746+N(O746))</f>
        <v/>
      </c>
      <c r="Q746" s="45" t="n"/>
      <c r="R746" s="45" t="n"/>
      <c r="S746" s="51">
        <f>IF(L746="","",IF(COUNTIF(L$6:L746,L746)&gt;1,"",SUMIF(L$6:L$2000,L746,M$6:M$2000)-SUMIF(L$6:L$2000,L746,G$6:G$2000)))</f>
        <v/>
      </c>
      <c r="T746" s="46">
        <f>IF(AND(C746="",G746=""),"",IF(L746="","Nog factureren",IF(AND(G746&lt;&gt;"",OR(K746="",K746&gt;TODAY())),"Nog betalen",IF(OR(R746="",R746&gt;TODAY()),"Wacht op klant","Afgerond"))))</f>
        <v/>
      </c>
    </row>
    <row r="747">
      <c r="A747" s="45" t="n"/>
      <c r="B747" s="46">
        <f>IF(A747="","",YEAR(A747)&amp;" Q"&amp;ROUNDUP(MONTH(A747)/3,0))</f>
        <v/>
      </c>
      <c r="C747" s="47" t="n"/>
      <c r="D747" s="47" t="n"/>
      <c r="E747" s="47" t="n"/>
      <c r="F747" s="47" t="n"/>
      <c r="G747" s="48" t="n"/>
      <c r="H747" s="49" t="n"/>
      <c r="I747" s="50">
        <f>IF(G747="","",ROUND(G747*H747,2))</f>
        <v/>
      </c>
      <c r="J747" s="50">
        <f>IF(G747="","",G747+N(I747))</f>
        <v/>
      </c>
      <c r="K747" s="45" t="n"/>
      <c r="L747" s="47" t="n"/>
      <c r="M747" s="48" t="n"/>
      <c r="N747" s="49" t="n"/>
      <c r="O747" s="50">
        <f>IF(M747="","",ROUND(M747*N747,2))</f>
        <v/>
      </c>
      <c r="P747" s="50">
        <f>IF(M747="","",M747+N(O747))</f>
        <v/>
      </c>
      <c r="Q747" s="45" t="n"/>
      <c r="R747" s="45" t="n"/>
      <c r="S747" s="51">
        <f>IF(L747="","",IF(COUNTIF(L$6:L747,L747)&gt;1,"",SUMIF(L$6:L$2000,L747,M$6:M$2000)-SUMIF(L$6:L$2000,L747,G$6:G$2000)))</f>
        <v/>
      </c>
      <c r="T747" s="46">
        <f>IF(AND(C747="",G747=""),"",IF(L747="","Nog factureren",IF(AND(G747&lt;&gt;"",OR(K747="",K747&gt;TODAY())),"Nog betalen",IF(OR(R747="",R747&gt;TODAY()),"Wacht op klant","Afgerond"))))</f>
        <v/>
      </c>
    </row>
    <row r="748">
      <c r="A748" s="45" t="n"/>
      <c r="B748" s="46">
        <f>IF(A748="","",YEAR(A748)&amp;" Q"&amp;ROUNDUP(MONTH(A748)/3,0))</f>
        <v/>
      </c>
      <c r="C748" s="47" t="n"/>
      <c r="D748" s="47" t="n"/>
      <c r="E748" s="47" t="n"/>
      <c r="F748" s="47" t="n"/>
      <c r="G748" s="48" t="n"/>
      <c r="H748" s="49" t="n"/>
      <c r="I748" s="50">
        <f>IF(G748="","",ROUND(G748*H748,2))</f>
        <v/>
      </c>
      <c r="J748" s="50">
        <f>IF(G748="","",G748+N(I748))</f>
        <v/>
      </c>
      <c r="K748" s="45" t="n"/>
      <c r="L748" s="47" t="n"/>
      <c r="M748" s="48" t="n"/>
      <c r="N748" s="49" t="n"/>
      <c r="O748" s="50">
        <f>IF(M748="","",ROUND(M748*N748,2))</f>
        <v/>
      </c>
      <c r="P748" s="50">
        <f>IF(M748="","",M748+N(O748))</f>
        <v/>
      </c>
      <c r="Q748" s="45" t="n"/>
      <c r="R748" s="45" t="n"/>
      <c r="S748" s="51">
        <f>IF(L748="","",IF(COUNTIF(L$6:L748,L748)&gt;1,"",SUMIF(L$6:L$2000,L748,M$6:M$2000)-SUMIF(L$6:L$2000,L748,G$6:G$2000)))</f>
        <v/>
      </c>
      <c r="T748" s="46">
        <f>IF(AND(C748="",G748=""),"",IF(L748="","Nog factureren",IF(AND(G748&lt;&gt;"",OR(K748="",K748&gt;TODAY())),"Nog betalen",IF(OR(R748="",R748&gt;TODAY()),"Wacht op klant","Afgerond"))))</f>
        <v/>
      </c>
    </row>
    <row r="749">
      <c r="A749" s="45" t="n"/>
      <c r="B749" s="46">
        <f>IF(A749="","",YEAR(A749)&amp;" Q"&amp;ROUNDUP(MONTH(A749)/3,0))</f>
        <v/>
      </c>
      <c r="C749" s="47" t="n"/>
      <c r="D749" s="47" t="n"/>
      <c r="E749" s="47" t="n"/>
      <c r="F749" s="47" t="n"/>
      <c r="G749" s="48" t="n"/>
      <c r="H749" s="49" t="n"/>
      <c r="I749" s="50">
        <f>IF(G749="","",ROUND(G749*H749,2))</f>
        <v/>
      </c>
      <c r="J749" s="50">
        <f>IF(G749="","",G749+N(I749))</f>
        <v/>
      </c>
      <c r="K749" s="45" t="n"/>
      <c r="L749" s="47" t="n"/>
      <c r="M749" s="48" t="n"/>
      <c r="N749" s="49" t="n"/>
      <c r="O749" s="50">
        <f>IF(M749="","",ROUND(M749*N749,2))</f>
        <v/>
      </c>
      <c r="P749" s="50">
        <f>IF(M749="","",M749+N(O749))</f>
        <v/>
      </c>
      <c r="Q749" s="45" t="n"/>
      <c r="R749" s="45" t="n"/>
      <c r="S749" s="51">
        <f>IF(L749="","",IF(COUNTIF(L$6:L749,L749)&gt;1,"",SUMIF(L$6:L$2000,L749,M$6:M$2000)-SUMIF(L$6:L$2000,L749,G$6:G$2000)))</f>
        <v/>
      </c>
      <c r="T749" s="46">
        <f>IF(AND(C749="",G749=""),"",IF(L749="","Nog factureren",IF(AND(G749&lt;&gt;"",OR(K749="",K749&gt;TODAY())),"Nog betalen",IF(OR(R749="",R749&gt;TODAY()),"Wacht op klant","Afgerond"))))</f>
        <v/>
      </c>
    </row>
    <row r="750">
      <c r="A750" s="45" t="n"/>
      <c r="B750" s="46">
        <f>IF(A750="","",YEAR(A750)&amp;" Q"&amp;ROUNDUP(MONTH(A750)/3,0))</f>
        <v/>
      </c>
      <c r="C750" s="47" t="n"/>
      <c r="D750" s="47" t="n"/>
      <c r="E750" s="47" t="n"/>
      <c r="F750" s="47" t="n"/>
      <c r="G750" s="48" t="n"/>
      <c r="H750" s="49" t="n"/>
      <c r="I750" s="50">
        <f>IF(G750="","",ROUND(G750*H750,2))</f>
        <v/>
      </c>
      <c r="J750" s="50">
        <f>IF(G750="","",G750+N(I750))</f>
        <v/>
      </c>
      <c r="K750" s="45" t="n"/>
      <c r="L750" s="47" t="n"/>
      <c r="M750" s="48" t="n"/>
      <c r="N750" s="49" t="n"/>
      <c r="O750" s="50">
        <f>IF(M750="","",ROUND(M750*N750,2))</f>
        <v/>
      </c>
      <c r="P750" s="50">
        <f>IF(M750="","",M750+N(O750))</f>
        <v/>
      </c>
      <c r="Q750" s="45" t="n"/>
      <c r="R750" s="45" t="n"/>
      <c r="S750" s="51">
        <f>IF(L750="","",IF(COUNTIF(L$6:L750,L750)&gt;1,"",SUMIF(L$6:L$2000,L750,M$6:M$2000)-SUMIF(L$6:L$2000,L750,G$6:G$2000)))</f>
        <v/>
      </c>
      <c r="T750" s="46">
        <f>IF(AND(C750="",G750=""),"",IF(L750="","Nog factureren",IF(AND(G750&lt;&gt;"",OR(K750="",K750&gt;TODAY())),"Nog betalen",IF(OR(R750="",R750&gt;TODAY()),"Wacht op klant","Afgerond"))))</f>
        <v/>
      </c>
    </row>
    <row r="751">
      <c r="A751" s="45" t="n"/>
      <c r="B751" s="46">
        <f>IF(A751="","",YEAR(A751)&amp;" Q"&amp;ROUNDUP(MONTH(A751)/3,0))</f>
        <v/>
      </c>
      <c r="C751" s="47" t="n"/>
      <c r="D751" s="47" t="n"/>
      <c r="E751" s="47" t="n"/>
      <c r="F751" s="47" t="n"/>
      <c r="G751" s="48" t="n"/>
      <c r="H751" s="49" t="n"/>
      <c r="I751" s="50">
        <f>IF(G751="","",ROUND(G751*H751,2))</f>
        <v/>
      </c>
      <c r="J751" s="50">
        <f>IF(G751="","",G751+N(I751))</f>
        <v/>
      </c>
      <c r="K751" s="45" t="n"/>
      <c r="L751" s="47" t="n"/>
      <c r="M751" s="48" t="n"/>
      <c r="N751" s="49" t="n"/>
      <c r="O751" s="50">
        <f>IF(M751="","",ROUND(M751*N751,2))</f>
        <v/>
      </c>
      <c r="P751" s="50">
        <f>IF(M751="","",M751+N(O751))</f>
        <v/>
      </c>
      <c r="Q751" s="45" t="n"/>
      <c r="R751" s="45" t="n"/>
      <c r="S751" s="51">
        <f>IF(L751="","",IF(COUNTIF(L$6:L751,L751)&gt;1,"",SUMIF(L$6:L$2000,L751,M$6:M$2000)-SUMIF(L$6:L$2000,L751,G$6:G$2000)))</f>
        <v/>
      </c>
      <c r="T751" s="46">
        <f>IF(AND(C751="",G751=""),"",IF(L751="","Nog factureren",IF(AND(G751&lt;&gt;"",OR(K751="",K751&gt;TODAY())),"Nog betalen",IF(OR(R751="",R751&gt;TODAY()),"Wacht op klant","Afgerond"))))</f>
        <v/>
      </c>
    </row>
    <row r="752">
      <c r="A752" s="45" t="n"/>
      <c r="B752" s="46">
        <f>IF(A752="","",YEAR(A752)&amp;" Q"&amp;ROUNDUP(MONTH(A752)/3,0))</f>
        <v/>
      </c>
      <c r="C752" s="47" t="n"/>
      <c r="D752" s="47" t="n"/>
      <c r="E752" s="47" t="n"/>
      <c r="F752" s="47" t="n"/>
      <c r="G752" s="48" t="n"/>
      <c r="H752" s="49" t="n"/>
      <c r="I752" s="50">
        <f>IF(G752="","",ROUND(G752*H752,2))</f>
        <v/>
      </c>
      <c r="J752" s="50">
        <f>IF(G752="","",G752+N(I752))</f>
        <v/>
      </c>
      <c r="K752" s="45" t="n"/>
      <c r="L752" s="47" t="n"/>
      <c r="M752" s="48" t="n"/>
      <c r="N752" s="49" t="n"/>
      <c r="O752" s="50">
        <f>IF(M752="","",ROUND(M752*N752,2))</f>
        <v/>
      </c>
      <c r="P752" s="50">
        <f>IF(M752="","",M752+N(O752))</f>
        <v/>
      </c>
      <c r="Q752" s="45" t="n"/>
      <c r="R752" s="45" t="n"/>
      <c r="S752" s="51">
        <f>IF(L752="","",IF(COUNTIF(L$6:L752,L752)&gt;1,"",SUMIF(L$6:L$2000,L752,M$6:M$2000)-SUMIF(L$6:L$2000,L752,G$6:G$2000)))</f>
        <v/>
      </c>
      <c r="T752" s="46">
        <f>IF(AND(C752="",G752=""),"",IF(L752="","Nog factureren",IF(AND(G752&lt;&gt;"",OR(K752="",K752&gt;TODAY())),"Nog betalen",IF(OR(R752="",R752&gt;TODAY()),"Wacht op klant","Afgerond"))))</f>
        <v/>
      </c>
    </row>
    <row r="753">
      <c r="A753" s="45" t="n"/>
      <c r="B753" s="46">
        <f>IF(A753="","",YEAR(A753)&amp;" Q"&amp;ROUNDUP(MONTH(A753)/3,0))</f>
        <v/>
      </c>
      <c r="C753" s="47" t="n"/>
      <c r="D753" s="47" t="n"/>
      <c r="E753" s="47" t="n"/>
      <c r="F753" s="47" t="n"/>
      <c r="G753" s="48" t="n"/>
      <c r="H753" s="49" t="n"/>
      <c r="I753" s="50">
        <f>IF(G753="","",ROUND(G753*H753,2))</f>
        <v/>
      </c>
      <c r="J753" s="50">
        <f>IF(G753="","",G753+N(I753))</f>
        <v/>
      </c>
      <c r="K753" s="45" t="n"/>
      <c r="L753" s="47" t="n"/>
      <c r="M753" s="48" t="n"/>
      <c r="N753" s="49" t="n"/>
      <c r="O753" s="50">
        <f>IF(M753="","",ROUND(M753*N753,2))</f>
        <v/>
      </c>
      <c r="P753" s="50">
        <f>IF(M753="","",M753+N(O753))</f>
        <v/>
      </c>
      <c r="Q753" s="45" t="n"/>
      <c r="R753" s="45" t="n"/>
      <c r="S753" s="51">
        <f>IF(L753="","",IF(COUNTIF(L$6:L753,L753)&gt;1,"",SUMIF(L$6:L$2000,L753,M$6:M$2000)-SUMIF(L$6:L$2000,L753,G$6:G$2000)))</f>
        <v/>
      </c>
      <c r="T753" s="46">
        <f>IF(AND(C753="",G753=""),"",IF(L753="","Nog factureren",IF(AND(G753&lt;&gt;"",OR(K753="",K753&gt;TODAY())),"Nog betalen",IF(OR(R753="",R753&gt;TODAY()),"Wacht op klant","Afgerond"))))</f>
        <v/>
      </c>
    </row>
    <row r="754">
      <c r="A754" s="45" t="n"/>
      <c r="B754" s="46">
        <f>IF(A754="","",YEAR(A754)&amp;" Q"&amp;ROUNDUP(MONTH(A754)/3,0))</f>
        <v/>
      </c>
      <c r="C754" s="47" t="n"/>
      <c r="D754" s="47" t="n"/>
      <c r="E754" s="47" t="n"/>
      <c r="F754" s="47" t="n"/>
      <c r="G754" s="48" t="n"/>
      <c r="H754" s="49" t="n"/>
      <c r="I754" s="50">
        <f>IF(G754="","",ROUND(G754*H754,2))</f>
        <v/>
      </c>
      <c r="J754" s="50">
        <f>IF(G754="","",G754+N(I754))</f>
        <v/>
      </c>
      <c r="K754" s="45" t="n"/>
      <c r="L754" s="47" t="n"/>
      <c r="M754" s="48" t="n"/>
      <c r="N754" s="49" t="n"/>
      <c r="O754" s="50">
        <f>IF(M754="","",ROUND(M754*N754,2))</f>
        <v/>
      </c>
      <c r="P754" s="50">
        <f>IF(M754="","",M754+N(O754))</f>
        <v/>
      </c>
      <c r="Q754" s="45" t="n"/>
      <c r="R754" s="45" t="n"/>
      <c r="S754" s="51">
        <f>IF(L754="","",IF(COUNTIF(L$6:L754,L754)&gt;1,"",SUMIF(L$6:L$2000,L754,M$6:M$2000)-SUMIF(L$6:L$2000,L754,G$6:G$2000)))</f>
        <v/>
      </c>
      <c r="T754" s="46">
        <f>IF(AND(C754="",G754=""),"",IF(L754="","Nog factureren",IF(AND(G754&lt;&gt;"",OR(K754="",K754&gt;TODAY())),"Nog betalen",IF(OR(R754="",R754&gt;TODAY()),"Wacht op klant","Afgerond"))))</f>
        <v/>
      </c>
    </row>
    <row r="755">
      <c r="A755" s="45" t="n"/>
      <c r="B755" s="46">
        <f>IF(A755="","",YEAR(A755)&amp;" Q"&amp;ROUNDUP(MONTH(A755)/3,0))</f>
        <v/>
      </c>
      <c r="C755" s="47" t="n"/>
      <c r="D755" s="47" t="n"/>
      <c r="E755" s="47" t="n"/>
      <c r="F755" s="47" t="n"/>
      <c r="G755" s="48" t="n"/>
      <c r="H755" s="49" t="n"/>
      <c r="I755" s="50">
        <f>IF(G755="","",ROUND(G755*H755,2))</f>
        <v/>
      </c>
      <c r="J755" s="50">
        <f>IF(G755="","",G755+N(I755))</f>
        <v/>
      </c>
      <c r="K755" s="45" t="n"/>
      <c r="L755" s="47" t="n"/>
      <c r="M755" s="48" t="n"/>
      <c r="N755" s="49" t="n"/>
      <c r="O755" s="50">
        <f>IF(M755="","",ROUND(M755*N755,2))</f>
        <v/>
      </c>
      <c r="P755" s="50">
        <f>IF(M755="","",M755+N(O755))</f>
        <v/>
      </c>
      <c r="Q755" s="45" t="n"/>
      <c r="R755" s="45" t="n"/>
      <c r="S755" s="51">
        <f>IF(L755="","",IF(COUNTIF(L$6:L755,L755)&gt;1,"",SUMIF(L$6:L$2000,L755,M$6:M$2000)-SUMIF(L$6:L$2000,L755,G$6:G$2000)))</f>
        <v/>
      </c>
      <c r="T755" s="46">
        <f>IF(AND(C755="",G755=""),"",IF(L755="","Nog factureren",IF(AND(G755&lt;&gt;"",OR(K755="",K755&gt;TODAY())),"Nog betalen",IF(OR(R755="",R755&gt;TODAY()),"Wacht op klant","Afgerond"))))</f>
        <v/>
      </c>
    </row>
    <row r="756">
      <c r="A756" s="45" t="n"/>
      <c r="B756" s="46">
        <f>IF(A756="","",YEAR(A756)&amp;" Q"&amp;ROUNDUP(MONTH(A756)/3,0))</f>
        <v/>
      </c>
      <c r="C756" s="47" t="n"/>
      <c r="D756" s="47" t="n"/>
      <c r="E756" s="47" t="n"/>
      <c r="F756" s="47" t="n"/>
      <c r="G756" s="48" t="n"/>
      <c r="H756" s="49" t="n"/>
      <c r="I756" s="50">
        <f>IF(G756="","",ROUND(G756*H756,2))</f>
        <v/>
      </c>
      <c r="J756" s="50">
        <f>IF(G756="","",G756+N(I756))</f>
        <v/>
      </c>
      <c r="K756" s="45" t="n"/>
      <c r="L756" s="47" t="n"/>
      <c r="M756" s="48" t="n"/>
      <c r="N756" s="49" t="n"/>
      <c r="O756" s="50">
        <f>IF(M756="","",ROUND(M756*N756,2))</f>
        <v/>
      </c>
      <c r="P756" s="50">
        <f>IF(M756="","",M756+N(O756))</f>
        <v/>
      </c>
      <c r="Q756" s="45" t="n"/>
      <c r="R756" s="45" t="n"/>
      <c r="S756" s="51">
        <f>IF(L756="","",IF(COUNTIF(L$6:L756,L756)&gt;1,"",SUMIF(L$6:L$2000,L756,M$6:M$2000)-SUMIF(L$6:L$2000,L756,G$6:G$2000)))</f>
        <v/>
      </c>
      <c r="T756" s="46">
        <f>IF(AND(C756="",G756=""),"",IF(L756="","Nog factureren",IF(AND(G756&lt;&gt;"",OR(K756="",K756&gt;TODAY())),"Nog betalen",IF(OR(R756="",R756&gt;TODAY()),"Wacht op klant","Afgerond"))))</f>
        <v/>
      </c>
    </row>
    <row r="757">
      <c r="A757" s="45" t="n"/>
      <c r="B757" s="46">
        <f>IF(A757="","",YEAR(A757)&amp;" Q"&amp;ROUNDUP(MONTH(A757)/3,0))</f>
        <v/>
      </c>
      <c r="C757" s="47" t="n"/>
      <c r="D757" s="47" t="n"/>
      <c r="E757" s="47" t="n"/>
      <c r="F757" s="47" t="n"/>
      <c r="G757" s="48" t="n"/>
      <c r="H757" s="49" t="n"/>
      <c r="I757" s="50">
        <f>IF(G757="","",ROUND(G757*H757,2))</f>
        <v/>
      </c>
      <c r="J757" s="50">
        <f>IF(G757="","",G757+N(I757))</f>
        <v/>
      </c>
      <c r="K757" s="45" t="n"/>
      <c r="L757" s="47" t="n"/>
      <c r="M757" s="48" t="n"/>
      <c r="N757" s="49" t="n"/>
      <c r="O757" s="50">
        <f>IF(M757="","",ROUND(M757*N757,2))</f>
        <v/>
      </c>
      <c r="P757" s="50">
        <f>IF(M757="","",M757+N(O757))</f>
        <v/>
      </c>
      <c r="Q757" s="45" t="n"/>
      <c r="R757" s="45" t="n"/>
      <c r="S757" s="51">
        <f>IF(L757="","",IF(COUNTIF(L$6:L757,L757)&gt;1,"",SUMIF(L$6:L$2000,L757,M$6:M$2000)-SUMIF(L$6:L$2000,L757,G$6:G$2000)))</f>
        <v/>
      </c>
      <c r="T757" s="46">
        <f>IF(AND(C757="",G757=""),"",IF(L757="","Nog factureren",IF(AND(G757&lt;&gt;"",OR(K757="",K757&gt;TODAY())),"Nog betalen",IF(OR(R757="",R757&gt;TODAY()),"Wacht op klant","Afgerond"))))</f>
        <v/>
      </c>
    </row>
    <row r="758">
      <c r="A758" s="45" t="n"/>
      <c r="B758" s="46">
        <f>IF(A758="","",YEAR(A758)&amp;" Q"&amp;ROUNDUP(MONTH(A758)/3,0))</f>
        <v/>
      </c>
      <c r="C758" s="47" t="n"/>
      <c r="D758" s="47" t="n"/>
      <c r="E758" s="47" t="n"/>
      <c r="F758" s="47" t="n"/>
      <c r="G758" s="48" t="n"/>
      <c r="H758" s="49" t="n"/>
      <c r="I758" s="50">
        <f>IF(G758="","",ROUND(G758*H758,2))</f>
        <v/>
      </c>
      <c r="J758" s="50">
        <f>IF(G758="","",G758+N(I758))</f>
        <v/>
      </c>
      <c r="K758" s="45" t="n"/>
      <c r="L758" s="47" t="n"/>
      <c r="M758" s="48" t="n"/>
      <c r="N758" s="49" t="n"/>
      <c r="O758" s="50">
        <f>IF(M758="","",ROUND(M758*N758,2))</f>
        <v/>
      </c>
      <c r="P758" s="50">
        <f>IF(M758="","",M758+N(O758))</f>
        <v/>
      </c>
      <c r="Q758" s="45" t="n"/>
      <c r="R758" s="45" t="n"/>
      <c r="S758" s="51">
        <f>IF(L758="","",IF(COUNTIF(L$6:L758,L758)&gt;1,"",SUMIF(L$6:L$2000,L758,M$6:M$2000)-SUMIF(L$6:L$2000,L758,G$6:G$2000)))</f>
        <v/>
      </c>
      <c r="T758" s="46">
        <f>IF(AND(C758="",G758=""),"",IF(L758="","Nog factureren",IF(AND(G758&lt;&gt;"",OR(K758="",K758&gt;TODAY())),"Nog betalen",IF(OR(R758="",R758&gt;TODAY()),"Wacht op klant","Afgerond"))))</f>
        <v/>
      </c>
    </row>
    <row r="759">
      <c r="A759" s="45" t="n"/>
      <c r="B759" s="46">
        <f>IF(A759="","",YEAR(A759)&amp;" Q"&amp;ROUNDUP(MONTH(A759)/3,0))</f>
        <v/>
      </c>
      <c r="C759" s="47" t="n"/>
      <c r="D759" s="47" t="n"/>
      <c r="E759" s="47" t="n"/>
      <c r="F759" s="47" t="n"/>
      <c r="G759" s="48" t="n"/>
      <c r="H759" s="49" t="n"/>
      <c r="I759" s="50">
        <f>IF(G759="","",ROUND(G759*H759,2))</f>
        <v/>
      </c>
      <c r="J759" s="50">
        <f>IF(G759="","",G759+N(I759))</f>
        <v/>
      </c>
      <c r="K759" s="45" t="n"/>
      <c r="L759" s="47" t="n"/>
      <c r="M759" s="48" t="n"/>
      <c r="N759" s="49" t="n"/>
      <c r="O759" s="50">
        <f>IF(M759="","",ROUND(M759*N759,2))</f>
        <v/>
      </c>
      <c r="P759" s="50">
        <f>IF(M759="","",M759+N(O759))</f>
        <v/>
      </c>
      <c r="Q759" s="45" t="n"/>
      <c r="R759" s="45" t="n"/>
      <c r="S759" s="51">
        <f>IF(L759="","",IF(COUNTIF(L$6:L759,L759)&gt;1,"",SUMIF(L$6:L$2000,L759,M$6:M$2000)-SUMIF(L$6:L$2000,L759,G$6:G$2000)))</f>
        <v/>
      </c>
      <c r="T759" s="46">
        <f>IF(AND(C759="",G759=""),"",IF(L759="","Nog factureren",IF(AND(G759&lt;&gt;"",OR(K759="",K759&gt;TODAY())),"Nog betalen",IF(OR(R759="",R759&gt;TODAY()),"Wacht op klant","Afgerond"))))</f>
        <v/>
      </c>
    </row>
    <row r="760">
      <c r="A760" s="45" t="n"/>
      <c r="B760" s="46">
        <f>IF(A760="","",YEAR(A760)&amp;" Q"&amp;ROUNDUP(MONTH(A760)/3,0))</f>
        <v/>
      </c>
      <c r="C760" s="47" t="n"/>
      <c r="D760" s="47" t="n"/>
      <c r="E760" s="47" t="n"/>
      <c r="F760" s="47" t="n"/>
      <c r="G760" s="48" t="n"/>
      <c r="H760" s="49" t="n"/>
      <c r="I760" s="50">
        <f>IF(G760="","",ROUND(G760*H760,2))</f>
        <v/>
      </c>
      <c r="J760" s="50">
        <f>IF(G760="","",G760+N(I760))</f>
        <v/>
      </c>
      <c r="K760" s="45" t="n"/>
      <c r="L760" s="47" t="n"/>
      <c r="M760" s="48" t="n"/>
      <c r="N760" s="49" t="n"/>
      <c r="O760" s="50">
        <f>IF(M760="","",ROUND(M760*N760,2))</f>
        <v/>
      </c>
      <c r="P760" s="50">
        <f>IF(M760="","",M760+N(O760))</f>
        <v/>
      </c>
      <c r="Q760" s="45" t="n"/>
      <c r="R760" s="45" t="n"/>
      <c r="S760" s="51">
        <f>IF(L760="","",IF(COUNTIF(L$6:L760,L760)&gt;1,"",SUMIF(L$6:L$2000,L760,M$6:M$2000)-SUMIF(L$6:L$2000,L760,G$6:G$2000)))</f>
        <v/>
      </c>
      <c r="T760" s="46">
        <f>IF(AND(C760="",G760=""),"",IF(L760="","Nog factureren",IF(AND(G760&lt;&gt;"",OR(K760="",K760&gt;TODAY())),"Nog betalen",IF(OR(R760="",R760&gt;TODAY()),"Wacht op klant","Afgerond"))))</f>
        <v/>
      </c>
    </row>
    <row r="761">
      <c r="A761" s="45" t="n"/>
      <c r="B761" s="46">
        <f>IF(A761="","",YEAR(A761)&amp;" Q"&amp;ROUNDUP(MONTH(A761)/3,0))</f>
        <v/>
      </c>
      <c r="C761" s="47" t="n"/>
      <c r="D761" s="47" t="n"/>
      <c r="E761" s="47" t="n"/>
      <c r="F761" s="47" t="n"/>
      <c r="G761" s="48" t="n"/>
      <c r="H761" s="49" t="n"/>
      <c r="I761" s="50">
        <f>IF(G761="","",ROUND(G761*H761,2))</f>
        <v/>
      </c>
      <c r="J761" s="50">
        <f>IF(G761="","",G761+N(I761))</f>
        <v/>
      </c>
      <c r="K761" s="45" t="n"/>
      <c r="L761" s="47" t="n"/>
      <c r="M761" s="48" t="n"/>
      <c r="N761" s="49" t="n"/>
      <c r="O761" s="50">
        <f>IF(M761="","",ROUND(M761*N761,2))</f>
        <v/>
      </c>
      <c r="P761" s="50">
        <f>IF(M761="","",M761+N(O761))</f>
        <v/>
      </c>
      <c r="Q761" s="45" t="n"/>
      <c r="R761" s="45" t="n"/>
      <c r="S761" s="51">
        <f>IF(L761="","",IF(COUNTIF(L$6:L761,L761)&gt;1,"",SUMIF(L$6:L$2000,L761,M$6:M$2000)-SUMIF(L$6:L$2000,L761,G$6:G$2000)))</f>
        <v/>
      </c>
      <c r="T761" s="46">
        <f>IF(AND(C761="",G761=""),"",IF(L761="","Nog factureren",IF(AND(G761&lt;&gt;"",OR(K761="",K761&gt;TODAY())),"Nog betalen",IF(OR(R761="",R761&gt;TODAY()),"Wacht op klant","Afgerond"))))</f>
        <v/>
      </c>
    </row>
    <row r="762">
      <c r="A762" s="45" t="n"/>
      <c r="B762" s="46">
        <f>IF(A762="","",YEAR(A762)&amp;" Q"&amp;ROUNDUP(MONTH(A762)/3,0))</f>
        <v/>
      </c>
      <c r="C762" s="47" t="n"/>
      <c r="D762" s="47" t="n"/>
      <c r="E762" s="47" t="n"/>
      <c r="F762" s="47" t="n"/>
      <c r="G762" s="48" t="n"/>
      <c r="H762" s="49" t="n"/>
      <c r="I762" s="50">
        <f>IF(G762="","",ROUND(G762*H762,2))</f>
        <v/>
      </c>
      <c r="J762" s="50">
        <f>IF(G762="","",G762+N(I762))</f>
        <v/>
      </c>
      <c r="K762" s="45" t="n"/>
      <c r="L762" s="47" t="n"/>
      <c r="M762" s="48" t="n"/>
      <c r="N762" s="49" t="n"/>
      <c r="O762" s="50">
        <f>IF(M762="","",ROUND(M762*N762,2))</f>
        <v/>
      </c>
      <c r="P762" s="50">
        <f>IF(M762="","",M762+N(O762))</f>
        <v/>
      </c>
      <c r="Q762" s="45" t="n"/>
      <c r="R762" s="45" t="n"/>
      <c r="S762" s="51">
        <f>IF(L762="","",IF(COUNTIF(L$6:L762,L762)&gt;1,"",SUMIF(L$6:L$2000,L762,M$6:M$2000)-SUMIF(L$6:L$2000,L762,G$6:G$2000)))</f>
        <v/>
      </c>
      <c r="T762" s="46">
        <f>IF(AND(C762="",G762=""),"",IF(L762="","Nog factureren",IF(AND(G762&lt;&gt;"",OR(K762="",K762&gt;TODAY())),"Nog betalen",IF(OR(R762="",R762&gt;TODAY()),"Wacht op klant","Afgerond"))))</f>
        <v/>
      </c>
    </row>
    <row r="763">
      <c r="A763" s="45" t="n"/>
      <c r="B763" s="46">
        <f>IF(A763="","",YEAR(A763)&amp;" Q"&amp;ROUNDUP(MONTH(A763)/3,0))</f>
        <v/>
      </c>
      <c r="C763" s="47" t="n"/>
      <c r="D763" s="47" t="n"/>
      <c r="E763" s="47" t="n"/>
      <c r="F763" s="47" t="n"/>
      <c r="G763" s="48" t="n"/>
      <c r="H763" s="49" t="n"/>
      <c r="I763" s="50">
        <f>IF(G763="","",ROUND(G763*H763,2))</f>
        <v/>
      </c>
      <c r="J763" s="50">
        <f>IF(G763="","",G763+N(I763))</f>
        <v/>
      </c>
      <c r="K763" s="45" t="n"/>
      <c r="L763" s="47" t="n"/>
      <c r="M763" s="48" t="n"/>
      <c r="N763" s="49" t="n"/>
      <c r="O763" s="50">
        <f>IF(M763="","",ROUND(M763*N763,2))</f>
        <v/>
      </c>
      <c r="P763" s="50">
        <f>IF(M763="","",M763+N(O763))</f>
        <v/>
      </c>
      <c r="Q763" s="45" t="n"/>
      <c r="R763" s="45" t="n"/>
      <c r="S763" s="51">
        <f>IF(L763="","",IF(COUNTIF(L$6:L763,L763)&gt;1,"",SUMIF(L$6:L$2000,L763,M$6:M$2000)-SUMIF(L$6:L$2000,L763,G$6:G$2000)))</f>
        <v/>
      </c>
      <c r="T763" s="46">
        <f>IF(AND(C763="",G763=""),"",IF(L763="","Nog factureren",IF(AND(G763&lt;&gt;"",OR(K763="",K763&gt;TODAY())),"Nog betalen",IF(OR(R763="",R763&gt;TODAY()),"Wacht op klant","Afgerond"))))</f>
        <v/>
      </c>
    </row>
    <row r="764">
      <c r="A764" s="45" t="n"/>
      <c r="B764" s="46">
        <f>IF(A764="","",YEAR(A764)&amp;" Q"&amp;ROUNDUP(MONTH(A764)/3,0))</f>
        <v/>
      </c>
      <c r="C764" s="47" t="n"/>
      <c r="D764" s="47" t="n"/>
      <c r="E764" s="47" t="n"/>
      <c r="F764" s="47" t="n"/>
      <c r="G764" s="48" t="n"/>
      <c r="H764" s="49" t="n"/>
      <c r="I764" s="50">
        <f>IF(G764="","",ROUND(G764*H764,2))</f>
        <v/>
      </c>
      <c r="J764" s="50">
        <f>IF(G764="","",G764+N(I764))</f>
        <v/>
      </c>
      <c r="K764" s="45" t="n"/>
      <c r="L764" s="47" t="n"/>
      <c r="M764" s="48" t="n"/>
      <c r="N764" s="49" t="n"/>
      <c r="O764" s="50">
        <f>IF(M764="","",ROUND(M764*N764,2))</f>
        <v/>
      </c>
      <c r="P764" s="50">
        <f>IF(M764="","",M764+N(O764))</f>
        <v/>
      </c>
      <c r="Q764" s="45" t="n"/>
      <c r="R764" s="45" t="n"/>
      <c r="S764" s="51">
        <f>IF(L764="","",IF(COUNTIF(L$6:L764,L764)&gt;1,"",SUMIF(L$6:L$2000,L764,M$6:M$2000)-SUMIF(L$6:L$2000,L764,G$6:G$2000)))</f>
        <v/>
      </c>
      <c r="T764" s="46">
        <f>IF(AND(C764="",G764=""),"",IF(L764="","Nog factureren",IF(AND(G764&lt;&gt;"",OR(K764="",K764&gt;TODAY())),"Nog betalen",IF(OR(R764="",R764&gt;TODAY()),"Wacht op klant","Afgerond"))))</f>
        <v/>
      </c>
    </row>
    <row r="765">
      <c r="A765" s="45" t="n"/>
      <c r="B765" s="46">
        <f>IF(A765="","",YEAR(A765)&amp;" Q"&amp;ROUNDUP(MONTH(A765)/3,0))</f>
        <v/>
      </c>
      <c r="C765" s="47" t="n"/>
      <c r="D765" s="47" t="n"/>
      <c r="E765" s="47" t="n"/>
      <c r="F765" s="47" t="n"/>
      <c r="G765" s="48" t="n"/>
      <c r="H765" s="49" t="n"/>
      <c r="I765" s="50">
        <f>IF(G765="","",ROUND(G765*H765,2))</f>
        <v/>
      </c>
      <c r="J765" s="50">
        <f>IF(G765="","",G765+N(I765))</f>
        <v/>
      </c>
      <c r="K765" s="45" t="n"/>
      <c r="L765" s="47" t="n"/>
      <c r="M765" s="48" t="n"/>
      <c r="N765" s="49" t="n"/>
      <c r="O765" s="50">
        <f>IF(M765="","",ROUND(M765*N765,2))</f>
        <v/>
      </c>
      <c r="P765" s="50">
        <f>IF(M765="","",M765+N(O765))</f>
        <v/>
      </c>
      <c r="Q765" s="45" t="n"/>
      <c r="R765" s="45" t="n"/>
      <c r="S765" s="51">
        <f>IF(L765="","",IF(COUNTIF(L$6:L765,L765)&gt;1,"",SUMIF(L$6:L$2000,L765,M$6:M$2000)-SUMIF(L$6:L$2000,L765,G$6:G$2000)))</f>
        <v/>
      </c>
      <c r="T765" s="46">
        <f>IF(AND(C765="",G765=""),"",IF(L765="","Nog factureren",IF(AND(G765&lt;&gt;"",OR(K765="",K765&gt;TODAY())),"Nog betalen",IF(OR(R765="",R765&gt;TODAY()),"Wacht op klant","Afgerond"))))</f>
        <v/>
      </c>
    </row>
    <row r="766">
      <c r="A766" s="45" t="n"/>
      <c r="B766" s="46">
        <f>IF(A766="","",YEAR(A766)&amp;" Q"&amp;ROUNDUP(MONTH(A766)/3,0))</f>
        <v/>
      </c>
      <c r="C766" s="47" t="n"/>
      <c r="D766" s="47" t="n"/>
      <c r="E766" s="47" t="n"/>
      <c r="F766" s="47" t="n"/>
      <c r="G766" s="48" t="n"/>
      <c r="H766" s="49" t="n"/>
      <c r="I766" s="50">
        <f>IF(G766="","",ROUND(G766*H766,2))</f>
        <v/>
      </c>
      <c r="J766" s="50">
        <f>IF(G766="","",G766+N(I766))</f>
        <v/>
      </c>
      <c r="K766" s="45" t="n"/>
      <c r="L766" s="47" t="n"/>
      <c r="M766" s="48" t="n"/>
      <c r="N766" s="49" t="n"/>
      <c r="O766" s="50">
        <f>IF(M766="","",ROUND(M766*N766,2))</f>
        <v/>
      </c>
      <c r="P766" s="50">
        <f>IF(M766="","",M766+N(O766))</f>
        <v/>
      </c>
      <c r="Q766" s="45" t="n"/>
      <c r="R766" s="45" t="n"/>
      <c r="S766" s="51">
        <f>IF(L766="","",IF(COUNTIF(L$6:L766,L766)&gt;1,"",SUMIF(L$6:L$2000,L766,M$6:M$2000)-SUMIF(L$6:L$2000,L766,G$6:G$2000)))</f>
        <v/>
      </c>
      <c r="T766" s="46">
        <f>IF(AND(C766="",G766=""),"",IF(L766="","Nog factureren",IF(AND(G766&lt;&gt;"",OR(K766="",K766&gt;TODAY())),"Nog betalen",IF(OR(R766="",R766&gt;TODAY()),"Wacht op klant","Afgerond"))))</f>
        <v/>
      </c>
    </row>
    <row r="767">
      <c r="A767" s="45" t="n"/>
      <c r="B767" s="46">
        <f>IF(A767="","",YEAR(A767)&amp;" Q"&amp;ROUNDUP(MONTH(A767)/3,0))</f>
        <v/>
      </c>
      <c r="C767" s="47" t="n"/>
      <c r="D767" s="47" t="n"/>
      <c r="E767" s="47" t="n"/>
      <c r="F767" s="47" t="n"/>
      <c r="G767" s="48" t="n"/>
      <c r="H767" s="49" t="n"/>
      <c r="I767" s="50">
        <f>IF(G767="","",ROUND(G767*H767,2))</f>
        <v/>
      </c>
      <c r="J767" s="50">
        <f>IF(G767="","",G767+N(I767))</f>
        <v/>
      </c>
      <c r="K767" s="45" t="n"/>
      <c r="L767" s="47" t="n"/>
      <c r="M767" s="48" t="n"/>
      <c r="N767" s="49" t="n"/>
      <c r="O767" s="50">
        <f>IF(M767="","",ROUND(M767*N767,2))</f>
        <v/>
      </c>
      <c r="P767" s="50">
        <f>IF(M767="","",M767+N(O767))</f>
        <v/>
      </c>
      <c r="Q767" s="45" t="n"/>
      <c r="R767" s="45" t="n"/>
      <c r="S767" s="51">
        <f>IF(L767="","",IF(COUNTIF(L$6:L767,L767)&gt;1,"",SUMIF(L$6:L$2000,L767,M$6:M$2000)-SUMIF(L$6:L$2000,L767,G$6:G$2000)))</f>
        <v/>
      </c>
      <c r="T767" s="46">
        <f>IF(AND(C767="",G767=""),"",IF(L767="","Nog factureren",IF(AND(G767&lt;&gt;"",OR(K767="",K767&gt;TODAY())),"Nog betalen",IF(OR(R767="",R767&gt;TODAY()),"Wacht op klant","Afgerond"))))</f>
        <v/>
      </c>
    </row>
    <row r="768">
      <c r="A768" s="45" t="n"/>
      <c r="B768" s="46">
        <f>IF(A768="","",YEAR(A768)&amp;" Q"&amp;ROUNDUP(MONTH(A768)/3,0))</f>
        <v/>
      </c>
      <c r="C768" s="47" t="n"/>
      <c r="D768" s="47" t="n"/>
      <c r="E768" s="47" t="n"/>
      <c r="F768" s="47" t="n"/>
      <c r="G768" s="48" t="n"/>
      <c r="H768" s="49" t="n"/>
      <c r="I768" s="50">
        <f>IF(G768="","",ROUND(G768*H768,2))</f>
        <v/>
      </c>
      <c r="J768" s="50">
        <f>IF(G768="","",G768+N(I768))</f>
        <v/>
      </c>
      <c r="K768" s="45" t="n"/>
      <c r="L768" s="47" t="n"/>
      <c r="M768" s="48" t="n"/>
      <c r="N768" s="49" t="n"/>
      <c r="O768" s="50">
        <f>IF(M768="","",ROUND(M768*N768,2))</f>
        <v/>
      </c>
      <c r="P768" s="50">
        <f>IF(M768="","",M768+N(O768))</f>
        <v/>
      </c>
      <c r="Q768" s="45" t="n"/>
      <c r="R768" s="45" t="n"/>
      <c r="S768" s="51">
        <f>IF(L768="","",IF(COUNTIF(L$6:L768,L768)&gt;1,"",SUMIF(L$6:L$2000,L768,M$6:M$2000)-SUMIF(L$6:L$2000,L768,G$6:G$2000)))</f>
        <v/>
      </c>
      <c r="T768" s="46">
        <f>IF(AND(C768="",G768=""),"",IF(L768="","Nog factureren",IF(AND(G768&lt;&gt;"",OR(K768="",K768&gt;TODAY())),"Nog betalen",IF(OR(R768="",R768&gt;TODAY()),"Wacht op klant","Afgerond"))))</f>
        <v/>
      </c>
    </row>
    <row r="769">
      <c r="A769" s="45" t="n"/>
      <c r="B769" s="46">
        <f>IF(A769="","",YEAR(A769)&amp;" Q"&amp;ROUNDUP(MONTH(A769)/3,0))</f>
        <v/>
      </c>
      <c r="C769" s="47" t="n"/>
      <c r="D769" s="47" t="n"/>
      <c r="E769" s="47" t="n"/>
      <c r="F769" s="47" t="n"/>
      <c r="G769" s="48" t="n"/>
      <c r="H769" s="49" t="n"/>
      <c r="I769" s="50">
        <f>IF(G769="","",ROUND(G769*H769,2))</f>
        <v/>
      </c>
      <c r="J769" s="50">
        <f>IF(G769="","",G769+N(I769))</f>
        <v/>
      </c>
      <c r="K769" s="45" t="n"/>
      <c r="L769" s="47" t="n"/>
      <c r="M769" s="48" t="n"/>
      <c r="N769" s="49" t="n"/>
      <c r="O769" s="50">
        <f>IF(M769="","",ROUND(M769*N769,2))</f>
        <v/>
      </c>
      <c r="P769" s="50">
        <f>IF(M769="","",M769+N(O769))</f>
        <v/>
      </c>
      <c r="Q769" s="45" t="n"/>
      <c r="R769" s="45" t="n"/>
      <c r="S769" s="51">
        <f>IF(L769="","",IF(COUNTIF(L$6:L769,L769)&gt;1,"",SUMIF(L$6:L$2000,L769,M$6:M$2000)-SUMIF(L$6:L$2000,L769,G$6:G$2000)))</f>
        <v/>
      </c>
      <c r="T769" s="46">
        <f>IF(AND(C769="",G769=""),"",IF(L769="","Nog factureren",IF(AND(G769&lt;&gt;"",OR(K769="",K769&gt;TODAY())),"Nog betalen",IF(OR(R769="",R769&gt;TODAY()),"Wacht op klant","Afgerond"))))</f>
        <v/>
      </c>
    </row>
    <row r="770">
      <c r="A770" s="45" t="n"/>
      <c r="B770" s="46">
        <f>IF(A770="","",YEAR(A770)&amp;" Q"&amp;ROUNDUP(MONTH(A770)/3,0))</f>
        <v/>
      </c>
      <c r="C770" s="47" t="n"/>
      <c r="D770" s="47" t="n"/>
      <c r="E770" s="47" t="n"/>
      <c r="F770" s="47" t="n"/>
      <c r="G770" s="48" t="n"/>
      <c r="H770" s="49" t="n"/>
      <c r="I770" s="50">
        <f>IF(G770="","",ROUND(G770*H770,2))</f>
        <v/>
      </c>
      <c r="J770" s="50">
        <f>IF(G770="","",G770+N(I770))</f>
        <v/>
      </c>
      <c r="K770" s="45" t="n"/>
      <c r="L770" s="47" t="n"/>
      <c r="M770" s="48" t="n"/>
      <c r="N770" s="49" t="n"/>
      <c r="O770" s="50">
        <f>IF(M770="","",ROUND(M770*N770,2))</f>
        <v/>
      </c>
      <c r="P770" s="50">
        <f>IF(M770="","",M770+N(O770))</f>
        <v/>
      </c>
      <c r="Q770" s="45" t="n"/>
      <c r="R770" s="45" t="n"/>
      <c r="S770" s="51">
        <f>IF(L770="","",IF(COUNTIF(L$6:L770,L770)&gt;1,"",SUMIF(L$6:L$2000,L770,M$6:M$2000)-SUMIF(L$6:L$2000,L770,G$6:G$2000)))</f>
        <v/>
      </c>
      <c r="T770" s="46">
        <f>IF(AND(C770="",G770=""),"",IF(L770="","Nog factureren",IF(AND(G770&lt;&gt;"",OR(K770="",K770&gt;TODAY())),"Nog betalen",IF(OR(R770="",R770&gt;TODAY()),"Wacht op klant","Afgerond"))))</f>
        <v/>
      </c>
    </row>
    <row r="771">
      <c r="A771" s="45" t="n"/>
      <c r="B771" s="46">
        <f>IF(A771="","",YEAR(A771)&amp;" Q"&amp;ROUNDUP(MONTH(A771)/3,0))</f>
        <v/>
      </c>
      <c r="C771" s="47" t="n"/>
      <c r="D771" s="47" t="n"/>
      <c r="E771" s="47" t="n"/>
      <c r="F771" s="47" t="n"/>
      <c r="G771" s="48" t="n"/>
      <c r="H771" s="49" t="n"/>
      <c r="I771" s="50">
        <f>IF(G771="","",ROUND(G771*H771,2))</f>
        <v/>
      </c>
      <c r="J771" s="50">
        <f>IF(G771="","",G771+N(I771))</f>
        <v/>
      </c>
      <c r="K771" s="45" t="n"/>
      <c r="L771" s="47" t="n"/>
      <c r="M771" s="48" t="n"/>
      <c r="N771" s="49" t="n"/>
      <c r="O771" s="50">
        <f>IF(M771="","",ROUND(M771*N771,2))</f>
        <v/>
      </c>
      <c r="P771" s="50">
        <f>IF(M771="","",M771+N(O771))</f>
        <v/>
      </c>
      <c r="Q771" s="45" t="n"/>
      <c r="R771" s="45" t="n"/>
      <c r="S771" s="51">
        <f>IF(L771="","",IF(COUNTIF(L$6:L771,L771)&gt;1,"",SUMIF(L$6:L$2000,L771,M$6:M$2000)-SUMIF(L$6:L$2000,L771,G$6:G$2000)))</f>
        <v/>
      </c>
      <c r="T771" s="46">
        <f>IF(AND(C771="",G771=""),"",IF(L771="","Nog factureren",IF(AND(G771&lt;&gt;"",OR(K771="",K771&gt;TODAY())),"Nog betalen",IF(OR(R771="",R771&gt;TODAY()),"Wacht op klant","Afgerond"))))</f>
        <v/>
      </c>
    </row>
    <row r="772">
      <c r="A772" s="45" t="n"/>
      <c r="B772" s="46">
        <f>IF(A772="","",YEAR(A772)&amp;" Q"&amp;ROUNDUP(MONTH(A772)/3,0))</f>
        <v/>
      </c>
      <c r="C772" s="47" t="n"/>
      <c r="D772" s="47" t="n"/>
      <c r="E772" s="47" t="n"/>
      <c r="F772" s="47" t="n"/>
      <c r="G772" s="48" t="n"/>
      <c r="H772" s="49" t="n"/>
      <c r="I772" s="50">
        <f>IF(G772="","",ROUND(G772*H772,2))</f>
        <v/>
      </c>
      <c r="J772" s="50">
        <f>IF(G772="","",G772+N(I772))</f>
        <v/>
      </c>
      <c r="K772" s="45" t="n"/>
      <c r="L772" s="47" t="n"/>
      <c r="M772" s="48" t="n"/>
      <c r="N772" s="49" t="n"/>
      <c r="O772" s="50">
        <f>IF(M772="","",ROUND(M772*N772,2))</f>
        <v/>
      </c>
      <c r="P772" s="50">
        <f>IF(M772="","",M772+N(O772))</f>
        <v/>
      </c>
      <c r="Q772" s="45" t="n"/>
      <c r="R772" s="45" t="n"/>
      <c r="S772" s="51">
        <f>IF(L772="","",IF(COUNTIF(L$6:L772,L772)&gt;1,"",SUMIF(L$6:L$2000,L772,M$6:M$2000)-SUMIF(L$6:L$2000,L772,G$6:G$2000)))</f>
        <v/>
      </c>
      <c r="T772" s="46">
        <f>IF(AND(C772="",G772=""),"",IF(L772="","Nog factureren",IF(AND(G772&lt;&gt;"",OR(K772="",K772&gt;TODAY())),"Nog betalen",IF(OR(R772="",R772&gt;TODAY()),"Wacht op klant","Afgerond"))))</f>
        <v/>
      </c>
    </row>
    <row r="773">
      <c r="A773" s="45" t="n"/>
      <c r="B773" s="46">
        <f>IF(A773="","",YEAR(A773)&amp;" Q"&amp;ROUNDUP(MONTH(A773)/3,0))</f>
        <v/>
      </c>
      <c r="C773" s="47" t="n"/>
      <c r="D773" s="47" t="n"/>
      <c r="E773" s="47" t="n"/>
      <c r="F773" s="47" t="n"/>
      <c r="G773" s="48" t="n"/>
      <c r="H773" s="49" t="n"/>
      <c r="I773" s="50">
        <f>IF(G773="","",ROUND(G773*H773,2))</f>
        <v/>
      </c>
      <c r="J773" s="50">
        <f>IF(G773="","",G773+N(I773))</f>
        <v/>
      </c>
      <c r="K773" s="45" t="n"/>
      <c r="L773" s="47" t="n"/>
      <c r="M773" s="48" t="n"/>
      <c r="N773" s="49" t="n"/>
      <c r="O773" s="50">
        <f>IF(M773="","",ROUND(M773*N773,2))</f>
        <v/>
      </c>
      <c r="P773" s="50">
        <f>IF(M773="","",M773+N(O773))</f>
        <v/>
      </c>
      <c r="Q773" s="45" t="n"/>
      <c r="R773" s="45" t="n"/>
      <c r="S773" s="51">
        <f>IF(L773="","",IF(COUNTIF(L$6:L773,L773)&gt;1,"",SUMIF(L$6:L$2000,L773,M$6:M$2000)-SUMIF(L$6:L$2000,L773,G$6:G$2000)))</f>
        <v/>
      </c>
      <c r="T773" s="46">
        <f>IF(AND(C773="",G773=""),"",IF(L773="","Nog factureren",IF(AND(G773&lt;&gt;"",OR(K773="",K773&gt;TODAY())),"Nog betalen",IF(OR(R773="",R773&gt;TODAY()),"Wacht op klant","Afgerond"))))</f>
        <v/>
      </c>
    </row>
    <row r="774">
      <c r="A774" s="45" t="n"/>
      <c r="B774" s="46">
        <f>IF(A774="","",YEAR(A774)&amp;" Q"&amp;ROUNDUP(MONTH(A774)/3,0))</f>
        <v/>
      </c>
      <c r="C774" s="47" t="n"/>
      <c r="D774" s="47" t="n"/>
      <c r="E774" s="47" t="n"/>
      <c r="F774" s="47" t="n"/>
      <c r="G774" s="48" t="n"/>
      <c r="H774" s="49" t="n"/>
      <c r="I774" s="50">
        <f>IF(G774="","",ROUND(G774*H774,2))</f>
        <v/>
      </c>
      <c r="J774" s="50">
        <f>IF(G774="","",G774+N(I774))</f>
        <v/>
      </c>
      <c r="K774" s="45" t="n"/>
      <c r="L774" s="47" t="n"/>
      <c r="M774" s="48" t="n"/>
      <c r="N774" s="49" t="n"/>
      <c r="O774" s="50">
        <f>IF(M774="","",ROUND(M774*N774,2))</f>
        <v/>
      </c>
      <c r="P774" s="50">
        <f>IF(M774="","",M774+N(O774))</f>
        <v/>
      </c>
      <c r="Q774" s="45" t="n"/>
      <c r="R774" s="45" t="n"/>
      <c r="S774" s="51">
        <f>IF(L774="","",IF(COUNTIF(L$6:L774,L774)&gt;1,"",SUMIF(L$6:L$2000,L774,M$6:M$2000)-SUMIF(L$6:L$2000,L774,G$6:G$2000)))</f>
        <v/>
      </c>
      <c r="T774" s="46">
        <f>IF(AND(C774="",G774=""),"",IF(L774="","Nog factureren",IF(AND(G774&lt;&gt;"",OR(K774="",K774&gt;TODAY())),"Nog betalen",IF(OR(R774="",R774&gt;TODAY()),"Wacht op klant","Afgerond"))))</f>
        <v/>
      </c>
    </row>
    <row r="775">
      <c r="A775" s="45" t="n"/>
      <c r="B775" s="46">
        <f>IF(A775="","",YEAR(A775)&amp;" Q"&amp;ROUNDUP(MONTH(A775)/3,0))</f>
        <v/>
      </c>
      <c r="C775" s="47" t="n"/>
      <c r="D775" s="47" t="n"/>
      <c r="E775" s="47" t="n"/>
      <c r="F775" s="47" t="n"/>
      <c r="G775" s="48" t="n"/>
      <c r="H775" s="49" t="n"/>
      <c r="I775" s="50">
        <f>IF(G775="","",ROUND(G775*H775,2))</f>
        <v/>
      </c>
      <c r="J775" s="50">
        <f>IF(G775="","",G775+N(I775))</f>
        <v/>
      </c>
      <c r="K775" s="45" t="n"/>
      <c r="L775" s="47" t="n"/>
      <c r="M775" s="48" t="n"/>
      <c r="N775" s="49" t="n"/>
      <c r="O775" s="50">
        <f>IF(M775="","",ROUND(M775*N775,2))</f>
        <v/>
      </c>
      <c r="P775" s="50">
        <f>IF(M775="","",M775+N(O775))</f>
        <v/>
      </c>
      <c r="Q775" s="45" t="n"/>
      <c r="R775" s="45" t="n"/>
      <c r="S775" s="51">
        <f>IF(L775="","",IF(COUNTIF(L$6:L775,L775)&gt;1,"",SUMIF(L$6:L$2000,L775,M$6:M$2000)-SUMIF(L$6:L$2000,L775,G$6:G$2000)))</f>
        <v/>
      </c>
      <c r="T775" s="46">
        <f>IF(AND(C775="",G775=""),"",IF(L775="","Nog factureren",IF(AND(G775&lt;&gt;"",OR(K775="",K775&gt;TODAY())),"Nog betalen",IF(OR(R775="",R775&gt;TODAY()),"Wacht op klant","Afgerond"))))</f>
        <v/>
      </c>
    </row>
    <row r="776">
      <c r="A776" s="45" t="n"/>
      <c r="B776" s="46">
        <f>IF(A776="","",YEAR(A776)&amp;" Q"&amp;ROUNDUP(MONTH(A776)/3,0))</f>
        <v/>
      </c>
      <c r="C776" s="47" t="n"/>
      <c r="D776" s="47" t="n"/>
      <c r="E776" s="47" t="n"/>
      <c r="F776" s="47" t="n"/>
      <c r="G776" s="48" t="n"/>
      <c r="H776" s="49" t="n"/>
      <c r="I776" s="50">
        <f>IF(G776="","",ROUND(G776*H776,2))</f>
        <v/>
      </c>
      <c r="J776" s="50">
        <f>IF(G776="","",G776+N(I776))</f>
        <v/>
      </c>
      <c r="K776" s="45" t="n"/>
      <c r="L776" s="47" t="n"/>
      <c r="M776" s="48" t="n"/>
      <c r="N776" s="49" t="n"/>
      <c r="O776" s="50">
        <f>IF(M776="","",ROUND(M776*N776,2))</f>
        <v/>
      </c>
      <c r="P776" s="50">
        <f>IF(M776="","",M776+N(O776))</f>
        <v/>
      </c>
      <c r="Q776" s="45" t="n"/>
      <c r="R776" s="45" t="n"/>
      <c r="S776" s="51">
        <f>IF(L776="","",IF(COUNTIF(L$6:L776,L776)&gt;1,"",SUMIF(L$6:L$2000,L776,M$6:M$2000)-SUMIF(L$6:L$2000,L776,G$6:G$2000)))</f>
        <v/>
      </c>
      <c r="T776" s="46">
        <f>IF(AND(C776="",G776=""),"",IF(L776="","Nog factureren",IF(AND(G776&lt;&gt;"",OR(K776="",K776&gt;TODAY())),"Nog betalen",IF(OR(R776="",R776&gt;TODAY()),"Wacht op klant","Afgerond"))))</f>
        <v/>
      </c>
    </row>
    <row r="777">
      <c r="A777" s="45" t="n"/>
      <c r="B777" s="46">
        <f>IF(A777="","",YEAR(A777)&amp;" Q"&amp;ROUNDUP(MONTH(A777)/3,0))</f>
        <v/>
      </c>
      <c r="C777" s="47" t="n"/>
      <c r="D777" s="47" t="n"/>
      <c r="E777" s="47" t="n"/>
      <c r="F777" s="47" t="n"/>
      <c r="G777" s="48" t="n"/>
      <c r="H777" s="49" t="n"/>
      <c r="I777" s="50">
        <f>IF(G777="","",ROUND(G777*H777,2))</f>
        <v/>
      </c>
      <c r="J777" s="50">
        <f>IF(G777="","",G777+N(I777))</f>
        <v/>
      </c>
      <c r="K777" s="45" t="n"/>
      <c r="L777" s="47" t="n"/>
      <c r="M777" s="48" t="n"/>
      <c r="N777" s="49" t="n"/>
      <c r="O777" s="50">
        <f>IF(M777="","",ROUND(M777*N777,2))</f>
        <v/>
      </c>
      <c r="P777" s="50">
        <f>IF(M777="","",M777+N(O777))</f>
        <v/>
      </c>
      <c r="Q777" s="45" t="n"/>
      <c r="R777" s="45" t="n"/>
      <c r="S777" s="51">
        <f>IF(L777="","",IF(COUNTIF(L$6:L777,L777)&gt;1,"",SUMIF(L$6:L$2000,L777,M$6:M$2000)-SUMIF(L$6:L$2000,L777,G$6:G$2000)))</f>
        <v/>
      </c>
      <c r="T777" s="46">
        <f>IF(AND(C777="",G777=""),"",IF(L777="","Nog factureren",IF(AND(G777&lt;&gt;"",OR(K777="",K777&gt;TODAY())),"Nog betalen",IF(OR(R777="",R777&gt;TODAY()),"Wacht op klant","Afgerond"))))</f>
        <v/>
      </c>
    </row>
    <row r="778">
      <c r="A778" s="45" t="n"/>
      <c r="B778" s="46">
        <f>IF(A778="","",YEAR(A778)&amp;" Q"&amp;ROUNDUP(MONTH(A778)/3,0))</f>
        <v/>
      </c>
      <c r="C778" s="47" t="n"/>
      <c r="D778" s="47" t="n"/>
      <c r="E778" s="47" t="n"/>
      <c r="F778" s="47" t="n"/>
      <c r="G778" s="48" t="n"/>
      <c r="H778" s="49" t="n"/>
      <c r="I778" s="50">
        <f>IF(G778="","",ROUND(G778*H778,2))</f>
        <v/>
      </c>
      <c r="J778" s="50">
        <f>IF(G778="","",G778+N(I778))</f>
        <v/>
      </c>
      <c r="K778" s="45" t="n"/>
      <c r="L778" s="47" t="n"/>
      <c r="M778" s="48" t="n"/>
      <c r="N778" s="49" t="n"/>
      <c r="O778" s="50">
        <f>IF(M778="","",ROUND(M778*N778,2))</f>
        <v/>
      </c>
      <c r="P778" s="50">
        <f>IF(M778="","",M778+N(O778))</f>
        <v/>
      </c>
      <c r="Q778" s="45" t="n"/>
      <c r="R778" s="45" t="n"/>
      <c r="S778" s="51">
        <f>IF(L778="","",IF(COUNTIF(L$6:L778,L778)&gt;1,"",SUMIF(L$6:L$2000,L778,M$6:M$2000)-SUMIF(L$6:L$2000,L778,G$6:G$2000)))</f>
        <v/>
      </c>
      <c r="T778" s="46">
        <f>IF(AND(C778="",G778=""),"",IF(L778="","Nog factureren",IF(AND(G778&lt;&gt;"",OR(K778="",K778&gt;TODAY())),"Nog betalen",IF(OR(R778="",R778&gt;TODAY()),"Wacht op klant","Afgerond"))))</f>
        <v/>
      </c>
    </row>
    <row r="779">
      <c r="A779" s="45" t="n"/>
      <c r="B779" s="46">
        <f>IF(A779="","",YEAR(A779)&amp;" Q"&amp;ROUNDUP(MONTH(A779)/3,0))</f>
        <v/>
      </c>
      <c r="C779" s="47" t="n"/>
      <c r="D779" s="47" t="n"/>
      <c r="E779" s="47" t="n"/>
      <c r="F779" s="47" t="n"/>
      <c r="G779" s="48" t="n"/>
      <c r="H779" s="49" t="n"/>
      <c r="I779" s="50">
        <f>IF(G779="","",ROUND(G779*H779,2))</f>
        <v/>
      </c>
      <c r="J779" s="50">
        <f>IF(G779="","",G779+N(I779))</f>
        <v/>
      </c>
      <c r="K779" s="45" t="n"/>
      <c r="L779" s="47" t="n"/>
      <c r="M779" s="48" t="n"/>
      <c r="N779" s="49" t="n"/>
      <c r="O779" s="50">
        <f>IF(M779="","",ROUND(M779*N779,2))</f>
        <v/>
      </c>
      <c r="P779" s="50">
        <f>IF(M779="","",M779+N(O779))</f>
        <v/>
      </c>
      <c r="Q779" s="45" t="n"/>
      <c r="R779" s="45" t="n"/>
      <c r="S779" s="51">
        <f>IF(L779="","",IF(COUNTIF(L$6:L779,L779)&gt;1,"",SUMIF(L$6:L$2000,L779,M$6:M$2000)-SUMIF(L$6:L$2000,L779,G$6:G$2000)))</f>
        <v/>
      </c>
      <c r="T779" s="46">
        <f>IF(AND(C779="",G779=""),"",IF(L779="","Nog factureren",IF(AND(G779&lt;&gt;"",OR(K779="",K779&gt;TODAY())),"Nog betalen",IF(OR(R779="",R779&gt;TODAY()),"Wacht op klant","Afgerond"))))</f>
        <v/>
      </c>
    </row>
    <row r="780">
      <c r="A780" s="45" t="n"/>
      <c r="B780" s="46">
        <f>IF(A780="","",YEAR(A780)&amp;" Q"&amp;ROUNDUP(MONTH(A780)/3,0))</f>
        <v/>
      </c>
      <c r="C780" s="47" t="n"/>
      <c r="D780" s="47" t="n"/>
      <c r="E780" s="47" t="n"/>
      <c r="F780" s="47" t="n"/>
      <c r="G780" s="48" t="n"/>
      <c r="H780" s="49" t="n"/>
      <c r="I780" s="50">
        <f>IF(G780="","",ROUND(G780*H780,2))</f>
        <v/>
      </c>
      <c r="J780" s="50">
        <f>IF(G780="","",G780+N(I780))</f>
        <v/>
      </c>
      <c r="K780" s="45" t="n"/>
      <c r="L780" s="47" t="n"/>
      <c r="M780" s="48" t="n"/>
      <c r="N780" s="49" t="n"/>
      <c r="O780" s="50">
        <f>IF(M780="","",ROUND(M780*N780,2))</f>
        <v/>
      </c>
      <c r="P780" s="50">
        <f>IF(M780="","",M780+N(O780))</f>
        <v/>
      </c>
      <c r="Q780" s="45" t="n"/>
      <c r="R780" s="45" t="n"/>
      <c r="S780" s="51">
        <f>IF(L780="","",IF(COUNTIF(L$6:L780,L780)&gt;1,"",SUMIF(L$6:L$2000,L780,M$6:M$2000)-SUMIF(L$6:L$2000,L780,G$6:G$2000)))</f>
        <v/>
      </c>
      <c r="T780" s="46">
        <f>IF(AND(C780="",G780=""),"",IF(L780="","Nog factureren",IF(AND(G780&lt;&gt;"",OR(K780="",K780&gt;TODAY())),"Nog betalen",IF(OR(R780="",R780&gt;TODAY()),"Wacht op klant","Afgerond"))))</f>
        <v/>
      </c>
    </row>
    <row r="781">
      <c r="A781" s="45" t="n"/>
      <c r="B781" s="46">
        <f>IF(A781="","",YEAR(A781)&amp;" Q"&amp;ROUNDUP(MONTH(A781)/3,0))</f>
        <v/>
      </c>
      <c r="C781" s="47" t="n"/>
      <c r="D781" s="47" t="n"/>
      <c r="E781" s="47" t="n"/>
      <c r="F781" s="47" t="n"/>
      <c r="G781" s="48" t="n"/>
      <c r="H781" s="49" t="n"/>
      <c r="I781" s="50">
        <f>IF(G781="","",ROUND(G781*H781,2))</f>
        <v/>
      </c>
      <c r="J781" s="50">
        <f>IF(G781="","",G781+N(I781))</f>
        <v/>
      </c>
      <c r="K781" s="45" t="n"/>
      <c r="L781" s="47" t="n"/>
      <c r="M781" s="48" t="n"/>
      <c r="N781" s="49" t="n"/>
      <c r="O781" s="50">
        <f>IF(M781="","",ROUND(M781*N781,2))</f>
        <v/>
      </c>
      <c r="P781" s="50">
        <f>IF(M781="","",M781+N(O781))</f>
        <v/>
      </c>
      <c r="Q781" s="45" t="n"/>
      <c r="R781" s="45" t="n"/>
      <c r="S781" s="51">
        <f>IF(L781="","",IF(COUNTIF(L$6:L781,L781)&gt;1,"",SUMIF(L$6:L$2000,L781,M$6:M$2000)-SUMIF(L$6:L$2000,L781,G$6:G$2000)))</f>
        <v/>
      </c>
      <c r="T781" s="46">
        <f>IF(AND(C781="",G781=""),"",IF(L781="","Nog factureren",IF(AND(G781&lt;&gt;"",OR(K781="",K781&gt;TODAY())),"Nog betalen",IF(OR(R781="",R781&gt;TODAY()),"Wacht op klant","Afgerond"))))</f>
        <v/>
      </c>
    </row>
    <row r="782">
      <c r="A782" s="45" t="n"/>
      <c r="B782" s="46">
        <f>IF(A782="","",YEAR(A782)&amp;" Q"&amp;ROUNDUP(MONTH(A782)/3,0))</f>
        <v/>
      </c>
      <c r="C782" s="47" t="n"/>
      <c r="D782" s="47" t="n"/>
      <c r="E782" s="47" t="n"/>
      <c r="F782" s="47" t="n"/>
      <c r="G782" s="48" t="n"/>
      <c r="H782" s="49" t="n"/>
      <c r="I782" s="50">
        <f>IF(G782="","",ROUND(G782*H782,2))</f>
        <v/>
      </c>
      <c r="J782" s="50">
        <f>IF(G782="","",G782+N(I782))</f>
        <v/>
      </c>
      <c r="K782" s="45" t="n"/>
      <c r="L782" s="47" t="n"/>
      <c r="M782" s="48" t="n"/>
      <c r="N782" s="49" t="n"/>
      <c r="O782" s="50">
        <f>IF(M782="","",ROUND(M782*N782,2))</f>
        <v/>
      </c>
      <c r="P782" s="50">
        <f>IF(M782="","",M782+N(O782))</f>
        <v/>
      </c>
      <c r="Q782" s="45" t="n"/>
      <c r="R782" s="45" t="n"/>
      <c r="S782" s="51">
        <f>IF(L782="","",IF(COUNTIF(L$6:L782,L782)&gt;1,"",SUMIF(L$6:L$2000,L782,M$6:M$2000)-SUMIF(L$6:L$2000,L782,G$6:G$2000)))</f>
        <v/>
      </c>
      <c r="T782" s="46">
        <f>IF(AND(C782="",G782=""),"",IF(L782="","Nog factureren",IF(AND(G782&lt;&gt;"",OR(K782="",K782&gt;TODAY())),"Nog betalen",IF(OR(R782="",R782&gt;TODAY()),"Wacht op klant","Afgerond"))))</f>
        <v/>
      </c>
    </row>
    <row r="783">
      <c r="A783" s="45" t="n"/>
      <c r="B783" s="46">
        <f>IF(A783="","",YEAR(A783)&amp;" Q"&amp;ROUNDUP(MONTH(A783)/3,0))</f>
        <v/>
      </c>
      <c r="C783" s="47" t="n"/>
      <c r="D783" s="47" t="n"/>
      <c r="E783" s="47" t="n"/>
      <c r="F783" s="47" t="n"/>
      <c r="G783" s="48" t="n"/>
      <c r="H783" s="49" t="n"/>
      <c r="I783" s="50">
        <f>IF(G783="","",ROUND(G783*H783,2))</f>
        <v/>
      </c>
      <c r="J783" s="50">
        <f>IF(G783="","",G783+N(I783))</f>
        <v/>
      </c>
      <c r="K783" s="45" t="n"/>
      <c r="L783" s="47" t="n"/>
      <c r="M783" s="48" t="n"/>
      <c r="N783" s="49" t="n"/>
      <c r="O783" s="50">
        <f>IF(M783="","",ROUND(M783*N783,2))</f>
        <v/>
      </c>
      <c r="P783" s="50">
        <f>IF(M783="","",M783+N(O783))</f>
        <v/>
      </c>
      <c r="Q783" s="45" t="n"/>
      <c r="R783" s="45" t="n"/>
      <c r="S783" s="51">
        <f>IF(L783="","",IF(COUNTIF(L$6:L783,L783)&gt;1,"",SUMIF(L$6:L$2000,L783,M$6:M$2000)-SUMIF(L$6:L$2000,L783,G$6:G$2000)))</f>
        <v/>
      </c>
      <c r="T783" s="46">
        <f>IF(AND(C783="",G783=""),"",IF(L783="","Nog factureren",IF(AND(G783&lt;&gt;"",OR(K783="",K783&gt;TODAY())),"Nog betalen",IF(OR(R783="",R783&gt;TODAY()),"Wacht op klant","Afgerond"))))</f>
        <v/>
      </c>
    </row>
    <row r="784">
      <c r="A784" s="45" t="n"/>
      <c r="B784" s="46">
        <f>IF(A784="","",YEAR(A784)&amp;" Q"&amp;ROUNDUP(MONTH(A784)/3,0))</f>
        <v/>
      </c>
      <c r="C784" s="47" t="n"/>
      <c r="D784" s="47" t="n"/>
      <c r="E784" s="47" t="n"/>
      <c r="F784" s="47" t="n"/>
      <c r="G784" s="48" t="n"/>
      <c r="H784" s="49" t="n"/>
      <c r="I784" s="50">
        <f>IF(G784="","",ROUND(G784*H784,2))</f>
        <v/>
      </c>
      <c r="J784" s="50">
        <f>IF(G784="","",G784+N(I784))</f>
        <v/>
      </c>
      <c r="K784" s="45" t="n"/>
      <c r="L784" s="47" t="n"/>
      <c r="M784" s="48" t="n"/>
      <c r="N784" s="49" t="n"/>
      <c r="O784" s="50">
        <f>IF(M784="","",ROUND(M784*N784,2))</f>
        <v/>
      </c>
      <c r="P784" s="50">
        <f>IF(M784="","",M784+N(O784))</f>
        <v/>
      </c>
      <c r="Q784" s="45" t="n"/>
      <c r="R784" s="45" t="n"/>
      <c r="S784" s="51">
        <f>IF(L784="","",IF(COUNTIF(L$6:L784,L784)&gt;1,"",SUMIF(L$6:L$2000,L784,M$6:M$2000)-SUMIF(L$6:L$2000,L784,G$6:G$2000)))</f>
        <v/>
      </c>
      <c r="T784" s="46">
        <f>IF(AND(C784="",G784=""),"",IF(L784="","Nog factureren",IF(AND(G784&lt;&gt;"",OR(K784="",K784&gt;TODAY())),"Nog betalen",IF(OR(R784="",R784&gt;TODAY()),"Wacht op klant","Afgerond"))))</f>
        <v/>
      </c>
    </row>
    <row r="785">
      <c r="A785" s="45" t="n"/>
      <c r="B785" s="46">
        <f>IF(A785="","",YEAR(A785)&amp;" Q"&amp;ROUNDUP(MONTH(A785)/3,0))</f>
        <v/>
      </c>
      <c r="C785" s="47" t="n"/>
      <c r="D785" s="47" t="n"/>
      <c r="E785" s="47" t="n"/>
      <c r="F785" s="47" t="n"/>
      <c r="G785" s="48" t="n"/>
      <c r="H785" s="49" t="n"/>
      <c r="I785" s="50">
        <f>IF(G785="","",ROUND(G785*H785,2))</f>
        <v/>
      </c>
      <c r="J785" s="50">
        <f>IF(G785="","",G785+N(I785))</f>
        <v/>
      </c>
      <c r="K785" s="45" t="n"/>
      <c r="L785" s="47" t="n"/>
      <c r="M785" s="48" t="n"/>
      <c r="N785" s="49" t="n"/>
      <c r="O785" s="50">
        <f>IF(M785="","",ROUND(M785*N785,2))</f>
        <v/>
      </c>
      <c r="P785" s="50">
        <f>IF(M785="","",M785+N(O785))</f>
        <v/>
      </c>
      <c r="Q785" s="45" t="n"/>
      <c r="R785" s="45" t="n"/>
      <c r="S785" s="51">
        <f>IF(L785="","",IF(COUNTIF(L$6:L785,L785)&gt;1,"",SUMIF(L$6:L$2000,L785,M$6:M$2000)-SUMIF(L$6:L$2000,L785,G$6:G$2000)))</f>
        <v/>
      </c>
      <c r="T785" s="46">
        <f>IF(AND(C785="",G785=""),"",IF(L785="","Nog factureren",IF(AND(G785&lt;&gt;"",OR(K785="",K785&gt;TODAY())),"Nog betalen",IF(OR(R785="",R785&gt;TODAY()),"Wacht op klant","Afgerond"))))</f>
        <v/>
      </c>
    </row>
    <row r="786">
      <c r="A786" s="45" t="n"/>
      <c r="B786" s="46">
        <f>IF(A786="","",YEAR(A786)&amp;" Q"&amp;ROUNDUP(MONTH(A786)/3,0))</f>
        <v/>
      </c>
      <c r="C786" s="47" t="n"/>
      <c r="D786" s="47" t="n"/>
      <c r="E786" s="47" t="n"/>
      <c r="F786" s="47" t="n"/>
      <c r="G786" s="48" t="n"/>
      <c r="H786" s="49" t="n"/>
      <c r="I786" s="50">
        <f>IF(G786="","",ROUND(G786*H786,2))</f>
        <v/>
      </c>
      <c r="J786" s="50">
        <f>IF(G786="","",G786+N(I786))</f>
        <v/>
      </c>
      <c r="K786" s="45" t="n"/>
      <c r="L786" s="47" t="n"/>
      <c r="M786" s="48" t="n"/>
      <c r="N786" s="49" t="n"/>
      <c r="O786" s="50">
        <f>IF(M786="","",ROUND(M786*N786,2))</f>
        <v/>
      </c>
      <c r="P786" s="50">
        <f>IF(M786="","",M786+N(O786))</f>
        <v/>
      </c>
      <c r="Q786" s="45" t="n"/>
      <c r="R786" s="45" t="n"/>
      <c r="S786" s="51">
        <f>IF(L786="","",IF(COUNTIF(L$6:L786,L786)&gt;1,"",SUMIF(L$6:L$2000,L786,M$6:M$2000)-SUMIF(L$6:L$2000,L786,G$6:G$2000)))</f>
        <v/>
      </c>
      <c r="T786" s="46">
        <f>IF(AND(C786="",G786=""),"",IF(L786="","Nog factureren",IF(AND(G786&lt;&gt;"",OR(K786="",K786&gt;TODAY())),"Nog betalen",IF(OR(R786="",R786&gt;TODAY()),"Wacht op klant","Afgerond"))))</f>
        <v/>
      </c>
    </row>
    <row r="787">
      <c r="A787" s="45" t="n"/>
      <c r="B787" s="46">
        <f>IF(A787="","",YEAR(A787)&amp;" Q"&amp;ROUNDUP(MONTH(A787)/3,0))</f>
        <v/>
      </c>
      <c r="C787" s="47" t="n"/>
      <c r="D787" s="47" t="n"/>
      <c r="E787" s="47" t="n"/>
      <c r="F787" s="47" t="n"/>
      <c r="G787" s="48" t="n"/>
      <c r="H787" s="49" t="n"/>
      <c r="I787" s="50">
        <f>IF(G787="","",ROUND(G787*H787,2))</f>
        <v/>
      </c>
      <c r="J787" s="50">
        <f>IF(G787="","",G787+N(I787))</f>
        <v/>
      </c>
      <c r="K787" s="45" t="n"/>
      <c r="L787" s="47" t="n"/>
      <c r="M787" s="48" t="n"/>
      <c r="N787" s="49" t="n"/>
      <c r="O787" s="50">
        <f>IF(M787="","",ROUND(M787*N787,2))</f>
        <v/>
      </c>
      <c r="P787" s="50">
        <f>IF(M787="","",M787+N(O787))</f>
        <v/>
      </c>
      <c r="Q787" s="45" t="n"/>
      <c r="R787" s="45" t="n"/>
      <c r="S787" s="51">
        <f>IF(L787="","",IF(COUNTIF(L$6:L787,L787)&gt;1,"",SUMIF(L$6:L$2000,L787,M$6:M$2000)-SUMIF(L$6:L$2000,L787,G$6:G$2000)))</f>
        <v/>
      </c>
      <c r="T787" s="46">
        <f>IF(AND(C787="",G787=""),"",IF(L787="","Nog factureren",IF(AND(G787&lt;&gt;"",OR(K787="",K787&gt;TODAY())),"Nog betalen",IF(OR(R787="",R787&gt;TODAY()),"Wacht op klant","Afgerond"))))</f>
        <v/>
      </c>
    </row>
    <row r="788">
      <c r="A788" s="45" t="n"/>
      <c r="B788" s="46">
        <f>IF(A788="","",YEAR(A788)&amp;" Q"&amp;ROUNDUP(MONTH(A788)/3,0))</f>
        <v/>
      </c>
      <c r="C788" s="47" t="n"/>
      <c r="D788" s="47" t="n"/>
      <c r="E788" s="47" t="n"/>
      <c r="F788" s="47" t="n"/>
      <c r="G788" s="48" t="n"/>
      <c r="H788" s="49" t="n"/>
      <c r="I788" s="50">
        <f>IF(G788="","",ROUND(G788*H788,2))</f>
        <v/>
      </c>
      <c r="J788" s="50">
        <f>IF(G788="","",G788+N(I788))</f>
        <v/>
      </c>
      <c r="K788" s="45" t="n"/>
      <c r="L788" s="47" t="n"/>
      <c r="M788" s="48" t="n"/>
      <c r="N788" s="49" t="n"/>
      <c r="O788" s="50">
        <f>IF(M788="","",ROUND(M788*N788,2))</f>
        <v/>
      </c>
      <c r="P788" s="50">
        <f>IF(M788="","",M788+N(O788))</f>
        <v/>
      </c>
      <c r="Q788" s="45" t="n"/>
      <c r="R788" s="45" t="n"/>
      <c r="S788" s="51">
        <f>IF(L788="","",IF(COUNTIF(L$6:L788,L788)&gt;1,"",SUMIF(L$6:L$2000,L788,M$6:M$2000)-SUMIF(L$6:L$2000,L788,G$6:G$2000)))</f>
        <v/>
      </c>
      <c r="T788" s="46">
        <f>IF(AND(C788="",G788=""),"",IF(L788="","Nog factureren",IF(AND(G788&lt;&gt;"",OR(K788="",K788&gt;TODAY())),"Nog betalen",IF(OR(R788="",R788&gt;TODAY()),"Wacht op klant","Afgerond"))))</f>
        <v/>
      </c>
    </row>
    <row r="789">
      <c r="A789" s="45" t="n"/>
      <c r="B789" s="46">
        <f>IF(A789="","",YEAR(A789)&amp;" Q"&amp;ROUNDUP(MONTH(A789)/3,0))</f>
        <v/>
      </c>
      <c r="C789" s="47" t="n"/>
      <c r="D789" s="47" t="n"/>
      <c r="E789" s="47" t="n"/>
      <c r="F789" s="47" t="n"/>
      <c r="G789" s="48" t="n"/>
      <c r="H789" s="49" t="n"/>
      <c r="I789" s="50">
        <f>IF(G789="","",ROUND(G789*H789,2))</f>
        <v/>
      </c>
      <c r="J789" s="50">
        <f>IF(G789="","",G789+N(I789))</f>
        <v/>
      </c>
      <c r="K789" s="45" t="n"/>
      <c r="L789" s="47" t="n"/>
      <c r="M789" s="48" t="n"/>
      <c r="N789" s="49" t="n"/>
      <c r="O789" s="50">
        <f>IF(M789="","",ROUND(M789*N789,2))</f>
        <v/>
      </c>
      <c r="P789" s="50">
        <f>IF(M789="","",M789+N(O789))</f>
        <v/>
      </c>
      <c r="Q789" s="45" t="n"/>
      <c r="R789" s="45" t="n"/>
      <c r="S789" s="51">
        <f>IF(L789="","",IF(COUNTIF(L$6:L789,L789)&gt;1,"",SUMIF(L$6:L$2000,L789,M$6:M$2000)-SUMIF(L$6:L$2000,L789,G$6:G$2000)))</f>
        <v/>
      </c>
      <c r="T789" s="46">
        <f>IF(AND(C789="",G789=""),"",IF(L789="","Nog factureren",IF(AND(G789&lt;&gt;"",OR(K789="",K789&gt;TODAY())),"Nog betalen",IF(OR(R789="",R789&gt;TODAY()),"Wacht op klant","Afgerond"))))</f>
        <v/>
      </c>
    </row>
    <row r="790">
      <c r="A790" s="45" t="n"/>
      <c r="B790" s="46">
        <f>IF(A790="","",YEAR(A790)&amp;" Q"&amp;ROUNDUP(MONTH(A790)/3,0))</f>
        <v/>
      </c>
      <c r="C790" s="47" t="n"/>
      <c r="D790" s="47" t="n"/>
      <c r="E790" s="47" t="n"/>
      <c r="F790" s="47" t="n"/>
      <c r="G790" s="48" t="n"/>
      <c r="H790" s="49" t="n"/>
      <c r="I790" s="50">
        <f>IF(G790="","",ROUND(G790*H790,2))</f>
        <v/>
      </c>
      <c r="J790" s="50">
        <f>IF(G790="","",G790+N(I790))</f>
        <v/>
      </c>
      <c r="K790" s="45" t="n"/>
      <c r="L790" s="47" t="n"/>
      <c r="M790" s="48" t="n"/>
      <c r="N790" s="49" t="n"/>
      <c r="O790" s="50">
        <f>IF(M790="","",ROUND(M790*N790,2))</f>
        <v/>
      </c>
      <c r="P790" s="50">
        <f>IF(M790="","",M790+N(O790))</f>
        <v/>
      </c>
      <c r="Q790" s="45" t="n"/>
      <c r="R790" s="45" t="n"/>
      <c r="S790" s="51">
        <f>IF(L790="","",IF(COUNTIF(L$6:L790,L790)&gt;1,"",SUMIF(L$6:L$2000,L790,M$6:M$2000)-SUMIF(L$6:L$2000,L790,G$6:G$2000)))</f>
        <v/>
      </c>
      <c r="T790" s="46">
        <f>IF(AND(C790="",G790=""),"",IF(L790="","Nog factureren",IF(AND(G790&lt;&gt;"",OR(K790="",K790&gt;TODAY())),"Nog betalen",IF(OR(R790="",R790&gt;TODAY()),"Wacht op klant","Afgerond"))))</f>
        <v/>
      </c>
    </row>
    <row r="791">
      <c r="A791" s="45" t="n"/>
      <c r="B791" s="46">
        <f>IF(A791="","",YEAR(A791)&amp;" Q"&amp;ROUNDUP(MONTH(A791)/3,0))</f>
        <v/>
      </c>
      <c r="C791" s="47" t="n"/>
      <c r="D791" s="47" t="n"/>
      <c r="E791" s="47" t="n"/>
      <c r="F791" s="47" t="n"/>
      <c r="G791" s="48" t="n"/>
      <c r="H791" s="49" t="n"/>
      <c r="I791" s="50">
        <f>IF(G791="","",ROUND(G791*H791,2))</f>
        <v/>
      </c>
      <c r="J791" s="50">
        <f>IF(G791="","",G791+N(I791))</f>
        <v/>
      </c>
      <c r="K791" s="45" t="n"/>
      <c r="L791" s="47" t="n"/>
      <c r="M791" s="48" t="n"/>
      <c r="N791" s="49" t="n"/>
      <c r="O791" s="50">
        <f>IF(M791="","",ROUND(M791*N791,2))</f>
        <v/>
      </c>
      <c r="P791" s="50">
        <f>IF(M791="","",M791+N(O791))</f>
        <v/>
      </c>
      <c r="Q791" s="45" t="n"/>
      <c r="R791" s="45" t="n"/>
      <c r="S791" s="51">
        <f>IF(L791="","",IF(COUNTIF(L$6:L791,L791)&gt;1,"",SUMIF(L$6:L$2000,L791,M$6:M$2000)-SUMIF(L$6:L$2000,L791,G$6:G$2000)))</f>
        <v/>
      </c>
      <c r="T791" s="46">
        <f>IF(AND(C791="",G791=""),"",IF(L791="","Nog factureren",IF(AND(G791&lt;&gt;"",OR(K791="",K791&gt;TODAY())),"Nog betalen",IF(OR(R791="",R791&gt;TODAY()),"Wacht op klant","Afgerond"))))</f>
        <v/>
      </c>
    </row>
    <row r="792">
      <c r="A792" s="45" t="n"/>
      <c r="B792" s="46">
        <f>IF(A792="","",YEAR(A792)&amp;" Q"&amp;ROUNDUP(MONTH(A792)/3,0))</f>
        <v/>
      </c>
      <c r="C792" s="47" t="n"/>
      <c r="D792" s="47" t="n"/>
      <c r="E792" s="47" t="n"/>
      <c r="F792" s="47" t="n"/>
      <c r="G792" s="48" t="n"/>
      <c r="H792" s="49" t="n"/>
      <c r="I792" s="50">
        <f>IF(G792="","",ROUND(G792*H792,2))</f>
        <v/>
      </c>
      <c r="J792" s="50">
        <f>IF(G792="","",G792+N(I792))</f>
        <v/>
      </c>
      <c r="K792" s="45" t="n"/>
      <c r="L792" s="47" t="n"/>
      <c r="M792" s="48" t="n"/>
      <c r="N792" s="49" t="n"/>
      <c r="O792" s="50">
        <f>IF(M792="","",ROUND(M792*N792,2))</f>
        <v/>
      </c>
      <c r="P792" s="50">
        <f>IF(M792="","",M792+N(O792))</f>
        <v/>
      </c>
      <c r="Q792" s="45" t="n"/>
      <c r="R792" s="45" t="n"/>
      <c r="S792" s="51">
        <f>IF(L792="","",IF(COUNTIF(L$6:L792,L792)&gt;1,"",SUMIF(L$6:L$2000,L792,M$6:M$2000)-SUMIF(L$6:L$2000,L792,G$6:G$2000)))</f>
        <v/>
      </c>
      <c r="T792" s="46">
        <f>IF(AND(C792="",G792=""),"",IF(L792="","Nog factureren",IF(AND(G792&lt;&gt;"",OR(K792="",K792&gt;TODAY())),"Nog betalen",IF(OR(R792="",R792&gt;TODAY()),"Wacht op klant","Afgerond"))))</f>
        <v/>
      </c>
    </row>
    <row r="793">
      <c r="A793" s="45" t="n"/>
      <c r="B793" s="46">
        <f>IF(A793="","",YEAR(A793)&amp;" Q"&amp;ROUNDUP(MONTH(A793)/3,0))</f>
        <v/>
      </c>
      <c r="C793" s="47" t="n"/>
      <c r="D793" s="47" t="n"/>
      <c r="E793" s="47" t="n"/>
      <c r="F793" s="47" t="n"/>
      <c r="G793" s="48" t="n"/>
      <c r="H793" s="49" t="n"/>
      <c r="I793" s="50">
        <f>IF(G793="","",ROUND(G793*H793,2))</f>
        <v/>
      </c>
      <c r="J793" s="50">
        <f>IF(G793="","",G793+N(I793))</f>
        <v/>
      </c>
      <c r="K793" s="45" t="n"/>
      <c r="L793" s="47" t="n"/>
      <c r="M793" s="48" t="n"/>
      <c r="N793" s="49" t="n"/>
      <c r="O793" s="50">
        <f>IF(M793="","",ROUND(M793*N793,2))</f>
        <v/>
      </c>
      <c r="P793" s="50">
        <f>IF(M793="","",M793+N(O793))</f>
        <v/>
      </c>
      <c r="Q793" s="45" t="n"/>
      <c r="R793" s="45" t="n"/>
      <c r="S793" s="51">
        <f>IF(L793="","",IF(COUNTIF(L$6:L793,L793)&gt;1,"",SUMIF(L$6:L$2000,L793,M$6:M$2000)-SUMIF(L$6:L$2000,L793,G$6:G$2000)))</f>
        <v/>
      </c>
      <c r="T793" s="46">
        <f>IF(AND(C793="",G793=""),"",IF(L793="","Nog factureren",IF(AND(G793&lt;&gt;"",OR(K793="",K793&gt;TODAY())),"Nog betalen",IF(OR(R793="",R793&gt;TODAY()),"Wacht op klant","Afgerond"))))</f>
        <v/>
      </c>
    </row>
    <row r="794">
      <c r="A794" s="45" t="n"/>
      <c r="B794" s="46">
        <f>IF(A794="","",YEAR(A794)&amp;" Q"&amp;ROUNDUP(MONTH(A794)/3,0))</f>
        <v/>
      </c>
      <c r="C794" s="47" t="n"/>
      <c r="D794" s="47" t="n"/>
      <c r="E794" s="47" t="n"/>
      <c r="F794" s="47" t="n"/>
      <c r="G794" s="48" t="n"/>
      <c r="H794" s="49" t="n"/>
      <c r="I794" s="50">
        <f>IF(G794="","",ROUND(G794*H794,2))</f>
        <v/>
      </c>
      <c r="J794" s="50">
        <f>IF(G794="","",G794+N(I794))</f>
        <v/>
      </c>
      <c r="K794" s="45" t="n"/>
      <c r="L794" s="47" t="n"/>
      <c r="M794" s="48" t="n"/>
      <c r="N794" s="49" t="n"/>
      <c r="O794" s="50">
        <f>IF(M794="","",ROUND(M794*N794,2))</f>
        <v/>
      </c>
      <c r="P794" s="50">
        <f>IF(M794="","",M794+N(O794))</f>
        <v/>
      </c>
      <c r="Q794" s="45" t="n"/>
      <c r="R794" s="45" t="n"/>
      <c r="S794" s="51">
        <f>IF(L794="","",IF(COUNTIF(L$6:L794,L794)&gt;1,"",SUMIF(L$6:L$2000,L794,M$6:M$2000)-SUMIF(L$6:L$2000,L794,G$6:G$2000)))</f>
        <v/>
      </c>
      <c r="T794" s="46">
        <f>IF(AND(C794="",G794=""),"",IF(L794="","Nog factureren",IF(AND(G794&lt;&gt;"",OR(K794="",K794&gt;TODAY())),"Nog betalen",IF(OR(R794="",R794&gt;TODAY()),"Wacht op klant","Afgerond"))))</f>
        <v/>
      </c>
    </row>
    <row r="795">
      <c r="A795" s="45" t="n"/>
      <c r="B795" s="46">
        <f>IF(A795="","",YEAR(A795)&amp;" Q"&amp;ROUNDUP(MONTH(A795)/3,0))</f>
        <v/>
      </c>
      <c r="C795" s="47" t="n"/>
      <c r="D795" s="47" t="n"/>
      <c r="E795" s="47" t="n"/>
      <c r="F795" s="47" t="n"/>
      <c r="G795" s="48" t="n"/>
      <c r="H795" s="49" t="n"/>
      <c r="I795" s="50">
        <f>IF(G795="","",ROUND(G795*H795,2))</f>
        <v/>
      </c>
      <c r="J795" s="50">
        <f>IF(G795="","",G795+N(I795))</f>
        <v/>
      </c>
      <c r="K795" s="45" t="n"/>
      <c r="L795" s="47" t="n"/>
      <c r="M795" s="48" t="n"/>
      <c r="N795" s="49" t="n"/>
      <c r="O795" s="50">
        <f>IF(M795="","",ROUND(M795*N795,2))</f>
        <v/>
      </c>
      <c r="P795" s="50">
        <f>IF(M795="","",M795+N(O795))</f>
        <v/>
      </c>
      <c r="Q795" s="45" t="n"/>
      <c r="R795" s="45" t="n"/>
      <c r="S795" s="51">
        <f>IF(L795="","",IF(COUNTIF(L$6:L795,L795)&gt;1,"",SUMIF(L$6:L$2000,L795,M$6:M$2000)-SUMIF(L$6:L$2000,L795,G$6:G$2000)))</f>
        <v/>
      </c>
      <c r="T795" s="46">
        <f>IF(AND(C795="",G795=""),"",IF(L795="","Nog factureren",IF(AND(G795&lt;&gt;"",OR(K795="",K795&gt;TODAY())),"Nog betalen",IF(OR(R795="",R795&gt;TODAY()),"Wacht op klant","Afgerond"))))</f>
        <v/>
      </c>
    </row>
    <row r="796">
      <c r="A796" s="45" t="n"/>
      <c r="B796" s="46">
        <f>IF(A796="","",YEAR(A796)&amp;" Q"&amp;ROUNDUP(MONTH(A796)/3,0))</f>
        <v/>
      </c>
      <c r="C796" s="47" t="n"/>
      <c r="D796" s="47" t="n"/>
      <c r="E796" s="47" t="n"/>
      <c r="F796" s="47" t="n"/>
      <c r="G796" s="48" t="n"/>
      <c r="H796" s="49" t="n"/>
      <c r="I796" s="50">
        <f>IF(G796="","",ROUND(G796*H796,2))</f>
        <v/>
      </c>
      <c r="J796" s="50">
        <f>IF(G796="","",G796+N(I796))</f>
        <v/>
      </c>
      <c r="K796" s="45" t="n"/>
      <c r="L796" s="47" t="n"/>
      <c r="M796" s="48" t="n"/>
      <c r="N796" s="49" t="n"/>
      <c r="O796" s="50">
        <f>IF(M796="","",ROUND(M796*N796,2))</f>
        <v/>
      </c>
      <c r="P796" s="50">
        <f>IF(M796="","",M796+N(O796))</f>
        <v/>
      </c>
      <c r="Q796" s="45" t="n"/>
      <c r="R796" s="45" t="n"/>
      <c r="S796" s="51">
        <f>IF(L796="","",IF(COUNTIF(L$6:L796,L796)&gt;1,"",SUMIF(L$6:L$2000,L796,M$6:M$2000)-SUMIF(L$6:L$2000,L796,G$6:G$2000)))</f>
        <v/>
      </c>
      <c r="T796" s="46">
        <f>IF(AND(C796="",G796=""),"",IF(L796="","Nog factureren",IF(AND(G796&lt;&gt;"",OR(K796="",K796&gt;TODAY())),"Nog betalen",IF(OR(R796="",R796&gt;TODAY()),"Wacht op klant","Afgerond"))))</f>
        <v/>
      </c>
    </row>
    <row r="797">
      <c r="A797" s="45" t="n"/>
      <c r="B797" s="46">
        <f>IF(A797="","",YEAR(A797)&amp;" Q"&amp;ROUNDUP(MONTH(A797)/3,0))</f>
        <v/>
      </c>
      <c r="C797" s="47" t="n"/>
      <c r="D797" s="47" t="n"/>
      <c r="E797" s="47" t="n"/>
      <c r="F797" s="47" t="n"/>
      <c r="G797" s="48" t="n"/>
      <c r="H797" s="49" t="n"/>
      <c r="I797" s="50">
        <f>IF(G797="","",ROUND(G797*H797,2))</f>
        <v/>
      </c>
      <c r="J797" s="50">
        <f>IF(G797="","",G797+N(I797))</f>
        <v/>
      </c>
      <c r="K797" s="45" t="n"/>
      <c r="L797" s="47" t="n"/>
      <c r="M797" s="48" t="n"/>
      <c r="N797" s="49" t="n"/>
      <c r="O797" s="50">
        <f>IF(M797="","",ROUND(M797*N797,2))</f>
        <v/>
      </c>
      <c r="P797" s="50">
        <f>IF(M797="","",M797+N(O797))</f>
        <v/>
      </c>
      <c r="Q797" s="45" t="n"/>
      <c r="R797" s="45" t="n"/>
      <c r="S797" s="51">
        <f>IF(L797="","",IF(COUNTIF(L$6:L797,L797)&gt;1,"",SUMIF(L$6:L$2000,L797,M$6:M$2000)-SUMIF(L$6:L$2000,L797,G$6:G$2000)))</f>
        <v/>
      </c>
      <c r="T797" s="46">
        <f>IF(AND(C797="",G797=""),"",IF(L797="","Nog factureren",IF(AND(G797&lt;&gt;"",OR(K797="",K797&gt;TODAY())),"Nog betalen",IF(OR(R797="",R797&gt;TODAY()),"Wacht op klant","Afgerond"))))</f>
        <v/>
      </c>
    </row>
    <row r="798">
      <c r="A798" s="45" t="n"/>
      <c r="B798" s="46">
        <f>IF(A798="","",YEAR(A798)&amp;" Q"&amp;ROUNDUP(MONTH(A798)/3,0))</f>
        <v/>
      </c>
      <c r="C798" s="47" t="n"/>
      <c r="D798" s="47" t="n"/>
      <c r="E798" s="47" t="n"/>
      <c r="F798" s="47" t="n"/>
      <c r="G798" s="48" t="n"/>
      <c r="H798" s="49" t="n"/>
      <c r="I798" s="50">
        <f>IF(G798="","",ROUND(G798*H798,2))</f>
        <v/>
      </c>
      <c r="J798" s="50">
        <f>IF(G798="","",G798+N(I798))</f>
        <v/>
      </c>
      <c r="K798" s="45" t="n"/>
      <c r="L798" s="47" t="n"/>
      <c r="M798" s="48" t="n"/>
      <c r="N798" s="49" t="n"/>
      <c r="O798" s="50">
        <f>IF(M798="","",ROUND(M798*N798,2))</f>
        <v/>
      </c>
      <c r="P798" s="50">
        <f>IF(M798="","",M798+N(O798))</f>
        <v/>
      </c>
      <c r="Q798" s="45" t="n"/>
      <c r="R798" s="45" t="n"/>
      <c r="S798" s="51">
        <f>IF(L798="","",IF(COUNTIF(L$6:L798,L798)&gt;1,"",SUMIF(L$6:L$2000,L798,M$6:M$2000)-SUMIF(L$6:L$2000,L798,G$6:G$2000)))</f>
        <v/>
      </c>
      <c r="T798" s="46">
        <f>IF(AND(C798="",G798=""),"",IF(L798="","Nog factureren",IF(AND(G798&lt;&gt;"",OR(K798="",K798&gt;TODAY())),"Nog betalen",IF(OR(R798="",R798&gt;TODAY()),"Wacht op klant","Afgerond"))))</f>
        <v/>
      </c>
    </row>
    <row r="799">
      <c r="A799" s="45" t="n"/>
      <c r="B799" s="46">
        <f>IF(A799="","",YEAR(A799)&amp;" Q"&amp;ROUNDUP(MONTH(A799)/3,0))</f>
        <v/>
      </c>
      <c r="C799" s="47" t="n"/>
      <c r="D799" s="47" t="n"/>
      <c r="E799" s="47" t="n"/>
      <c r="F799" s="47" t="n"/>
      <c r="G799" s="48" t="n"/>
      <c r="H799" s="49" t="n"/>
      <c r="I799" s="50">
        <f>IF(G799="","",ROUND(G799*H799,2))</f>
        <v/>
      </c>
      <c r="J799" s="50">
        <f>IF(G799="","",G799+N(I799))</f>
        <v/>
      </c>
      <c r="K799" s="45" t="n"/>
      <c r="L799" s="47" t="n"/>
      <c r="M799" s="48" t="n"/>
      <c r="N799" s="49" t="n"/>
      <c r="O799" s="50">
        <f>IF(M799="","",ROUND(M799*N799,2))</f>
        <v/>
      </c>
      <c r="P799" s="50">
        <f>IF(M799="","",M799+N(O799))</f>
        <v/>
      </c>
      <c r="Q799" s="45" t="n"/>
      <c r="R799" s="45" t="n"/>
      <c r="S799" s="51">
        <f>IF(L799="","",IF(COUNTIF(L$6:L799,L799)&gt;1,"",SUMIF(L$6:L$2000,L799,M$6:M$2000)-SUMIF(L$6:L$2000,L799,G$6:G$2000)))</f>
        <v/>
      </c>
      <c r="T799" s="46">
        <f>IF(AND(C799="",G799=""),"",IF(L799="","Nog factureren",IF(AND(G799&lt;&gt;"",OR(K799="",K799&gt;TODAY())),"Nog betalen",IF(OR(R799="",R799&gt;TODAY()),"Wacht op klant","Afgerond"))))</f>
        <v/>
      </c>
    </row>
    <row r="800">
      <c r="A800" s="45" t="n"/>
      <c r="B800" s="46">
        <f>IF(A800="","",YEAR(A800)&amp;" Q"&amp;ROUNDUP(MONTH(A800)/3,0))</f>
        <v/>
      </c>
      <c r="C800" s="47" t="n"/>
      <c r="D800" s="47" t="n"/>
      <c r="E800" s="47" t="n"/>
      <c r="F800" s="47" t="n"/>
      <c r="G800" s="48" t="n"/>
      <c r="H800" s="49" t="n"/>
      <c r="I800" s="50">
        <f>IF(G800="","",ROUND(G800*H800,2))</f>
        <v/>
      </c>
      <c r="J800" s="50">
        <f>IF(G800="","",G800+N(I800))</f>
        <v/>
      </c>
      <c r="K800" s="45" t="n"/>
      <c r="L800" s="47" t="n"/>
      <c r="M800" s="48" t="n"/>
      <c r="N800" s="49" t="n"/>
      <c r="O800" s="50">
        <f>IF(M800="","",ROUND(M800*N800,2))</f>
        <v/>
      </c>
      <c r="P800" s="50">
        <f>IF(M800="","",M800+N(O800))</f>
        <v/>
      </c>
      <c r="Q800" s="45" t="n"/>
      <c r="R800" s="45" t="n"/>
      <c r="S800" s="51">
        <f>IF(L800="","",IF(COUNTIF(L$6:L800,L800)&gt;1,"",SUMIF(L$6:L$2000,L800,M$6:M$2000)-SUMIF(L$6:L$2000,L800,G$6:G$2000)))</f>
        <v/>
      </c>
      <c r="T800" s="46">
        <f>IF(AND(C800="",G800=""),"",IF(L800="","Nog factureren",IF(AND(G800&lt;&gt;"",OR(K800="",K800&gt;TODAY())),"Nog betalen",IF(OR(R800="",R800&gt;TODAY()),"Wacht op klant","Afgerond"))))</f>
        <v/>
      </c>
    </row>
    <row r="801">
      <c r="A801" s="45" t="n"/>
      <c r="B801" s="46">
        <f>IF(A801="","",YEAR(A801)&amp;" Q"&amp;ROUNDUP(MONTH(A801)/3,0))</f>
        <v/>
      </c>
      <c r="C801" s="47" t="n"/>
      <c r="D801" s="47" t="n"/>
      <c r="E801" s="47" t="n"/>
      <c r="F801" s="47" t="n"/>
      <c r="G801" s="48" t="n"/>
      <c r="H801" s="49" t="n"/>
      <c r="I801" s="50">
        <f>IF(G801="","",ROUND(G801*H801,2))</f>
        <v/>
      </c>
      <c r="J801" s="50">
        <f>IF(G801="","",G801+N(I801))</f>
        <v/>
      </c>
      <c r="K801" s="45" t="n"/>
      <c r="L801" s="47" t="n"/>
      <c r="M801" s="48" t="n"/>
      <c r="N801" s="49" t="n"/>
      <c r="O801" s="50">
        <f>IF(M801="","",ROUND(M801*N801,2))</f>
        <v/>
      </c>
      <c r="P801" s="50">
        <f>IF(M801="","",M801+N(O801))</f>
        <v/>
      </c>
      <c r="Q801" s="45" t="n"/>
      <c r="R801" s="45" t="n"/>
      <c r="S801" s="51">
        <f>IF(L801="","",IF(COUNTIF(L$6:L801,L801)&gt;1,"",SUMIF(L$6:L$2000,L801,M$6:M$2000)-SUMIF(L$6:L$2000,L801,G$6:G$2000)))</f>
        <v/>
      </c>
      <c r="T801" s="46">
        <f>IF(AND(C801="",G801=""),"",IF(L801="","Nog factureren",IF(AND(G801&lt;&gt;"",OR(K801="",K801&gt;TODAY())),"Nog betalen",IF(OR(R801="",R801&gt;TODAY()),"Wacht op klant","Afgerond"))))</f>
        <v/>
      </c>
    </row>
    <row r="802">
      <c r="A802" s="45" t="n"/>
      <c r="B802" s="46">
        <f>IF(A802="","",YEAR(A802)&amp;" Q"&amp;ROUNDUP(MONTH(A802)/3,0))</f>
        <v/>
      </c>
      <c r="C802" s="47" t="n"/>
      <c r="D802" s="47" t="n"/>
      <c r="E802" s="47" t="n"/>
      <c r="F802" s="47" t="n"/>
      <c r="G802" s="48" t="n"/>
      <c r="H802" s="49" t="n"/>
      <c r="I802" s="50">
        <f>IF(G802="","",ROUND(G802*H802,2))</f>
        <v/>
      </c>
      <c r="J802" s="50">
        <f>IF(G802="","",G802+N(I802))</f>
        <v/>
      </c>
      <c r="K802" s="45" t="n"/>
      <c r="L802" s="47" t="n"/>
      <c r="M802" s="48" t="n"/>
      <c r="N802" s="49" t="n"/>
      <c r="O802" s="50">
        <f>IF(M802="","",ROUND(M802*N802,2))</f>
        <v/>
      </c>
      <c r="P802" s="50">
        <f>IF(M802="","",M802+N(O802))</f>
        <v/>
      </c>
      <c r="Q802" s="45" t="n"/>
      <c r="R802" s="45" t="n"/>
      <c r="S802" s="51">
        <f>IF(L802="","",IF(COUNTIF(L$6:L802,L802)&gt;1,"",SUMIF(L$6:L$2000,L802,M$6:M$2000)-SUMIF(L$6:L$2000,L802,G$6:G$2000)))</f>
        <v/>
      </c>
      <c r="T802" s="46">
        <f>IF(AND(C802="",G802=""),"",IF(L802="","Nog factureren",IF(AND(G802&lt;&gt;"",OR(K802="",K802&gt;TODAY())),"Nog betalen",IF(OR(R802="",R802&gt;TODAY()),"Wacht op klant","Afgerond"))))</f>
        <v/>
      </c>
    </row>
    <row r="803">
      <c r="A803" s="45" t="n"/>
      <c r="B803" s="46">
        <f>IF(A803="","",YEAR(A803)&amp;" Q"&amp;ROUNDUP(MONTH(A803)/3,0))</f>
        <v/>
      </c>
      <c r="C803" s="47" t="n"/>
      <c r="D803" s="47" t="n"/>
      <c r="E803" s="47" t="n"/>
      <c r="F803" s="47" t="n"/>
      <c r="G803" s="48" t="n"/>
      <c r="H803" s="49" t="n"/>
      <c r="I803" s="50">
        <f>IF(G803="","",ROUND(G803*H803,2))</f>
        <v/>
      </c>
      <c r="J803" s="50">
        <f>IF(G803="","",G803+N(I803))</f>
        <v/>
      </c>
      <c r="K803" s="45" t="n"/>
      <c r="L803" s="47" t="n"/>
      <c r="M803" s="48" t="n"/>
      <c r="N803" s="49" t="n"/>
      <c r="O803" s="50">
        <f>IF(M803="","",ROUND(M803*N803,2))</f>
        <v/>
      </c>
      <c r="P803" s="50">
        <f>IF(M803="","",M803+N(O803))</f>
        <v/>
      </c>
      <c r="Q803" s="45" t="n"/>
      <c r="R803" s="45" t="n"/>
      <c r="S803" s="51">
        <f>IF(L803="","",IF(COUNTIF(L$6:L803,L803)&gt;1,"",SUMIF(L$6:L$2000,L803,M$6:M$2000)-SUMIF(L$6:L$2000,L803,G$6:G$2000)))</f>
        <v/>
      </c>
      <c r="T803" s="46">
        <f>IF(AND(C803="",G803=""),"",IF(L803="","Nog factureren",IF(AND(G803&lt;&gt;"",OR(K803="",K803&gt;TODAY())),"Nog betalen",IF(OR(R803="",R803&gt;TODAY()),"Wacht op klant","Afgerond"))))</f>
        <v/>
      </c>
    </row>
    <row r="804">
      <c r="A804" s="45" t="n"/>
      <c r="B804" s="46">
        <f>IF(A804="","",YEAR(A804)&amp;" Q"&amp;ROUNDUP(MONTH(A804)/3,0))</f>
        <v/>
      </c>
      <c r="C804" s="47" t="n"/>
      <c r="D804" s="47" t="n"/>
      <c r="E804" s="47" t="n"/>
      <c r="F804" s="47" t="n"/>
      <c r="G804" s="48" t="n"/>
      <c r="H804" s="49" t="n"/>
      <c r="I804" s="50">
        <f>IF(G804="","",ROUND(G804*H804,2))</f>
        <v/>
      </c>
      <c r="J804" s="50">
        <f>IF(G804="","",G804+N(I804))</f>
        <v/>
      </c>
      <c r="K804" s="45" t="n"/>
      <c r="L804" s="47" t="n"/>
      <c r="M804" s="48" t="n"/>
      <c r="N804" s="49" t="n"/>
      <c r="O804" s="50">
        <f>IF(M804="","",ROUND(M804*N804,2))</f>
        <v/>
      </c>
      <c r="P804" s="50">
        <f>IF(M804="","",M804+N(O804))</f>
        <v/>
      </c>
      <c r="Q804" s="45" t="n"/>
      <c r="R804" s="45" t="n"/>
      <c r="S804" s="51">
        <f>IF(L804="","",IF(COUNTIF(L$6:L804,L804)&gt;1,"",SUMIF(L$6:L$2000,L804,M$6:M$2000)-SUMIF(L$6:L$2000,L804,G$6:G$2000)))</f>
        <v/>
      </c>
      <c r="T804" s="46">
        <f>IF(AND(C804="",G804=""),"",IF(L804="","Nog factureren",IF(AND(G804&lt;&gt;"",OR(K804="",K804&gt;TODAY())),"Nog betalen",IF(OR(R804="",R804&gt;TODAY()),"Wacht op klant","Afgerond"))))</f>
        <v/>
      </c>
    </row>
    <row r="805">
      <c r="A805" s="45" t="n"/>
      <c r="B805" s="46">
        <f>IF(A805="","",YEAR(A805)&amp;" Q"&amp;ROUNDUP(MONTH(A805)/3,0))</f>
        <v/>
      </c>
      <c r="C805" s="47" t="n"/>
      <c r="D805" s="47" t="n"/>
      <c r="E805" s="47" t="n"/>
      <c r="F805" s="47" t="n"/>
      <c r="G805" s="48" t="n"/>
      <c r="H805" s="49" t="n"/>
      <c r="I805" s="50">
        <f>IF(G805="","",ROUND(G805*H805,2))</f>
        <v/>
      </c>
      <c r="J805" s="50">
        <f>IF(G805="","",G805+N(I805))</f>
        <v/>
      </c>
      <c r="K805" s="45" t="n"/>
      <c r="L805" s="47" t="n"/>
      <c r="M805" s="48" t="n"/>
      <c r="N805" s="49" t="n"/>
      <c r="O805" s="50">
        <f>IF(M805="","",ROUND(M805*N805,2))</f>
        <v/>
      </c>
      <c r="P805" s="50">
        <f>IF(M805="","",M805+N(O805))</f>
        <v/>
      </c>
      <c r="Q805" s="45" t="n"/>
      <c r="R805" s="45" t="n"/>
      <c r="S805" s="51">
        <f>IF(L805="","",IF(COUNTIF(L$6:L805,L805)&gt;1,"",SUMIF(L$6:L$2000,L805,M$6:M$2000)-SUMIF(L$6:L$2000,L805,G$6:G$2000)))</f>
        <v/>
      </c>
      <c r="T805" s="46">
        <f>IF(AND(C805="",G805=""),"",IF(L805="","Nog factureren",IF(AND(G805&lt;&gt;"",OR(K805="",K805&gt;TODAY())),"Nog betalen",IF(OR(R805="",R805&gt;TODAY()),"Wacht op klant","Afgerond"))))</f>
        <v/>
      </c>
    </row>
    <row r="806">
      <c r="A806" s="45" t="n"/>
      <c r="B806" s="46">
        <f>IF(A806="","",YEAR(A806)&amp;" Q"&amp;ROUNDUP(MONTH(A806)/3,0))</f>
        <v/>
      </c>
      <c r="C806" s="47" t="n"/>
      <c r="D806" s="47" t="n"/>
      <c r="E806" s="47" t="n"/>
      <c r="F806" s="47" t="n"/>
      <c r="G806" s="48" t="n"/>
      <c r="H806" s="49" t="n"/>
      <c r="I806" s="50">
        <f>IF(G806="","",ROUND(G806*H806,2))</f>
        <v/>
      </c>
      <c r="J806" s="50">
        <f>IF(G806="","",G806+N(I806))</f>
        <v/>
      </c>
      <c r="K806" s="45" t="n"/>
      <c r="L806" s="47" t="n"/>
      <c r="M806" s="48" t="n"/>
      <c r="N806" s="49" t="n"/>
      <c r="O806" s="50">
        <f>IF(M806="","",ROUND(M806*N806,2))</f>
        <v/>
      </c>
      <c r="P806" s="50">
        <f>IF(M806="","",M806+N(O806))</f>
        <v/>
      </c>
      <c r="Q806" s="45" t="n"/>
      <c r="R806" s="45" t="n"/>
      <c r="S806" s="51">
        <f>IF(L806="","",IF(COUNTIF(L$6:L806,L806)&gt;1,"",SUMIF(L$6:L$2000,L806,M$6:M$2000)-SUMIF(L$6:L$2000,L806,G$6:G$2000)))</f>
        <v/>
      </c>
      <c r="T806" s="46">
        <f>IF(AND(C806="",G806=""),"",IF(L806="","Nog factureren",IF(AND(G806&lt;&gt;"",OR(K806="",K806&gt;TODAY())),"Nog betalen",IF(OR(R806="",R806&gt;TODAY()),"Wacht op klant","Afgerond"))))</f>
        <v/>
      </c>
    </row>
    <row r="807">
      <c r="A807" s="45" t="n"/>
      <c r="B807" s="46">
        <f>IF(A807="","",YEAR(A807)&amp;" Q"&amp;ROUNDUP(MONTH(A807)/3,0))</f>
        <v/>
      </c>
      <c r="C807" s="47" t="n"/>
      <c r="D807" s="47" t="n"/>
      <c r="E807" s="47" t="n"/>
      <c r="F807" s="47" t="n"/>
      <c r="G807" s="48" t="n"/>
      <c r="H807" s="49" t="n"/>
      <c r="I807" s="50">
        <f>IF(G807="","",ROUND(G807*H807,2))</f>
        <v/>
      </c>
      <c r="J807" s="50">
        <f>IF(G807="","",G807+N(I807))</f>
        <v/>
      </c>
      <c r="K807" s="45" t="n"/>
      <c r="L807" s="47" t="n"/>
      <c r="M807" s="48" t="n"/>
      <c r="N807" s="49" t="n"/>
      <c r="O807" s="50">
        <f>IF(M807="","",ROUND(M807*N807,2))</f>
        <v/>
      </c>
      <c r="P807" s="50">
        <f>IF(M807="","",M807+N(O807))</f>
        <v/>
      </c>
      <c r="Q807" s="45" t="n"/>
      <c r="R807" s="45" t="n"/>
      <c r="S807" s="51">
        <f>IF(L807="","",IF(COUNTIF(L$6:L807,L807)&gt;1,"",SUMIF(L$6:L$2000,L807,M$6:M$2000)-SUMIF(L$6:L$2000,L807,G$6:G$2000)))</f>
        <v/>
      </c>
      <c r="T807" s="46">
        <f>IF(AND(C807="",G807=""),"",IF(L807="","Nog factureren",IF(AND(G807&lt;&gt;"",OR(K807="",K807&gt;TODAY())),"Nog betalen",IF(OR(R807="",R807&gt;TODAY()),"Wacht op klant","Afgerond"))))</f>
        <v/>
      </c>
    </row>
    <row r="808">
      <c r="A808" s="45" t="n"/>
      <c r="B808" s="46">
        <f>IF(A808="","",YEAR(A808)&amp;" Q"&amp;ROUNDUP(MONTH(A808)/3,0))</f>
        <v/>
      </c>
      <c r="C808" s="47" t="n"/>
      <c r="D808" s="47" t="n"/>
      <c r="E808" s="47" t="n"/>
      <c r="F808" s="47" t="n"/>
      <c r="G808" s="48" t="n"/>
      <c r="H808" s="49" t="n"/>
      <c r="I808" s="50">
        <f>IF(G808="","",ROUND(G808*H808,2))</f>
        <v/>
      </c>
      <c r="J808" s="50">
        <f>IF(G808="","",G808+N(I808))</f>
        <v/>
      </c>
      <c r="K808" s="45" t="n"/>
      <c r="L808" s="47" t="n"/>
      <c r="M808" s="48" t="n"/>
      <c r="N808" s="49" t="n"/>
      <c r="O808" s="50">
        <f>IF(M808="","",ROUND(M808*N808,2))</f>
        <v/>
      </c>
      <c r="P808" s="50">
        <f>IF(M808="","",M808+N(O808))</f>
        <v/>
      </c>
      <c r="Q808" s="45" t="n"/>
      <c r="R808" s="45" t="n"/>
      <c r="S808" s="51">
        <f>IF(L808="","",IF(COUNTIF(L$6:L808,L808)&gt;1,"",SUMIF(L$6:L$2000,L808,M$6:M$2000)-SUMIF(L$6:L$2000,L808,G$6:G$2000)))</f>
        <v/>
      </c>
      <c r="T808" s="46">
        <f>IF(AND(C808="",G808=""),"",IF(L808="","Nog factureren",IF(AND(G808&lt;&gt;"",OR(K808="",K808&gt;TODAY())),"Nog betalen",IF(OR(R808="",R808&gt;TODAY()),"Wacht op klant","Afgerond"))))</f>
        <v/>
      </c>
    </row>
    <row r="809">
      <c r="A809" s="45" t="n"/>
      <c r="B809" s="46">
        <f>IF(A809="","",YEAR(A809)&amp;" Q"&amp;ROUNDUP(MONTH(A809)/3,0))</f>
        <v/>
      </c>
      <c r="C809" s="47" t="n"/>
      <c r="D809" s="47" t="n"/>
      <c r="E809" s="47" t="n"/>
      <c r="F809" s="47" t="n"/>
      <c r="G809" s="48" t="n"/>
      <c r="H809" s="49" t="n"/>
      <c r="I809" s="50">
        <f>IF(G809="","",ROUND(G809*H809,2))</f>
        <v/>
      </c>
      <c r="J809" s="50">
        <f>IF(G809="","",G809+N(I809))</f>
        <v/>
      </c>
      <c r="K809" s="45" t="n"/>
      <c r="L809" s="47" t="n"/>
      <c r="M809" s="48" t="n"/>
      <c r="N809" s="49" t="n"/>
      <c r="O809" s="50">
        <f>IF(M809="","",ROUND(M809*N809,2))</f>
        <v/>
      </c>
      <c r="P809" s="50">
        <f>IF(M809="","",M809+N(O809))</f>
        <v/>
      </c>
      <c r="Q809" s="45" t="n"/>
      <c r="R809" s="45" t="n"/>
      <c r="S809" s="51">
        <f>IF(L809="","",IF(COUNTIF(L$6:L809,L809)&gt;1,"",SUMIF(L$6:L$2000,L809,M$6:M$2000)-SUMIF(L$6:L$2000,L809,G$6:G$2000)))</f>
        <v/>
      </c>
      <c r="T809" s="46">
        <f>IF(AND(C809="",G809=""),"",IF(L809="","Nog factureren",IF(AND(G809&lt;&gt;"",OR(K809="",K809&gt;TODAY())),"Nog betalen",IF(OR(R809="",R809&gt;TODAY()),"Wacht op klant","Afgerond"))))</f>
        <v/>
      </c>
    </row>
    <row r="810">
      <c r="A810" s="45" t="n"/>
      <c r="B810" s="46">
        <f>IF(A810="","",YEAR(A810)&amp;" Q"&amp;ROUNDUP(MONTH(A810)/3,0))</f>
        <v/>
      </c>
      <c r="C810" s="47" t="n"/>
      <c r="D810" s="47" t="n"/>
      <c r="E810" s="47" t="n"/>
      <c r="F810" s="47" t="n"/>
      <c r="G810" s="48" t="n"/>
      <c r="H810" s="49" t="n"/>
      <c r="I810" s="50">
        <f>IF(G810="","",ROUND(G810*H810,2))</f>
        <v/>
      </c>
      <c r="J810" s="50">
        <f>IF(G810="","",G810+N(I810))</f>
        <v/>
      </c>
      <c r="K810" s="45" t="n"/>
      <c r="L810" s="47" t="n"/>
      <c r="M810" s="48" t="n"/>
      <c r="N810" s="49" t="n"/>
      <c r="O810" s="50">
        <f>IF(M810="","",ROUND(M810*N810,2))</f>
        <v/>
      </c>
      <c r="P810" s="50">
        <f>IF(M810="","",M810+N(O810))</f>
        <v/>
      </c>
      <c r="Q810" s="45" t="n"/>
      <c r="R810" s="45" t="n"/>
      <c r="S810" s="51">
        <f>IF(L810="","",IF(COUNTIF(L$6:L810,L810)&gt;1,"",SUMIF(L$6:L$2000,L810,M$6:M$2000)-SUMIF(L$6:L$2000,L810,G$6:G$2000)))</f>
        <v/>
      </c>
      <c r="T810" s="46">
        <f>IF(AND(C810="",G810=""),"",IF(L810="","Nog factureren",IF(AND(G810&lt;&gt;"",OR(K810="",K810&gt;TODAY())),"Nog betalen",IF(OR(R810="",R810&gt;TODAY()),"Wacht op klant","Afgerond"))))</f>
        <v/>
      </c>
    </row>
    <row r="811">
      <c r="A811" s="45" t="n"/>
      <c r="B811" s="46">
        <f>IF(A811="","",YEAR(A811)&amp;" Q"&amp;ROUNDUP(MONTH(A811)/3,0))</f>
        <v/>
      </c>
      <c r="C811" s="47" t="n"/>
      <c r="D811" s="47" t="n"/>
      <c r="E811" s="47" t="n"/>
      <c r="F811" s="47" t="n"/>
      <c r="G811" s="48" t="n"/>
      <c r="H811" s="49" t="n"/>
      <c r="I811" s="50">
        <f>IF(G811="","",ROUND(G811*H811,2))</f>
        <v/>
      </c>
      <c r="J811" s="50">
        <f>IF(G811="","",G811+N(I811))</f>
        <v/>
      </c>
      <c r="K811" s="45" t="n"/>
      <c r="L811" s="47" t="n"/>
      <c r="M811" s="48" t="n"/>
      <c r="N811" s="49" t="n"/>
      <c r="O811" s="50">
        <f>IF(M811="","",ROUND(M811*N811,2))</f>
        <v/>
      </c>
      <c r="P811" s="50">
        <f>IF(M811="","",M811+N(O811))</f>
        <v/>
      </c>
      <c r="Q811" s="45" t="n"/>
      <c r="R811" s="45" t="n"/>
      <c r="S811" s="51">
        <f>IF(L811="","",IF(COUNTIF(L$6:L811,L811)&gt;1,"",SUMIF(L$6:L$2000,L811,M$6:M$2000)-SUMIF(L$6:L$2000,L811,G$6:G$2000)))</f>
        <v/>
      </c>
      <c r="T811" s="46">
        <f>IF(AND(C811="",G811=""),"",IF(L811="","Nog factureren",IF(AND(G811&lt;&gt;"",OR(K811="",K811&gt;TODAY())),"Nog betalen",IF(OR(R811="",R811&gt;TODAY()),"Wacht op klant","Afgerond"))))</f>
        <v/>
      </c>
    </row>
    <row r="812">
      <c r="A812" s="45" t="n"/>
      <c r="B812" s="46">
        <f>IF(A812="","",YEAR(A812)&amp;" Q"&amp;ROUNDUP(MONTH(A812)/3,0))</f>
        <v/>
      </c>
      <c r="C812" s="47" t="n"/>
      <c r="D812" s="47" t="n"/>
      <c r="E812" s="47" t="n"/>
      <c r="F812" s="47" t="n"/>
      <c r="G812" s="48" t="n"/>
      <c r="H812" s="49" t="n"/>
      <c r="I812" s="50">
        <f>IF(G812="","",ROUND(G812*H812,2))</f>
        <v/>
      </c>
      <c r="J812" s="50">
        <f>IF(G812="","",G812+N(I812))</f>
        <v/>
      </c>
      <c r="K812" s="45" t="n"/>
      <c r="L812" s="47" t="n"/>
      <c r="M812" s="48" t="n"/>
      <c r="N812" s="49" t="n"/>
      <c r="O812" s="50">
        <f>IF(M812="","",ROUND(M812*N812,2))</f>
        <v/>
      </c>
      <c r="P812" s="50">
        <f>IF(M812="","",M812+N(O812))</f>
        <v/>
      </c>
      <c r="Q812" s="45" t="n"/>
      <c r="R812" s="45" t="n"/>
      <c r="S812" s="51">
        <f>IF(L812="","",IF(COUNTIF(L$6:L812,L812)&gt;1,"",SUMIF(L$6:L$2000,L812,M$6:M$2000)-SUMIF(L$6:L$2000,L812,G$6:G$2000)))</f>
        <v/>
      </c>
      <c r="T812" s="46">
        <f>IF(AND(C812="",G812=""),"",IF(L812="","Nog factureren",IF(AND(G812&lt;&gt;"",OR(K812="",K812&gt;TODAY())),"Nog betalen",IF(OR(R812="",R812&gt;TODAY()),"Wacht op klant","Afgerond"))))</f>
        <v/>
      </c>
    </row>
    <row r="813">
      <c r="A813" s="45" t="n"/>
      <c r="B813" s="46">
        <f>IF(A813="","",YEAR(A813)&amp;" Q"&amp;ROUNDUP(MONTH(A813)/3,0))</f>
        <v/>
      </c>
      <c r="C813" s="47" t="n"/>
      <c r="D813" s="47" t="n"/>
      <c r="E813" s="47" t="n"/>
      <c r="F813" s="47" t="n"/>
      <c r="G813" s="48" t="n"/>
      <c r="H813" s="49" t="n"/>
      <c r="I813" s="50">
        <f>IF(G813="","",ROUND(G813*H813,2))</f>
        <v/>
      </c>
      <c r="J813" s="50">
        <f>IF(G813="","",G813+N(I813))</f>
        <v/>
      </c>
      <c r="K813" s="45" t="n"/>
      <c r="L813" s="47" t="n"/>
      <c r="M813" s="48" t="n"/>
      <c r="N813" s="49" t="n"/>
      <c r="O813" s="50">
        <f>IF(M813="","",ROUND(M813*N813,2))</f>
        <v/>
      </c>
      <c r="P813" s="50">
        <f>IF(M813="","",M813+N(O813))</f>
        <v/>
      </c>
      <c r="Q813" s="45" t="n"/>
      <c r="R813" s="45" t="n"/>
      <c r="S813" s="51">
        <f>IF(L813="","",IF(COUNTIF(L$6:L813,L813)&gt;1,"",SUMIF(L$6:L$2000,L813,M$6:M$2000)-SUMIF(L$6:L$2000,L813,G$6:G$2000)))</f>
        <v/>
      </c>
      <c r="T813" s="46">
        <f>IF(AND(C813="",G813=""),"",IF(L813="","Nog factureren",IF(AND(G813&lt;&gt;"",OR(K813="",K813&gt;TODAY())),"Nog betalen",IF(OR(R813="",R813&gt;TODAY()),"Wacht op klant","Afgerond"))))</f>
        <v/>
      </c>
    </row>
    <row r="814">
      <c r="A814" s="45" t="n"/>
      <c r="B814" s="46">
        <f>IF(A814="","",YEAR(A814)&amp;" Q"&amp;ROUNDUP(MONTH(A814)/3,0))</f>
        <v/>
      </c>
      <c r="C814" s="47" t="n"/>
      <c r="D814" s="47" t="n"/>
      <c r="E814" s="47" t="n"/>
      <c r="F814" s="47" t="n"/>
      <c r="G814" s="48" t="n"/>
      <c r="H814" s="49" t="n"/>
      <c r="I814" s="50">
        <f>IF(G814="","",ROUND(G814*H814,2))</f>
        <v/>
      </c>
      <c r="J814" s="50">
        <f>IF(G814="","",G814+N(I814))</f>
        <v/>
      </c>
      <c r="K814" s="45" t="n"/>
      <c r="L814" s="47" t="n"/>
      <c r="M814" s="48" t="n"/>
      <c r="N814" s="49" t="n"/>
      <c r="O814" s="50">
        <f>IF(M814="","",ROUND(M814*N814,2))</f>
        <v/>
      </c>
      <c r="P814" s="50">
        <f>IF(M814="","",M814+N(O814))</f>
        <v/>
      </c>
      <c r="Q814" s="45" t="n"/>
      <c r="R814" s="45" t="n"/>
      <c r="S814" s="51">
        <f>IF(L814="","",IF(COUNTIF(L$6:L814,L814)&gt;1,"",SUMIF(L$6:L$2000,L814,M$6:M$2000)-SUMIF(L$6:L$2000,L814,G$6:G$2000)))</f>
        <v/>
      </c>
      <c r="T814" s="46">
        <f>IF(AND(C814="",G814=""),"",IF(L814="","Nog factureren",IF(AND(G814&lt;&gt;"",OR(K814="",K814&gt;TODAY())),"Nog betalen",IF(OR(R814="",R814&gt;TODAY()),"Wacht op klant","Afgerond"))))</f>
        <v/>
      </c>
    </row>
    <row r="815">
      <c r="A815" s="45" t="n"/>
      <c r="B815" s="46">
        <f>IF(A815="","",YEAR(A815)&amp;" Q"&amp;ROUNDUP(MONTH(A815)/3,0))</f>
        <v/>
      </c>
      <c r="C815" s="47" t="n"/>
      <c r="D815" s="47" t="n"/>
      <c r="E815" s="47" t="n"/>
      <c r="F815" s="47" t="n"/>
      <c r="G815" s="48" t="n"/>
      <c r="H815" s="49" t="n"/>
      <c r="I815" s="50">
        <f>IF(G815="","",ROUND(G815*H815,2))</f>
        <v/>
      </c>
      <c r="J815" s="50">
        <f>IF(G815="","",G815+N(I815))</f>
        <v/>
      </c>
      <c r="K815" s="45" t="n"/>
      <c r="L815" s="47" t="n"/>
      <c r="M815" s="48" t="n"/>
      <c r="N815" s="49" t="n"/>
      <c r="O815" s="50">
        <f>IF(M815="","",ROUND(M815*N815,2))</f>
        <v/>
      </c>
      <c r="P815" s="50">
        <f>IF(M815="","",M815+N(O815))</f>
        <v/>
      </c>
      <c r="Q815" s="45" t="n"/>
      <c r="R815" s="45" t="n"/>
      <c r="S815" s="51">
        <f>IF(L815="","",IF(COUNTIF(L$6:L815,L815)&gt;1,"",SUMIF(L$6:L$2000,L815,M$6:M$2000)-SUMIF(L$6:L$2000,L815,G$6:G$2000)))</f>
        <v/>
      </c>
      <c r="T815" s="46">
        <f>IF(AND(C815="",G815=""),"",IF(L815="","Nog factureren",IF(AND(G815&lt;&gt;"",OR(K815="",K815&gt;TODAY())),"Nog betalen",IF(OR(R815="",R815&gt;TODAY()),"Wacht op klant","Afgerond"))))</f>
        <v/>
      </c>
    </row>
    <row r="816">
      <c r="A816" s="45" t="n"/>
      <c r="B816" s="46">
        <f>IF(A816="","",YEAR(A816)&amp;" Q"&amp;ROUNDUP(MONTH(A816)/3,0))</f>
        <v/>
      </c>
      <c r="C816" s="47" t="n"/>
      <c r="D816" s="47" t="n"/>
      <c r="E816" s="47" t="n"/>
      <c r="F816" s="47" t="n"/>
      <c r="G816" s="48" t="n"/>
      <c r="H816" s="49" t="n"/>
      <c r="I816" s="50">
        <f>IF(G816="","",ROUND(G816*H816,2))</f>
        <v/>
      </c>
      <c r="J816" s="50">
        <f>IF(G816="","",G816+N(I816))</f>
        <v/>
      </c>
      <c r="K816" s="45" t="n"/>
      <c r="L816" s="47" t="n"/>
      <c r="M816" s="48" t="n"/>
      <c r="N816" s="49" t="n"/>
      <c r="O816" s="50">
        <f>IF(M816="","",ROUND(M816*N816,2))</f>
        <v/>
      </c>
      <c r="P816" s="50">
        <f>IF(M816="","",M816+N(O816))</f>
        <v/>
      </c>
      <c r="Q816" s="45" t="n"/>
      <c r="R816" s="45" t="n"/>
      <c r="S816" s="51">
        <f>IF(L816="","",IF(COUNTIF(L$6:L816,L816)&gt;1,"",SUMIF(L$6:L$2000,L816,M$6:M$2000)-SUMIF(L$6:L$2000,L816,G$6:G$2000)))</f>
        <v/>
      </c>
      <c r="T816" s="46">
        <f>IF(AND(C816="",G816=""),"",IF(L816="","Nog factureren",IF(AND(G816&lt;&gt;"",OR(K816="",K816&gt;TODAY())),"Nog betalen",IF(OR(R816="",R816&gt;TODAY()),"Wacht op klant","Afgerond"))))</f>
        <v/>
      </c>
    </row>
    <row r="817">
      <c r="A817" s="45" t="n"/>
      <c r="B817" s="46">
        <f>IF(A817="","",YEAR(A817)&amp;" Q"&amp;ROUNDUP(MONTH(A817)/3,0))</f>
        <v/>
      </c>
      <c r="C817" s="47" t="n"/>
      <c r="D817" s="47" t="n"/>
      <c r="E817" s="47" t="n"/>
      <c r="F817" s="47" t="n"/>
      <c r="G817" s="48" t="n"/>
      <c r="H817" s="49" t="n"/>
      <c r="I817" s="50">
        <f>IF(G817="","",ROUND(G817*H817,2))</f>
        <v/>
      </c>
      <c r="J817" s="50">
        <f>IF(G817="","",G817+N(I817))</f>
        <v/>
      </c>
      <c r="K817" s="45" t="n"/>
      <c r="L817" s="47" t="n"/>
      <c r="M817" s="48" t="n"/>
      <c r="N817" s="49" t="n"/>
      <c r="O817" s="50">
        <f>IF(M817="","",ROUND(M817*N817,2))</f>
        <v/>
      </c>
      <c r="P817" s="50">
        <f>IF(M817="","",M817+N(O817))</f>
        <v/>
      </c>
      <c r="Q817" s="45" t="n"/>
      <c r="R817" s="45" t="n"/>
      <c r="S817" s="51">
        <f>IF(L817="","",IF(COUNTIF(L$6:L817,L817)&gt;1,"",SUMIF(L$6:L$2000,L817,M$6:M$2000)-SUMIF(L$6:L$2000,L817,G$6:G$2000)))</f>
        <v/>
      </c>
      <c r="T817" s="46">
        <f>IF(AND(C817="",G817=""),"",IF(L817="","Nog factureren",IF(AND(G817&lt;&gt;"",OR(K817="",K817&gt;TODAY())),"Nog betalen",IF(OR(R817="",R817&gt;TODAY()),"Wacht op klant","Afgerond"))))</f>
        <v/>
      </c>
    </row>
    <row r="818">
      <c r="A818" s="45" t="n"/>
      <c r="B818" s="46">
        <f>IF(A818="","",YEAR(A818)&amp;" Q"&amp;ROUNDUP(MONTH(A818)/3,0))</f>
        <v/>
      </c>
      <c r="C818" s="47" t="n"/>
      <c r="D818" s="47" t="n"/>
      <c r="E818" s="47" t="n"/>
      <c r="F818" s="47" t="n"/>
      <c r="G818" s="48" t="n"/>
      <c r="H818" s="49" t="n"/>
      <c r="I818" s="50">
        <f>IF(G818="","",ROUND(G818*H818,2))</f>
        <v/>
      </c>
      <c r="J818" s="50">
        <f>IF(G818="","",G818+N(I818))</f>
        <v/>
      </c>
      <c r="K818" s="45" t="n"/>
      <c r="L818" s="47" t="n"/>
      <c r="M818" s="48" t="n"/>
      <c r="N818" s="49" t="n"/>
      <c r="O818" s="50">
        <f>IF(M818="","",ROUND(M818*N818,2))</f>
        <v/>
      </c>
      <c r="P818" s="50">
        <f>IF(M818="","",M818+N(O818))</f>
        <v/>
      </c>
      <c r="Q818" s="45" t="n"/>
      <c r="R818" s="45" t="n"/>
      <c r="S818" s="51">
        <f>IF(L818="","",IF(COUNTIF(L$6:L818,L818)&gt;1,"",SUMIF(L$6:L$2000,L818,M$6:M$2000)-SUMIF(L$6:L$2000,L818,G$6:G$2000)))</f>
        <v/>
      </c>
      <c r="T818" s="46">
        <f>IF(AND(C818="",G818=""),"",IF(L818="","Nog factureren",IF(AND(G818&lt;&gt;"",OR(K818="",K818&gt;TODAY())),"Nog betalen",IF(OR(R818="",R818&gt;TODAY()),"Wacht op klant","Afgerond"))))</f>
        <v/>
      </c>
    </row>
    <row r="819">
      <c r="A819" s="45" t="n"/>
      <c r="B819" s="46">
        <f>IF(A819="","",YEAR(A819)&amp;" Q"&amp;ROUNDUP(MONTH(A819)/3,0))</f>
        <v/>
      </c>
      <c r="C819" s="47" t="n"/>
      <c r="D819" s="47" t="n"/>
      <c r="E819" s="47" t="n"/>
      <c r="F819" s="47" t="n"/>
      <c r="G819" s="48" t="n"/>
      <c r="H819" s="49" t="n"/>
      <c r="I819" s="50">
        <f>IF(G819="","",ROUND(G819*H819,2))</f>
        <v/>
      </c>
      <c r="J819" s="50">
        <f>IF(G819="","",G819+N(I819))</f>
        <v/>
      </c>
      <c r="K819" s="45" t="n"/>
      <c r="L819" s="47" t="n"/>
      <c r="M819" s="48" t="n"/>
      <c r="N819" s="49" t="n"/>
      <c r="O819" s="50">
        <f>IF(M819="","",ROUND(M819*N819,2))</f>
        <v/>
      </c>
      <c r="P819" s="50">
        <f>IF(M819="","",M819+N(O819))</f>
        <v/>
      </c>
      <c r="Q819" s="45" t="n"/>
      <c r="R819" s="45" t="n"/>
      <c r="S819" s="51">
        <f>IF(L819="","",IF(COUNTIF(L$6:L819,L819)&gt;1,"",SUMIF(L$6:L$2000,L819,M$6:M$2000)-SUMIF(L$6:L$2000,L819,G$6:G$2000)))</f>
        <v/>
      </c>
      <c r="T819" s="46">
        <f>IF(AND(C819="",G819=""),"",IF(L819="","Nog factureren",IF(AND(G819&lt;&gt;"",OR(K819="",K819&gt;TODAY())),"Nog betalen",IF(OR(R819="",R819&gt;TODAY()),"Wacht op klant","Afgerond"))))</f>
        <v/>
      </c>
    </row>
    <row r="820">
      <c r="A820" s="45" t="n"/>
      <c r="B820" s="46">
        <f>IF(A820="","",YEAR(A820)&amp;" Q"&amp;ROUNDUP(MONTH(A820)/3,0))</f>
        <v/>
      </c>
      <c r="C820" s="47" t="n"/>
      <c r="D820" s="47" t="n"/>
      <c r="E820" s="47" t="n"/>
      <c r="F820" s="47" t="n"/>
      <c r="G820" s="48" t="n"/>
      <c r="H820" s="49" t="n"/>
      <c r="I820" s="50">
        <f>IF(G820="","",ROUND(G820*H820,2))</f>
        <v/>
      </c>
      <c r="J820" s="50">
        <f>IF(G820="","",G820+N(I820))</f>
        <v/>
      </c>
      <c r="K820" s="45" t="n"/>
      <c r="L820" s="47" t="n"/>
      <c r="M820" s="48" t="n"/>
      <c r="N820" s="49" t="n"/>
      <c r="O820" s="50">
        <f>IF(M820="","",ROUND(M820*N820,2))</f>
        <v/>
      </c>
      <c r="P820" s="50">
        <f>IF(M820="","",M820+N(O820))</f>
        <v/>
      </c>
      <c r="Q820" s="45" t="n"/>
      <c r="R820" s="45" t="n"/>
      <c r="S820" s="51">
        <f>IF(L820="","",IF(COUNTIF(L$6:L820,L820)&gt;1,"",SUMIF(L$6:L$2000,L820,M$6:M$2000)-SUMIF(L$6:L$2000,L820,G$6:G$2000)))</f>
        <v/>
      </c>
      <c r="T820" s="46">
        <f>IF(AND(C820="",G820=""),"",IF(L820="","Nog factureren",IF(AND(G820&lt;&gt;"",OR(K820="",K820&gt;TODAY())),"Nog betalen",IF(OR(R820="",R820&gt;TODAY()),"Wacht op klant","Afgerond"))))</f>
        <v/>
      </c>
    </row>
    <row r="821">
      <c r="A821" s="45" t="n"/>
      <c r="B821" s="46">
        <f>IF(A821="","",YEAR(A821)&amp;" Q"&amp;ROUNDUP(MONTH(A821)/3,0))</f>
        <v/>
      </c>
      <c r="C821" s="47" t="n"/>
      <c r="D821" s="47" t="n"/>
      <c r="E821" s="47" t="n"/>
      <c r="F821" s="47" t="n"/>
      <c r="G821" s="48" t="n"/>
      <c r="H821" s="49" t="n"/>
      <c r="I821" s="50">
        <f>IF(G821="","",ROUND(G821*H821,2))</f>
        <v/>
      </c>
      <c r="J821" s="50">
        <f>IF(G821="","",G821+N(I821))</f>
        <v/>
      </c>
      <c r="K821" s="45" t="n"/>
      <c r="L821" s="47" t="n"/>
      <c r="M821" s="48" t="n"/>
      <c r="N821" s="49" t="n"/>
      <c r="O821" s="50">
        <f>IF(M821="","",ROUND(M821*N821,2))</f>
        <v/>
      </c>
      <c r="P821" s="50">
        <f>IF(M821="","",M821+N(O821))</f>
        <v/>
      </c>
      <c r="Q821" s="45" t="n"/>
      <c r="R821" s="45" t="n"/>
      <c r="S821" s="51">
        <f>IF(L821="","",IF(COUNTIF(L$6:L821,L821)&gt;1,"",SUMIF(L$6:L$2000,L821,M$6:M$2000)-SUMIF(L$6:L$2000,L821,G$6:G$2000)))</f>
        <v/>
      </c>
      <c r="T821" s="46">
        <f>IF(AND(C821="",G821=""),"",IF(L821="","Nog factureren",IF(AND(G821&lt;&gt;"",OR(K821="",K821&gt;TODAY())),"Nog betalen",IF(OR(R821="",R821&gt;TODAY()),"Wacht op klant","Afgerond"))))</f>
        <v/>
      </c>
    </row>
    <row r="822">
      <c r="A822" s="45" t="n"/>
      <c r="B822" s="46">
        <f>IF(A822="","",YEAR(A822)&amp;" Q"&amp;ROUNDUP(MONTH(A822)/3,0))</f>
        <v/>
      </c>
      <c r="C822" s="47" t="n"/>
      <c r="D822" s="47" t="n"/>
      <c r="E822" s="47" t="n"/>
      <c r="F822" s="47" t="n"/>
      <c r="G822" s="48" t="n"/>
      <c r="H822" s="49" t="n"/>
      <c r="I822" s="50">
        <f>IF(G822="","",ROUND(G822*H822,2))</f>
        <v/>
      </c>
      <c r="J822" s="50">
        <f>IF(G822="","",G822+N(I822))</f>
        <v/>
      </c>
      <c r="K822" s="45" t="n"/>
      <c r="L822" s="47" t="n"/>
      <c r="M822" s="48" t="n"/>
      <c r="N822" s="49" t="n"/>
      <c r="O822" s="50">
        <f>IF(M822="","",ROUND(M822*N822,2))</f>
        <v/>
      </c>
      <c r="P822" s="50">
        <f>IF(M822="","",M822+N(O822))</f>
        <v/>
      </c>
      <c r="Q822" s="45" t="n"/>
      <c r="R822" s="45" t="n"/>
      <c r="S822" s="51">
        <f>IF(L822="","",IF(COUNTIF(L$6:L822,L822)&gt;1,"",SUMIF(L$6:L$2000,L822,M$6:M$2000)-SUMIF(L$6:L$2000,L822,G$6:G$2000)))</f>
        <v/>
      </c>
      <c r="T822" s="46">
        <f>IF(AND(C822="",G822=""),"",IF(L822="","Nog factureren",IF(AND(G822&lt;&gt;"",OR(K822="",K822&gt;TODAY())),"Nog betalen",IF(OR(R822="",R822&gt;TODAY()),"Wacht op klant","Afgerond"))))</f>
        <v/>
      </c>
    </row>
    <row r="823">
      <c r="A823" s="45" t="n"/>
      <c r="B823" s="46">
        <f>IF(A823="","",YEAR(A823)&amp;" Q"&amp;ROUNDUP(MONTH(A823)/3,0))</f>
        <v/>
      </c>
      <c r="C823" s="47" t="n"/>
      <c r="D823" s="47" t="n"/>
      <c r="E823" s="47" t="n"/>
      <c r="F823" s="47" t="n"/>
      <c r="G823" s="48" t="n"/>
      <c r="H823" s="49" t="n"/>
      <c r="I823" s="50">
        <f>IF(G823="","",ROUND(G823*H823,2))</f>
        <v/>
      </c>
      <c r="J823" s="50">
        <f>IF(G823="","",G823+N(I823))</f>
        <v/>
      </c>
      <c r="K823" s="45" t="n"/>
      <c r="L823" s="47" t="n"/>
      <c r="M823" s="48" t="n"/>
      <c r="N823" s="49" t="n"/>
      <c r="O823" s="50">
        <f>IF(M823="","",ROUND(M823*N823,2))</f>
        <v/>
      </c>
      <c r="P823" s="50">
        <f>IF(M823="","",M823+N(O823))</f>
        <v/>
      </c>
      <c r="Q823" s="45" t="n"/>
      <c r="R823" s="45" t="n"/>
      <c r="S823" s="51">
        <f>IF(L823="","",IF(COUNTIF(L$6:L823,L823)&gt;1,"",SUMIF(L$6:L$2000,L823,M$6:M$2000)-SUMIF(L$6:L$2000,L823,G$6:G$2000)))</f>
        <v/>
      </c>
      <c r="T823" s="46">
        <f>IF(AND(C823="",G823=""),"",IF(L823="","Nog factureren",IF(AND(G823&lt;&gt;"",OR(K823="",K823&gt;TODAY())),"Nog betalen",IF(OR(R823="",R823&gt;TODAY()),"Wacht op klant","Afgerond"))))</f>
        <v/>
      </c>
    </row>
    <row r="824">
      <c r="A824" s="45" t="n"/>
      <c r="B824" s="46">
        <f>IF(A824="","",YEAR(A824)&amp;" Q"&amp;ROUNDUP(MONTH(A824)/3,0))</f>
        <v/>
      </c>
      <c r="C824" s="47" t="n"/>
      <c r="D824" s="47" t="n"/>
      <c r="E824" s="47" t="n"/>
      <c r="F824" s="47" t="n"/>
      <c r="G824" s="48" t="n"/>
      <c r="H824" s="49" t="n"/>
      <c r="I824" s="50">
        <f>IF(G824="","",ROUND(G824*H824,2))</f>
        <v/>
      </c>
      <c r="J824" s="50">
        <f>IF(G824="","",G824+N(I824))</f>
        <v/>
      </c>
      <c r="K824" s="45" t="n"/>
      <c r="L824" s="47" t="n"/>
      <c r="M824" s="48" t="n"/>
      <c r="N824" s="49" t="n"/>
      <c r="O824" s="50">
        <f>IF(M824="","",ROUND(M824*N824,2))</f>
        <v/>
      </c>
      <c r="P824" s="50">
        <f>IF(M824="","",M824+N(O824))</f>
        <v/>
      </c>
      <c r="Q824" s="45" t="n"/>
      <c r="R824" s="45" t="n"/>
      <c r="S824" s="51">
        <f>IF(L824="","",IF(COUNTIF(L$6:L824,L824)&gt;1,"",SUMIF(L$6:L$2000,L824,M$6:M$2000)-SUMIF(L$6:L$2000,L824,G$6:G$2000)))</f>
        <v/>
      </c>
      <c r="T824" s="46">
        <f>IF(AND(C824="",G824=""),"",IF(L824="","Nog factureren",IF(AND(G824&lt;&gt;"",OR(K824="",K824&gt;TODAY())),"Nog betalen",IF(OR(R824="",R824&gt;TODAY()),"Wacht op klant","Afgerond"))))</f>
        <v/>
      </c>
    </row>
    <row r="825">
      <c r="A825" s="45" t="n"/>
      <c r="B825" s="46">
        <f>IF(A825="","",YEAR(A825)&amp;" Q"&amp;ROUNDUP(MONTH(A825)/3,0))</f>
        <v/>
      </c>
      <c r="C825" s="47" t="n"/>
      <c r="D825" s="47" t="n"/>
      <c r="E825" s="47" t="n"/>
      <c r="F825" s="47" t="n"/>
      <c r="G825" s="48" t="n"/>
      <c r="H825" s="49" t="n"/>
      <c r="I825" s="50">
        <f>IF(G825="","",ROUND(G825*H825,2))</f>
        <v/>
      </c>
      <c r="J825" s="50">
        <f>IF(G825="","",G825+N(I825))</f>
        <v/>
      </c>
      <c r="K825" s="45" t="n"/>
      <c r="L825" s="47" t="n"/>
      <c r="M825" s="48" t="n"/>
      <c r="N825" s="49" t="n"/>
      <c r="O825" s="50">
        <f>IF(M825="","",ROUND(M825*N825,2))</f>
        <v/>
      </c>
      <c r="P825" s="50">
        <f>IF(M825="","",M825+N(O825))</f>
        <v/>
      </c>
      <c r="Q825" s="45" t="n"/>
      <c r="R825" s="45" t="n"/>
      <c r="S825" s="51">
        <f>IF(L825="","",IF(COUNTIF(L$6:L825,L825)&gt;1,"",SUMIF(L$6:L$2000,L825,M$6:M$2000)-SUMIF(L$6:L$2000,L825,G$6:G$2000)))</f>
        <v/>
      </c>
      <c r="T825" s="46">
        <f>IF(AND(C825="",G825=""),"",IF(L825="","Nog factureren",IF(AND(G825&lt;&gt;"",OR(K825="",K825&gt;TODAY())),"Nog betalen",IF(OR(R825="",R825&gt;TODAY()),"Wacht op klant","Afgerond"))))</f>
        <v/>
      </c>
    </row>
    <row r="826">
      <c r="A826" s="45" t="n"/>
      <c r="B826" s="46">
        <f>IF(A826="","",YEAR(A826)&amp;" Q"&amp;ROUNDUP(MONTH(A826)/3,0))</f>
        <v/>
      </c>
      <c r="C826" s="47" t="n"/>
      <c r="D826" s="47" t="n"/>
      <c r="E826" s="47" t="n"/>
      <c r="F826" s="47" t="n"/>
      <c r="G826" s="48" t="n"/>
      <c r="H826" s="49" t="n"/>
      <c r="I826" s="50">
        <f>IF(G826="","",ROUND(G826*H826,2))</f>
        <v/>
      </c>
      <c r="J826" s="50">
        <f>IF(G826="","",G826+N(I826))</f>
        <v/>
      </c>
      <c r="K826" s="45" t="n"/>
      <c r="L826" s="47" t="n"/>
      <c r="M826" s="48" t="n"/>
      <c r="N826" s="49" t="n"/>
      <c r="O826" s="50">
        <f>IF(M826="","",ROUND(M826*N826,2))</f>
        <v/>
      </c>
      <c r="P826" s="50">
        <f>IF(M826="","",M826+N(O826))</f>
        <v/>
      </c>
      <c r="Q826" s="45" t="n"/>
      <c r="R826" s="45" t="n"/>
      <c r="S826" s="51">
        <f>IF(L826="","",IF(COUNTIF(L$6:L826,L826)&gt;1,"",SUMIF(L$6:L$2000,L826,M$6:M$2000)-SUMIF(L$6:L$2000,L826,G$6:G$2000)))</f>
        <v/>
      </c>
      <c r="T826" s="46">
        <f>IF(AND(C826="",G826=""),"",IF(L826="","Nog factureren",IF(AND(G826&lt;&gt;"",OR(K826="",K826&gt;TODAY())),"Nog betalen",IF(OR(R826="",R826&gt;TODAY()),"Wacht op klant","Afgerond"))))</f>
        <v/>
      </c>
    </row>
    <row r="827">
      <c r="A827" s="45" t="n"/>
      <c r="B827" s="46">
        <f>IF(A827="","",YEAR(A827)&amp;" Q"&amp;ROUNDUP(MONTH(A827)/3,0))</f>
        <v/>
      </c>
      <c r="C827" s="47" t="n"/>
      <c r="D827" s="47" t="n"/>
      <c r="E827" s="47" t="n"/>
      <c r="F827" s="47" t="n"/>
      <c r="G827" s="48" t="n"/>
      <c r="H827" s="49" t="n"/>
      <c r="I827" s="50">
        <f>IF(G827="","",ROUND(G827*H827,2))</f>
        <v/>
      </c>
      <c r="J827" s="50">
        <f>IF(G827="","",G827+N(I827))</f>
        <v/>
      </c>
      <c r="K827" s="45" t="n"/>
      <c r="L827" s="47" t="n"/>
      <c r="M827" s="48" t="n"/>
      <c r="N827" s="49" t="n"/>
      <c r="O827" s="50">
        <f>IF(M827="","",ROUND(M827*N827,2))</f>
        <v/>
      </c>
      <c r="P827" s="50">
        <f>IF(M827="","",M827+N(O827))</f>
        <v/>
      </c>
      <c r="Q827" s="45" t="n"/>
      <c r="R827" s="45" t="n"/>
      <c r="S827" s="51">
        <f>IF(L827="","",IF(COUNTIF(L$6:L827,L827)&gt;1,"",SUMIF(L$6:L$2000,L827,M$6:M$2000)-SUMIF(L$6:L$2000,L827,G$6:G$2000)))</f>
        <v/>
      </c>
      <c r="T827" s="46">
        <f>IF(AND(C827="",G827=""),"",IF(L827="","Nog factureren",IF(AND(G827&lt;&gt;"",OR(K827="",K827&gt;TODAY())),"Nog betalen",IF(OR(R827="",R827&gt;TODAY()),"Wacht op klant","Afgerond"))))</f>
        <v/>
      </c>
    </row>
    <row r="828">
      <c r="A828" s="45" t="n"/>
      <c r="B828" s="46">
        <f>IF(A828="","",YEAR(A828)&amp;" Q"&amp;ROUNDUP(MONTH(A828)/3,0))</f>
        <v/>
      </c>
      <c r="C828" s="47" t="n"/>
      <c r="D828" s="47" t="n"/>
      <c r="E828" s="47" t="n"/>
      <c r="F828" s="47" t="n"/>
      <c r="G828" s="48" t="n"/>
      <c r="H828" s="49" t="n"/>
      <c r="I828" s="50">
        <f>IF(G828="","",ROUND(G828*H828,2))</f>
        <v/>
      </c>
      <c r="J828" s="50">
        <f>IF(G828="","",G828+N(I828))</f>
        <v/>
      </c>
      <c r="K828" s="45" t="n"/>
      <c r="L828" s="47" t="n"/>
      <c r="M828" s="48" t="n"/>
      <c r="N828" s="49" t="n"/>
      <c r="O828" s="50">
        <f>IF(M828="","",ROUND(M828*N828,2))</f>
        <v/>
      </c>
      <c r="P828" s="50">
        <f>IF(M828="","",M828+N(O828))</f>
        <v/>
      </c>
      <c r="Q828" s="45" t="n"/>
      <c r="R828" s="45" t="n"/>
      <c r="S828" s="51">
        <f>IF(L828="","",IF(COUNTIF(L$6:L828,L828)&gt;1,"",SUMIF(L$6:L$2000,L828,M$6:M$2000)-SUMIF(L$6:L$2000,L828,G$6:G$2000)))</f>
        <v/>
      </c>
      <c r="T828" s="46">
        <f>IF(AND(C828="",G828=""),"",IF(L828="","Nog factureren",IF(AND(G828&lt;&gt;"",OR(K828="",K828&gt;TODAY())),"Nog betalen",IF(OR(R828="",R828&gt;TODAY()),"Wacht op klant","Afgerond"))))</f>
        <v/>
      </c>
    </row>
    <row r="829">
      <c r="A829" s="45" t="n"/>
      <c r="B829" s="46">
        <f>IF(A829="","",YEAR(A829)&amp;" Q"&amp;ROUNDUP(MONTH(A829)/3,0))</f>
        <v/>
      </c>
      <c r="C829" s="47" t="n"/>
      <c r="D829" s="47" t="n"/>
      <c r="E829" s="47" t="n"/>
      <c r="F829" s="47" t="n"/>
      <c r="G829" s="48" t="n"/>
      <c r="H829" s="49" t="n"/>
      <c r="I829" s="50">
        <f>IF(G829="","",ROUND(G829*H829,2))</f>
        <v/>
      </c>
      <c r="J829" s="50">
        <f>IF(G829="","",G829+N(I829))</f>
        <v/>
      </c>
      <c r="K829" s="45" t="n"/>
      <c r="L829" s="47" t="n"/>
      <c r="M829" s="48" t="n"/>
      <c r="N829" s="49" t="n"/>
      <c r="O829" s="50">
        <f>IF(M829="","",ROUND(M829*N829,2))</f>
        <v/>
      </c>
      <c r="P829" s="50">
        <f>IF(M829="","",M829+N(O829))</f>
        <v/>
      </c>
      <c r="Q829" s="45" t="n"/>
      <c r="R829" s="45" t="n"/>
      <c r="S829" s="51">
        <f>IF(L829="","",IF(COUNTIF(L$6:L829,L829)&gt;1,"",SUMIF(L$6:L$2000,L829,M$6:M$2000)-SUMIF(L$6:L$2000,L829,G$6:G$2000)))</f>
        <v/>
      </c>
      <c r="T829" s="46">
        <f>IF(AND(C829="",G829=""),"",IF(L829="","Nog factureren",IF(AND(G829&lt;&gt;"",OR(K829="",K829&gt;TODAY())),"Nog betalen",IF(OR(R829="",R829&gt;TODAY()),"Wacht op klant","Afgerond"))))</f>
        <v/>
      </c>
    </row>
    <row r="830">
      <c r="A830" s="45" t="n"/>
      <c r="B830" s="46">
        <f>IF(A830="","",YEAR(A830)&amp;" Q"&amp;ROUNDUP(MONTH(A830)/3,0))</f>
        <v/>
      </c>
      <c r="C830" s="47" t="n"/>
      <c r="D830" s="47" t="n"/>
      <c r="E830" s="47" t="n"/>
      <c r="F830" s="47" t="n"/>
      <c r="G830" s="48" t="n"/>
      <c r="H830" s="49" t="n"/>
      <c r="I830" s="50">
        <f>IF(G830="","",ROUND(G830*H830,2))</f>
        <v/>
      </c>
      <c r="J830" s="50">
        <f>IF(G830="","",G830+N(I830))</f>
        <v/>
      </c>
      <c r="K830" s="45" t="n"/>
      <c r="L830" s="47" t="n"/>
      <c r="M830" s="48" t="n"/>
      <c r="N830" s="49" t="n"/>
      <c r="O830" s="50">
        <f>IF(M830="","",ROUND(M830*N830,2))</f>
        <v/>
      </c>
      <c r="P830" s="50">
        <f>IF(M830="","",M830+N(O830))</f>
        <v/>
      </c>
      <c r="Q830" s="45" t="n"/>
      <c r="R830" s="45" t="n"/>
      <c r="S830" s="51">
        <f>IF(L830="","",IF(COUNTIF(L$6:L830,L830)&gt;1,"",SUMIF(L$6:L$2000,L830,M$6:M$2000)-SUMIF(L$6:L$2000,L830,G$6:G$2000)))</f>
        <v/>
      </c>
      <c r="T830" s="46">
        <f>IF(AND(C830="",G830=""),"",IF(L830="","Nog factureren",IF(AND(G830&lt;&gt;"",OR(K830="",K830&gt;TODAY())),"Nog betalen",IF(OR(R830="",R830&gt;TODAY()),"Wacht op klant","Afgerond"))))</f>
        <v/>
      </c>
    </row>
    <row r="831">
      <c r="A831" s="45" t="n"/>
      <c r="B831" s="46">
        <f>IF(A831="","",YEAR(A831)&amp;" Q"&amp;ROUNDUP(MONTH(A831)/3,0))</f>
        <v/>
      </c>
      <c r="C831" s="47" t="n"/>
      <c r="D831" s="47" t="n"/>
      <c r="E831" s="47" t="n"/>
      <c r="F831" s="47" t="n"/>
      <c r="G831" s="48" t="n"/>
      <c r="H831" s="49" t="n"/>
      <c r="I831" s="50">
        <f>IF(G831="","",ROUND(G831*H831,2))</f>
        <v/>
      </c>
      <c r="J831" s="50">
        <f>IF(G831="","",G831+N(I831))</f>
        <v/>
      </c>
      <c r="K831" s="45" t="n"/>
      <c r="L831" s="47" t="n"/>
      <c r="M831" s="48" t="n"/>
      <c r="N831" s="49" t="n"/>
      <c r="O831" s="50">
        <f>IF(M831="","",ROUND(M831*N831,2))</f>
        <v/>
      </c>
      <c r="P831" s="50">
        <f>IF(M831="","",M831+N(O831))</f>
        <v/>
      </c>
      <c r="Q831" s="45" t="n"/>
      <c r="R831" s="45" t="n"/>
      <c r="S831" s="51">
        <f>IF(L831="","",IF(COUNTIF(L$6:L831,L831)&gt;1,"",SUMIF(L$6:L$2000,L831,M$6:M$2000)-SUMIF(L$6:L$2000,L831,G$6:G$2000)))</f>
        <v/>
      </c>
      <c r="T831" s="46">
        <f>IF(AND(C831="",G831=""),"",IF(L831="","Nog factureren",IF(AND(G831&lt;&gt;"",OR(K831="",K831&gt;TODAY())),"Nog betalen",IF(OR(R831="",R831&gt;TODAY()),"Wacht op klant","Afgerond"))))</f>
        <v/>
      </c>
    </row>
    <row r="832">
      <c r="A832" s="45" t="n"/>
      <c r="B832" s="46">
        <f>IF(A832="","",YEAR(A832)&amp;" Q"&amp;ROUNDUP(MONTH(A832)/3,0))</f>
        <v/>
      </c>
      <c r="C832" s="47" t="n"/>
      <c r="D832" s="47" t="n"/>
      <c r="E832" s="47" t="n"/>
      <c r="F832" s="47" t="n"/>
      <c r="G832" s="48" t="n"/>
      <c r="H832" s="49" t="n"/>
      <c r="I832" s="50">
        <f>IF(G832="","",ROUND(G832*H832,2))</f>
        <v/>
      </c>
      <c r="J832" s="50">
        <f>IF(G832="","",G832+N(I832))</f>
        <v/>
      </c>
      <c r="K832" s="45" t="n"/>
      <c r="L832" s="47" t="n"/>
      <c r="M832" s="48" t="n"/>
      <c r="N832" s="49" t="n"/>
      <c r="O832" s="50">
        <f>IF(M832="","",ROUND(M832*N832,2))</f>
        <v/>
      </c>
      <c r="P832" s="50">
        <f>IF(M832="","",M832+N(O832))</f>
        <v/>
      </c>
      <c r="Q832" s="45" t="n"/>
      <c r="R832" s="45" t="n"/>
      <c r="S832" s="51">
        <f>IF(L832="","",IF(COUNTIF(L$6:L832,L832)&gt;1,"",SUMIF(L$6:L$2000,L832,M$6:M$2000)-SUMIF(L$6:L$2000,L832,G$6:G$2000)))</f>
        <v/>
      </c>
      <c r="T832" s="46">
        <f>IF(AND(C832="",G832=""),"",IF(L832="","Nog factureren",IF(AND(G832&lt;&gt;"",OR(K832="",K832&gt;TODAY())),"Nog betalen",IF(OR(R832="",R832&gt;TODAY()),"Wacht op klant","Afgerond"))))</f>
        <v/>
      </c>
    </row>
    <row r="833">
      <c r="A833" s="45" t="n"/>
      <c r="B833" s="46">
        <f>IF(A833="","",YEAR(A833)&amp;" Q"&amp;ROUNDUP(MONTH(A833)/3,0))</f>
        <v/>
      </c>
      <c r="C833" s="47" t="n"/>
      <c r="D833" s="47" t="n"/>
      <c r="E833" s="47" t="n"/>
      <c r="F833" s="47" t="n"/>
      <c r="G833" s="48" t="n"/>
      <c r="H833" s="49" t="n"/>
      <c r="I833" s="50">
        <f>IF(G833="","",ROUND(G833*H833,2))</f>
        <v/>
      </c>
      <c r="J833" s="50">
        <f>IF(G833="","",G833+N(I833))</f>
        <v/>
      </c>
      <c r="K833" s="45" t="n"/>
      <c r="L833" s="47" t="n"/>
      <c r="M833" s="48" t="n"/>
      <c r="N833" s="49" t="n"/>
      <c r="O833" s="50">
        <f>IF(M833="","",ROUND(M833*N833,2))</f>
        <v/>
      </c>
      <c r="P833" s="50">
        <f>IF(M833="","",M833+N(O833))</f>
        <v/>
      </c>
      <c r="Q833" s="45" t="n"/>
      <c r="R833" s="45" t="n"/>
      <c r="S833" s="51">
        <f>IF(L833="","",IF(COUNTIF(L$6:L833,L833)&gt;1,"",SUMIF(L$6:L$2000,L833,M$6:M$2000)-SUMIF(L$6:L$2000,L833,G$6:G$2000)))</f>
        <v/>
      </c>
      <c r="T833" s="46">
        <f>IF(AND(C833="",G833=""),"",IF(L833="","Nog factureren",IF(AND(G833&lt;&gt;"",OR(K833="",K833&gt;TODAY())),"Nog betalen",IF(OR(R833="",R833&gt;TODAY()),"Wacht op klant","Afgerond"))))</f>
        <v/>
      </c>
    </row>
    <row r="834">
      <c r="A834" s="45" t="n"/>
      <c r="B834" s="46">
        <f>IF(A834="","",YEAR(A834)&amp;" Q"&amp;ROUNDUP(MONTH(A834)/3,0))</f>
        <v/>
      </c>
      <c r="C834" s="47" t="n"/>
      <c r="D834" s="47" t="n"/>
      <c r="E834" s="47" t="n"/>
      <c r="F834" s="47" t="n"/>
      <c r="G834" s="48" t="n"/>
      <c r="H834" s="49" t="n"/>
      <c r="I834" s="50">
        <f>IF(G834="","",ROUND(G834*H834,2))</f>
        <v/>
      </c>
      <c r="J834" s="50">
        <f>IF(G834="","",G834+N(I834))</f>
        <v/>
      </c>
      <c r="K834" s="45" t="n"/>
      <c r="L834" s="47" t="n"/>
      <c r="M834" s="48" t="n"/>
      <c r="N834" s="49" t="n"/>
      <c r="O834" s="50">
        <f>IF(M834="","",ROUND(M834*N834,2))</f>
        <v/>
      </c>
      <c r="P834" s="50">
        <f>IF(M834="","",M834+N(O834))</f>
        <v/>
      </c>
      <c r="Q834" s="45" t="n"/>
      <c r="R834" s="45" t="n"/>
      <c r="S834" s="51">
        <f>IF(L834="","",IF(COUNTIF(L$6:L834,L834)&gt;1,"",SUMIF(L$6:L$2000,L834,M$6:M$2000)-SUMIF(L$6:L$2000,L834,G$6:G$2000)))</f>
        <v/>
      </c>
      <c r="T834" s="46">
        <f>IF(AND(C834="",G834=""),"",IF(L834="","Nog factureren",IF(AND(G834&lt;&gt;"",OR(K834="",K834&gt;TODAY())),"Nog betalen",IF(OR(R834="",R834&gt;TODAY()),"Wacht op klant","Afgerond"))))</f>
        <v/>
      </c>
    </row>
    <row r="835">
      <c r="A835" s="45" t="n"/>
      <c r="B835" s="46">
        <f>IF(A835="","",YEAR(A835)&amp;" Q"&amp;ROUNDUP(MONTH(A835)/3,0))</f>
        <v/>
      </c>
      <c r="C835" s="47" t="n"/>
      <c r="D835" s="47" t="n"/>
      <c r="E835" s="47" t="n"/>
      <c r="F835" s="47" t="n"/>
      <c r="G835" s="48" t="n"/>
      <c r="H835" s="49" t="n"/>
      <c r="I835" s="50">
        <f>IF(G835="","",ROUND(G835*H835,2))</f>
        <v/>
      </c>
      <c r="J835" s="50">
        <f>IF(G835="","",G835+N(I835))</f>
        <v/>
      </c>
      <c r="K835" s="45" t="n"/>
      <c r="L835" s="47" t="n"/>
      <c r="M835" s="48" t="n"/>
      <c r="N835" s="49" t="n"/>
      <c r="O835" s="50">
        <f>IF(M835="","",ROUND(M835*N835,2))</f>
        <v/>
      </c>
      <c r="P835" s="50">
        <f>IF(M835="","",M835+N(O835))</f>
        <v/>
      </c>
      <c r="Q835" s="45" t="n"/>
      <c r="R835" s="45" t="n"/>
      <c r="S835" s="51">
        <f>IF(L835="","",IF(COUNTIF(L$6:L835,L835)&gt;1,"",SUMIF(L$6:L$2000,L835,M$6:M$2000)-SUMIF(L$6:L$2000,L835,G$6:G$2000)))</f>
        <v/>
      </c>
      <c r="T835" s="46">
        <f>IF(AND(C835="",G835=""),"",IF(L835="","Nog factureren",IF(AND(G835&lt;&gt;"",OR(K835="",K835&gt;TODAY())),"Nog betalen",IF(OR(R835="",R835&gt;TODAY()),"Wacht op klant","Afgerond"))))</f>
        <v/>
      </c>
    </row>
    <row r="836">
      <c r="A836" s="45" t="n"/>
      <c r="B836" s="46">
        <f>IF(A836="","",YEAR(A836)&amp;" Q"&amp;ROUNDUP(MONTH(A836)/3,0))</f>
        <v/>
      </c>
      <c r="C836" s="47" t="n"/>
      <c r="D836" s="47" t="n"/>
      <c r="E836" s="47" t="n"/>
      <c r="F836" s="47" t="n"/>
      <c r="G836" s="48" t="n"/>
      <c r="H836" s="49" t="n"/>
      <c r="I836" s="50">
        <f>IF(G836="","",ROUND(G836*H836,2))</f>
        <v/>
      </c>
      <c r="J836" s="50">
        <f>IF(G836="","",G836+N(I836))</f>
        <v/>
      </c>
      <c r="K836" s="45" t="n"/>
      <c r="L836" s="47" t="n"/>
      <c r="M836" s="48" t="n"/>
      <c r="N836" s="49" t="n"/>
      <c r="O836" s="50">
        <f>IF(M836="","",ROUND(M836*N836,2))</f>
        <v/>
      </c>
      <c r="P836" s="50">
        <f>IF(M836="","",M836+N(O836))</f>
        <v/>
      </c>
      <c r="Q836" s="45" t="n"/>
      <c r="R836" s="45" t="n"/>
      <c r="S836" s="51">
        <f>IF(L836="","",IF(COUNTIF(L$6:L836,L836)&gt;1,"",SUMIF(L$6:L$2000,L836,M$6:M$2000)-SUMIF(L$6:L$2000,L836,G$6:G$2000)))</f>
        <v/>
      </c>
      <c r="T836" s="46">
        <f>IF(AND(C836="",G836=""),"",IF(L836="","Nog factureren",IF(AND(G836&lt;&gt;"",OR(K836="",K836&gt;TODAY())),"Nog betalen",IF(OR(R836="",R836&gt;TODAY()),"Wacht op klant","Afgerond"))))</f>
        <v/>
      </c>
    </row>
    <row r="837">
      <c r="A837" s="45" t="n"/>
      <c r="B837" s="46">
        <f>IF(A837="","",YEAR(A837)&amp;" Q"&amp;ROUNDUP(MONTH(A837)/3,0))</f>
        <v/>
      </c>
      <c r="C837" s="47" t="n"/>
      <c r="D837" s="47" t="n"/>
      <c r="E837" s="47" t="n"/>
      <c r="F837" s="47" t="n"/>
      <c r="G837" s="48" t="n"/>
      <c r="H837" s="49" t="n"/>
      <c r="I837" s="50">
        <f>IF(G837="","",ROUND(G837*H837,2))</f>
        <v/>
      </c>
      <c r="J837" s="50">
        <f>IF(G837="","",G837+N(I837))</f>
        <v/>
      </c>
      <c r="K837" s="45" t="n"/>
      <c r="L837" s="47" t="n"/>
      <c r="M837" s="48" t="n"/>
      <c r="N837" s="49" t="n"/>
      <c r="O837" s="50">
        <f>IF(M837="","",ROUND(M837*N837,2))</f>
        <v/>
      </c>
      <c r="P837" s="50">
        <f>IF(M837="","",M837+N(O837))</f>
        <v/>
      </c>
      <c r="Q837" s="45" t="n"/>
      <c r="R837" s="45" t="n"/>
      <c r="S837" s="51">
        <f>IF(L837="","",IF(COUNTIF(L$6:L837,L837)&gt;1,"",SUMIF(L$6:L$2000,L837,M$6:M$2000)-SUMIF(L$6:L$2000,L837,G$6:G$2000)))</f>
        <v/>
      </c>
      <c r="T837" s="46">
        <f>IF(AND(C837="",G837=""),"",IF(L837="","Nog factureren",IF(AND(G837&lt;&gt;"",OR(K837="",K837&gt;TODAY())),"Nog betalen",IF(OR(R837="",R837&gt;TODAY()),"Wacht op klant","Afgerond"))))</f>
        <v/>
      </c>
    </row>
    <row r="838">
      <c r="A838" s="45" t="n"/>
      <c r="B838" s="46">
        <f>IF(A838="","",YEAR(A838)&amp;" Q"&amp;ROUNDUP(MONTH(A838)/3,0))</f>
        <v/>
      </c>
      <c r="C838" s="47" t="n"/>
      <c r="D838" s="47" t="n"/>
      <c r="E838" s="47" t="n"/>
      <c r="F838" s="47" t="n"/>
      <c r="G838" s="48" t="n"/>
      <c r="H838" s="49" t="n"/>
      <c r="I838" s="50">
        <f>IF(G838="","",ROUND(G838*H838,2))</f>
        <v/>
      </c>
      <c r="J838" s="50">
        <f>IF(G838="","",G838+N(I838))</f>
        <v/>
      </c>
      <c r="K838" s="45" t="n"/>
      <c r="L838" s="47" t="n"/>
      <c r="M838" s="48" t="n"/>
      <c r="N838" s="49" t="n"/>
      <c r="O838" s="50">
        <f>IF(M838="","",ROUND(M838*N838,2))</f>
        <v/>
      </c>
      <c r="P838" s="50">
        <f>IF(M838="","",M838+N(O838))</f>
        <v/>
      </c>
      <c r="Q838" s="45" t="n"/>
      <c r="R838" s="45" t="n"/>
      <c r="S838" s="51">
        <f>IF(L838="","",IF(COUNTIF(L$6:L838,L838)&gt;1,"",SUMIF(L$6:L$2000,L838,M$6:M$2000)-SUMIF(L$6:L$2000,L838,G$6:G$2000)))</f>
        <v/>
      </c>
      <c r="T838" s="46">
        <f>IF(AND(C838="",G838=""),"",IF(L838="","Nog factureren",IF(AND(G838&lt;&gt;"",OR(K838="",K838&gt;TODAY())),"Nog betalen",IF(OR(R838="",R838&gt;TODAY()),"Wacht op klant","Afgerond"))))</f>
        <v/>
      </c>
    </row>
    <row r="839">
      <c r="A839" s="45" t="n"/>
      <c r="B839" s="46">
        <f>IF(A839="","",YEAR(A839)&amp;" Q"&amp;ROUNDUP(MONTH(A839)/3,0))</f>
        <v/>
      </c>
      <c r="C839" s="47" t="n"/>
      <c r="D839" s="47" t="n"/>
      <c r="E839" s="47" t="n"/>
      <c r="F839" s="47" t="n"/>
      <c r="G839" s="48" t="n"/>
      <c r="H839" s="49" t="n"/>
      <c r="I839" s="50">
        <f>IF(G839="","",ROUND(G839*H839,2))</f>
        <v/>
      </c>
      <c r="J839" s="50">
        <f>IF(G839="","",G839+N(I839))</f>
        <v/>
      </c>
      <c r="K839" s="45" t="n"/>
      <c r="L839" s="47" t="n"/>
      <c r="M839" s="48" t="n"/>
      <c r="N839" s="49" t="n"/>
      <c r="O839" s="50">
        <f>IF(M839="","",ROUND(M839*N839,2))</f>
        <v/>
      </c>
      <c r="P839" s="50">
        <f>IF(M839="","",M839+N(O839))</f>
        <v/>
      </c>
      <c r="Q839" s="45" t="n"/>
      <c r="R839" s="45" t="n"/>
      <c r="S839" s="51">
        <f>IF(L839="","",IF(COUNTIF(L$6:L839,L839)&gt;1,"",SUMIF(L$6:L$2000,L839,M$6:M$2000)-SUMIF(L$6:L$2000,L839,G$6:G$2000)))</f>
        <v/>
      </c>
      <c r="T839" s="46">
        <f>IF(AND(C839="",G839=""),"",IF(L839="","Nog factureren",IF(AND(G839&lt;&gt;"",OR(K839="",K839&gt;TODAY())),"Nog betalen",IF(OR(R839="",R839&gt;TODAY()),"Wacht op klant","Afgerond"))))</f>
        <v/>
      </c>
    </row>
    <row r="840">
      <c r="A840" s="45" t="n"/>
      <c r="B840" s="46">
        <f>IF(A840="","",YEAR(A840)&amp;" Q"&amp;ROUNDUP(MONTH(A840)/3,0))</f>
        <v/>
      </c>
      <c r="C840" s="47" t="n"/>
      <c r="D840" s="47" t="n"/>
      <c r="E840" s="47" t="n"/>
      <c r="F840" s="47" t="n"/>
      <c r="G840" s="48" t="n"/>
      <c r="H840" s="49" t="n"/>
      <c r="I840" s="50">
        <f>IF(G840="","",ROUND(G840*H840,2))</f>
        <v/>
      </c>
      <c r="J840" s="50">
        <f>IF(G840="","",G840+N(I840))</f>
        <v/>
      </c>
      <c r="K840" s="45" t="n"/>
      <c r="L840" s="47" t="n"/>
      <c r="M840" s="48" t="n"/>
      <c r="N840" s="49" t="n"/>
      <c r="O840" s="50">
        <f>IF(M840="","",ROUND(M840*N840,2))</f>
        <v/>
      </c>
      <c r="P840" s="50">
        <f>IF(M840="","",M840+N(O840))</f>
        <v/>
      </c>
      <c r="Q840" s="45" t="n"/>
      <c r="R840" s="45" t="n"/>
      <c r="S840" s="51">
        <f>IF(L840="","",IF(COUNTIF(L$6:L840,L840)&gt;1,"",SUMIF(L$6:L$2000,L840,M$6:M$2000)-SUMIF(L$6:L$2000,L840,G$6:G$2000)))</f>
        <v/>
      </c>
      <c r="T840" s="46">
        <f>IF(AND(C840="",G840=""),"",IF(L840="","Nog factureren",IF(AND(G840&lt;&gt;"",OR(K840="",K840&gt;TODAY())),"Nog betalen",IF(OR(R840="",R840&gt;TODAY()),"Wacht op klant","Afgerond"))))</f>
        <v/>
      </c>
    </row>
    <row r="841">
      <c r="A841" s="45" t="n"/>
      <c r="B841" s="46">
        <f>IF(A841="","",YEAR(A841)&amp;" Q"&amp;ROUNDUP(MONTH(A841)/3,0))</f>
        <v/>
      </c>
      <c r="C841" s="47" t="n"/>
      <c r="D841" s="47" t="n"/>
      <c r="E841" s="47" t="n"/>
      <c r="F841" s="47" t="n"/>
      <c r="G841" s="48" t="n"/>
      <c r="H841" s="49" t="n"/>
      <c r="I841" s="50">
        <f>IF(G841="","",ROUND(G841*H841,2))</f>
        <v/>
      </c>
      <c r="J841" s="50">
        <f>IF(G841="","",G841+N(I841))</f>
        <v/>
      </c>
      <c r="K841" s="45" t="n"/>
      <c r="L841" s="47" t="n"/>
      <c r="M841" s="48" t="n"/>
      <c r="N841" s="49" t="n"/>
      <c r="O841" s="50">
        <f>IF(M841="","",ROUND(M841*N841,2))</f>
        <v/>
      </c>
      <c r="P841" s="50">
        <f>IF(M841="","",M841+N(O841))</f>
        <v/>
      </c>
      <c r="Q841" s="45" t="n"/>
      <c r="R841" s="45" t="n"/>
      <c r="S841" s="51">
        <f>IF(L841="","",IF(COUNTIF(L$6:L841,L841)&gt;1,"",SUMIF(L$6:L$2000,L841,M$6:M$2000)-SUMIF(L$6:L$2000,L841,G$6:G$2000)))</f>
        <v/>
      </c>
      <c r="T841" s="46">
        <f>IF(AND(C841="",G841=""),"",IF(L841="","Nog factureren",IF(AND(G841&lt;&gt;"",OR(K841="",K841&gt;TODAY())),"Nog betalen",IF(OR(R841="",R841&gt;TODAY()),"Wacht op klant","Afgerond"))))</f>
        <v/>
      </c>
    </row>
    <row r="842">
      <c r="A842" s="45" t="n"/>
      <c r="B842" s="46">
        <f>IF(A842="","",YEAR(A842)&amp;" Q"&amp;ROUNDUP(MONTH(A842)/3,0))</f>
        <v/>
      </c>
      <c r="C842" s="47" t="n"/>
      <c r="D842" s="47" t="n"/>
      <c r="E842" s="47" t="n"/>
      <c r="F842" s="47" t="n"/>
      <c r="G842" s="48" t="n"/>
      <c r="H842" s="49" t="n"/>
      <c r="I842" s="50">
        <f>IF(G842="","",ROUND(G842*H842,2))</f>
        <v/>
      </c>
      <c r="J842" s="50">
        <f>IF(G842="","",G842+N(I842))</f>
        <v/>
      </c>
      <c r="K842" s="45" t="n"/>
      <c r="L842" s="47" t="n"/>
      <c r="M842" s="48" t="n"/>
      <c r="N842" s="49" t="n"/>
      <c r="O842" s="50">
        <f>IF(M842="","",ROUND(M842*N842,2))</f>
        <v/>
      </c>
      <c r="P842" s="50">
        <f>IF(M842="","",M842+N(O842))</f>
        <v/>
      </c>
      <c r="Q842" s="45" t="n"/>
      <c r="R842" s="45" t="n"/>
      <c r="S842" s="51">
        <f>IF(L842="","",IF(COUNTIF(L$6:L842,L842)&gt;1,"",SUMIF(L$6:L$2000,L842,M$6:M$2000)-SUMIF(L$6:L$2000,L842,G$6:G$2000)))</f>
        <v/>
      </c>
      <c r="T842" s="46">
        <f>IF(AND(C842="",G842=""),"",IF(L842="","Nog factureren",IF(AND(G842&lt;&gt;"",OR(K842="",K842&gt;TODAY())),"Nog betalen",IF(OR(R842="",R842&gt;TODAY()),"Wacht op klant","Afgerond"))))</f>
        <v/>
      </c>
    </row>
    <row r="843">
      <c r="A843" s="45" t="n"/>
      <c r="B843" s="46">
        <f>IF(A843="","",YEAR(A843)&amp;" Q"&amp;ROUNDUP(MONTH(A843)/3,0))</f>
        <v/>
      </c>
      <c r="C843" s="47" t="n"/>
      <c r="D843" s="47" t="n"/>
      <c r="E843" s="47" t="n"/>
      <c r="F843" s="47" t="n"/>
      <c r="G843" s="48" t="n"/>
      <c r="H843" s="49" t="n"/>
      <c r="I843" s="50">
        <f>IF(G843="","",ROUND(G843*H843,2))</f>
        <v/>
      </c>
      <c r="J843" s="50">
        <f>IF(G843="","",G843+N(I843))</f>
        <v/>
      </c>
      <c r="K843" s="45" t="n"/>
      <c r="L843" s="47" t="n"/>
      <c r="M843" s="48" t="n"/>
      <c r="N843" s="49" t="n"/>
      <c r="O843" s="50">
        <f>IF(M843="","",ROUND(M843*N843,2))</f>
        <v/>
      </c>
      <c r="P843" s="50">
        <f>IF(M843="","",M843+N(O843))</f>
        <v/>
      </c>
      <c r="Q843" s="45" t="n"/>
      <c r="R843" s="45" t="n"/>
      <c r="S843" s="51">
        <f>IF(L843="","",IF(COUNTIF(L$6:L843,L843)&gt;1,"",SUMIF(L$6:L$2000,L843,M$6:M$2000)-SUMIF(L$6:L$2000,L843,G$6:G$2000)))</f>
        <v/>
      </c>
      <c r="T843" s="46">
        <f>IF(AND(C843="",G843=""),"",IF(L843="","Nog factureren",IF(AND(G843&lt;&gt;"",OR(K843="",K843&gt;TODAY())),"Nog betalen",IF(OR(R843="",R843&gt;TODAY()),"Wacht op klant","Afgerond"))))</f>
        <v/>
      </c>
    </row>
    <row r="844">
      <c r="A844" s="45" t="n"/>
      <c r="B844" s="46">
        <f>IF(A844="","",YEAR(A844)&amp;" Q"&amp;ROUNDUP(MONTH(A844)/3,0))</f>
        <v/>
      </c>
      <c r="C844" s="47" t="n"/>
      <c r="D844" s="47" t="n"/>
      <c r="E844" s="47" t="n"/>
      <c r="F844" s="47" t="n"/>
      <c r="G844" s="48" t="n"/>
      <c r="H844" s="49" t="n"/>
      <c r="I844" s="50">
        <f>IF(G844="","",ROUND(G844*H844,2))</f>
        <v/>
      </c>
      <c r="J844" s="50">
        <f>IF(G844="","",G844+N(I844))</f>
        <v/>
      </c>
      <c r="K844" s="45" t="n"/>
      <c r="L844" s="47" t="n"/>
      <c r="M844" s="48" t="n"/>
      <c r="N844" s="49" t="n"/>
      <c r="O844" s="50">
        <f>IF(M844="","",ROUND(M844*N844,2))</f>
        <v/>
      </c>
      <c r="P844" s="50">
        <f>IF(M844="","",M844+N(O844))</f>
        <v/>
      </c>
      <c r="Q844" s="45" t="n"/>
      <c r="R844" s="45" t="n"/>
      <c r="S844" s="51">
        <f>IF(L844="","",IF(COUNTIF(L$6:L844,L844)&gt;1,"",SUMIF(L$6:L$2000,L844,M$6:M$2000)-SUMIF(L$6:L$2000,L844,G$6:G$2000)))</f>
        <v/>
      </c>
      <c r="T844" s="46">
        <f>IF(AND(C844="",G844=""),"",IF(L844="","Nog factureren",IF(AND(G844&lt;&gt;"",OR(K844="",K844&gt;TODAY())),"Nog betalen",IF(OR(R844="",R844&gt;TODAY()),"Wacht op klant","Afgerond"))))</f>
        <v/>
      </c>
    </row>
    <row r="845">
      <c r="A845" s="45" t="n"/>
      <c r="B845" s="46">
        <f>IF(A845="","",YEAR(A845)&amp;" Q"&amp;ROUNDUP(MONTH(A845)/3,0))</f>
        <v/>
      </c>
      <c r="C845" s="47" t="n"/>
      <c r="D845" s="47" t="n"/>
      <c r="E845" s="47" t="n"/>
      <c r="F845" s="47" t="n"/>
      <c r="G845" s="48" t="n"/>
      <c r="H845" s="49" t="n"/>
      <c r="I845" s="50">
        <f>IF(G845="","",ROUND(G845*H845,2))</f>
        <v/>
      </c>
      <c r="J845" s="50">
        <f>IF(G845="","",G845+N(I845))</f>
        <v/>
      </c>
      <c r="K845" s="45" t="n"/>
      <c r="L845" s="47" t="n"/>
      <c r="M845" s="48" t="n"/>
      <c r="N845" s="49" t="n"/>
      <c r="O845" s="50">
        <f>IF(M845="","",ROUND(M845*N845,2))</f>
        <v/>
      </c>
      <c r="P845" s="50">
        <f>IF(M845="","",M845+N(O845))</f>
        <v/>
      </c>
      <c r="Q845" s="45" t="n"/>
      <c r="R845" s="45" t="n"/>
      <c r="S845" s="51">
        <f>IF(L845="","",IF(COUNTIF(L$6:L845,L845)&gt;1,"",SUMIF(L$6:L$2000,L845,M$6:M$2000)-SUMIF(L$6:L$2000,L845,G$6:G$2000)))</f>
        <v/>
      </c>
      <c r="T845" s="46">
        <f>IF(AND(C845="",G845=""),"",IF(L845="","Nog factureren",IF(AND(G845&lt;&gt;"",OR(K845="",K845&gt;TODAY())),"Nog betalen",IF(OR(R845="",R845&gt;TODAY()),"Wacht op klant","Afgerond"))))</f>
        <v/>
      </c>
    </row>
    <row r="846">
      <c r="A846" s="45" t="n"/>
      <c r="B846" s="46">
        <f>IF(A846="","",YEAR(A846)&amp;" Q"&amp;ROUNDUP(MONTH(A846)/3,0))</f>
        <v/>
      </c>
      <c r="C846" s="47" t="n"/>
      <c r="D846" s="47" t="n"/>
      <c r="E846" s="47" t="n"/>
      <c r="F846" s="47" t="n"/>
      <c r="G846" s="48" t="n"/>
      <c r="H846" s="49" t="n"/>
      <c r="I846" s="50">
        <f>IF(G846="","",ROUND(G846*H846,2))</f>
        <v/>
      </c>
      <c r="J846" s="50">
        <f>IF(G846="","",G846+N(I846))</f>
        <v/>
      </c>
      <c r="K846" s="45" t="n"/>
      <c r="L846" s="47" t="n"/>
      <c r="M846" s="48" t="n"/>
      <c r="N846" s="49" t="n"/>
      <c r="O846" s="50">
        <f>IF(M846="","",ROUND(M846*N846,2))</f>
        <v/>
      </c>
      <c r="P846" s="50">
        <f>IF(M846="","",M846+N(O846))</f>
        <v/>
      </c>
      <c r="Q846" s="45" t="n"/>
      <c r="R846" s="45" t="n"/>
      <c r="S846" s="51">
        <f>IF(L846="","",IF(COUNTIF(L$6:L846,L846)&gt;1,"",SUMIF(L$6:L$2000,L846,M$6:M$2000)-SUMIF(L$6:L$2000,L846,G$6:G$2000)))</f>
        <v/>
      </c>
      <c r="T846" s="46">
        <f>IF(AND(C846="",G846=""),"",IF(L846="","Nog factureren",IF(AND(G846&lt;&gt;"",OR(K846="",K846&gt;TODAY())),"Nog betalen",IF(OR(R846="",R846&gt;TODAY()),"Wacht op klant","Afgerond"))))</f>
        <v/>
      </c>
    </row>
    <row r="847">
      <c r="A847" s="45" t="n"/>
      <c r="B847" s="46">
        <f>IF(A847="","",YEAR(A847)&amp;" Q"&amp;ROUNDUP(MONTH(A847)/3,0))</f>
        <v/>
      </c>
      <c r="C847" s="47" t="n"/>
      <c r="D847" s="47" t="n"/>
      <c r="E847" s="47" t="n"/>
      <c r="F847" s="47" t="n"/>
      <c r="G847" s="48" t="n"/>
      <c r="H847" s="49" t="n"/>
      <c r="I847" s="50">
        <f>IF(G847="","",ROUND(G847*H847,2))</f>
        <v/>
      </c>
      <c r="J847" s="50">
        <f>IF(G847="","",G847+N(I847))</f>
        <v/>
      </c>
      <c r="K847" s="45" t="n"/>
      <c r="L847" s="47" t="n"/>
      <c r="M847" s="48" t="n"/>
      <c r="N847" s="49" t="n"/>
      <c r="O847" s="50">
        <f>IF(M847="","",ROUND(M847*N847,2))</f>
        <v/>
      </c>
      <c r="P847" s="50">
        <f>IF(M847="","",M847+N(O847))</f>
        <v/>
      </c>
      <c r="Q847" s="45" t="n"/>
      <c r="R847" s="45" t="n"/>
      <c r="S847" s="51">
        <f>IF(L847="","",IF(COUNTIF(L$6:L847,L847)&gt;1,"",SUMIF(L$6:L$2000,L847,M$6:M$2000)-SUMIF(L$6:L$2000,L847,G$6:G$2000)))</f>
        <v/>
      </c>
      <c r="T847" s="46">
        <f>IF(AND(C847="",G847=""),"",IF(L847="","Nog factureren",IF(AND(G847&lt;&gt;"",OR(K847="",K847&gt;TODAY())),"Nog betalen",IF(OR(R847="",R847&gt;TODAY()),"Wacht op klant","Afgerond"))))</f>
        <v/>
      </c>
    </row>
    <row r="848">
      <c r="A848" s="45" t="n"/>
      <c r="B848" s="46">
        <f>IF(A848="","",YEAR(A848)&amp;" Q"&amp;ROUNDUP(MONTH(A848)/3,0))</f>
        <v/>
      </c>
      <c r="C848" s="47" t="n"/>
      <c r="D848" s="47" t="n"/>
      <c r="E848" s="47" t="n"/>
      <c r="F848" s="47" t="n"/>
      <c r="G848" s="48" t="n"/>
      <c r="H848" s="49" t="n"/>
      <c r="I848" s="50">
        <f>IF(G848="","",ROUND(G848*H848,2))</f>
        <v/>
      </c>
      <c r="J848" s="50">
        <f>IF(G848="","",G848+N(I848))</f>
        <v/>
      </c>
      <c r="K848" s="45" t="n"/>
      <c r="L848" s="47" t="n"/>
      <c r="M848" s="48" t="n"/>
      <c r="N848" s="49" t="n"/>
      <c r="O848" s="50">
        <f>IF(M848="","",ROUND(M848*N848,2))</f>
        <v/>
      </c>
      <c r="P848" s="50">
        <f>IF(M848="","",M848+N(O848))</f>
        <v/>
      </c>
      <c r="Q848" s="45" t="n"/>
      <c r="R848" s="45" t="n"/>
      <c r="S848" s="51">
        <f>IF(L848="","",IF(COUNTIF(L$6:L848,L848)&gt;1,"",SUMIF(L$6:L$2000,L848,M$6:M$2000)-SUMIF(L$6:L$2000,L848,G$6:G$2000)))</f>
        <v/>
      </c>
      <c r="T848" s="46">
        <f>IF(AND(C848="",G848=""),"",IF(L848="","Nog factureren",IF(AND(G848&lt;&gt;"",OR(K848="",K848&gt;TODAY())),"Nog betalen",IF(OR(R848="",R848&gt;TODAY()),"Wacht op klant","Afgerond"))))</f>
        <v/>
      </c>
    </row>
    <row r="849">
      <c r="A849" s="45" t="n"/>
      <c r="B849" s="46">
        <f>IF(A849="","",YEAR(A849)&amp;" Q"&amp;ROUNDUP(MONTH(A849)/3,0))</f>
        <v/>
      </c>
      <c r="C849" s="47" t="n"/>
      <c r="D849" s="47" t="n"/>
      <c r="E849" s="47" t="n"/>
      <c r="F849" s="47" t="n"/>
      <c r="G849" s="48" t="n"/>
      <c r="H849" s="49" t="n"/>
      <c r="I849" s="50">
        <f>IF(G849="","",ROUND(G849*H849,2))</f>
        <v/>
      </c>
      <c r="J849" s="50">
        <f>IF(G849="","",G849+N(I849))</f>
        <v/>
      </c>
      <c r="K849" s="45" t="n"/>
      <c r="L849" s="47" t="n"/>
      <c r="M849" s="48" t="n"/>
      <c r="N849" s="49" t="n"/>
      <c r="O849" s="50">
        <f>IF(M849="","",ROUND(M849*N849,2))</f>
        <v/>
      </c>
      <c r="P849" s="50">
        <f>IF(M849="","",M849+N(O849))</f>
        <v/>
      </c>
      <c r="Q849" s="45" t="n"/>
      <c r="R849" s="45" t="n"/>
      <c r="S849" s="51">
        <f>IF(L849="","",IF(COUNTIF(L$6:L849,L849)&gt;1,"",SUMIF(L$6:L$2000,L849,M$6:M$2000)-SUMIF(L$6:L$2000,L849,G$6:G$2000)))</f>
        <v/>
      </c>
      <c r="T849" s="46">
        <f>IF(AND(C849="",G849=""),"",IF(L849="","Nog factureren",IF(AND(G849&lt;&gt;"",OR(K849="",K849&gt;TODAY())),"Nog betalen",IF(OR(R849="",R849&gt;TODAY()),"Wacht op klant","Afgerond"))))</f>
        <v/>
      </c>
    </row>
    <row r="850">
      <c r="A850" s="45" t="n"/>
      <c r="B850" s="46">
        <f>IF(A850="","",YEAR(A850)&amp;" Q"&amp;ROUNDUP(MONTH(A850)/3,0))</f>
        <v/>
      </c>
      <c r="C850" s="47" t="n"/>
      <c r="D850" s="47" t="n"/>
      <c r="E850" s="47" t="n"/>
      <c r="F850" s="47" t="n"/>
      <c r="G850" s="48" t="n"/>
      <c r="H850" s="49" t="n"/>
      <c r="I850" s="50">
        <f>IF(G850="","",ROUND(G850*H850,2))</f>
        <v/>
      </c>
      <c r="J850" s="50">
        <f>IF(G850="","",G850+N(I850))</f>
        <v/>
      </c>
      <c r="K850" s="45" t="n"/>
      <c r="L850" s="47" t="n"/>
      <c r="M850" s="48" t="n"/>
      <c r="N850" s="49" t="n"/>
      <c r="O850" s="50">
        <f>IF(M850="","",ROUND(M850*N850,2))</f>
        <v/>
      </c>
      <c r="P850" s="50">
        <f>IF(M850="","",M850+N(O850))</f>
        <v/>
      </c>
      <c r="Q850" s="45" t="n"/>
      <c r="R850" s="45" t="n"/>
      <c r="S850" s="51">
        <f>IF(L850="","",IF(COUNTIF(L$6:L850,L850)&gt;1,"",SUMIF(L$6:L$2000,L850,M$6:M$2000)-SUMIF(L$6:L$2000,L850,G$6:G$2000)))</f>
        <v/>
      </c>
      <c r="T850" s="46">
        <f>IF(AND(C850="",G850=""),"",IF(L850="","Nog factureren",IF(AND(G850&lt;&gt;"",OR(K850="",K850&gt;TODAY())),"Nog betalen",IF(OR(R850="",R850&gt;TODAY()),"Wacht op klant","Afgerond"))))</f>
        <v/>
      </c>
    </row>
    <row r="851">
      <c r="A851" s="45" t="n"/>
      <c r="B851" s="46">
        <f>IF(A851="","",YEAR(A851)&amp;" Q"&amp;ROUNDUP(MONTH(A851)/3,0))</f>
        <v/>
      </c>
      <c r="C851" s="47" t="n"/>
      <c r="D851" s="47" t="n"/>
      <c r="E851" s="47" t="n"/>
      <c r="F851" s="47" t="n"/>
      <c r="G851" s="48" t="n"/>
      <c r="H851" s="49" t="n"/>
      <c r="I851" s="50">
        <f>IF(G851="","",ROUND(G851*H851,2))</f>
        <v/>
      </c>
      <c r="J851" s="50">
        <f>IF(G851="","",G851+N(I851))</f>
        <v/>
      </c>
      <c r="K851" s="45" t="n"/>
      <c r="L851" s="47" t="n"/>
      <c r="M851" s="48" t="n"/>
      <c r="N851" s="49" t="n"/>
      <c r="O851" s="50">
        <f>IF(M851="","",ROUND(M851*N851,2))</f>
        <v/>
      </c>
      <c r="P851" s="50">
        <f>IF(M851="","",M851+N(O851))</f>
        <v/>
      </c>
      <c r="Q851" s="45" t="n"/>
      <c r="R851" s="45" t="n"/>
      <c r="S851" s="51">
        <f>IF(L851="","",IF(COUNTIF(L$6:L851,L851)&gt;1,"",SUMIF(L$6:L$2000,L851,M$6:M$2000)-SUMIF(L$6:L$2000,L851,G$6:G$2000)))</f>
        <v/>
      </c>
      <c r="T851" s="46">
        <f>IF(AND(C851="",G851=""),"",IF(L851="","Nog factureren",IF(AND(G851&lt;&gt;"",OR(K851="",K851&gt;TODAY())),"Nog betalen",IF(OR(R851="",R851&gt;TODAY()),"Wacht op klant","Afgerond"))))</f>
        <v/>
      </c>
    </row>
    <row r="852">
      <c r="A852" s="45" t="n"/>
      <c r="B852" s="46">
        <f>IF(A852="","",YEAR(A852)&amp;" Q"&amp;ROUNDUP(MONTH(A852)/3,0))</f>
        <v/>
      </c>
      <c r="C852" s="47" t="n"/>
      <c r="D852" s="47" t="n"/>
      <c r="E852" s="47" t="n"/>
      <c r="F852" s="47" t="n"/>
      <c r="G852" s="48" t="n"/>
      <c r="H852" s="49" t="n"/>
      <c r="I852" s="50">
        <f>IF(G852="","",ROUND(G852*H852,2))</f>
        <v/>
      </c>
      <c r="J852" s="50">
        <f>IF(G852="","",G852+N(I852))</f>
        <v/>
      </c>
      <c r="K852" s="45" t="n"/>
      <c r="L852" s="47" t="n"/>
      <c r="M852" s="48" t="n"/>
      <c r="N852" s="49" t="n"/>
      <c r="O852" s="50">
        <f>IF(M852="","",ROUND(M852*N852,2))</f>
        <v/>
      </c>
      <c r="P852" s="50">
        <f>IF(M852="","",M852+N(O852))</f>
        <v/>
      </c>
      <c r="Q852" s="45" t="n"/>
      <c r="R852" s="45" t="n"/>
      <c r="S852" s="51">
        <f>IF(L852="","",IF(COUNTIF(L$6:L852,L852)&gt;1,"",SUMIF(L$6:L$2000,L852,M$6:M$2000)-SUMIF(L$6:L$2000,L852,G$6:G$2000)))</f>
        <v/>
      </c>
      <c r="T852" s="46">
        <f>IF(AND(C852="",G852=""),"",IF(L852="","Nog factureren",IF(AND(G852&lt;&gt;"",OR(K852="",K852&gt;TODAY())),"Nog betalen",IF(OR(R852="",R852&gt;TODAY()),"Wacht op klant","Afgerond"))))</f>
        <v/>
      </c>
    </row>
    <row r="853">
      <c r="A853" s="45" t="n"/>
      <c r="B853" s="46">
        <f>IF(A853="","",YEAR(A853)&amp;" Q"&amp;ROUNDUP(MONTH(A853)/3,0))</f>
        <v/>
      </c>
      <c r="C853" s="47" t="n"/>
      <c r="D853" s="47" t="n"/>
      <c r="E853" s="47" t="n"/>
      <c r="F853" s="47" t="n"/>
      <c r="G853" s="48" t="n"/>
      <c r="H853" s="49" t="n"/>
      <c r="I853" s="50">
        <f>IF(G853="","",ROUND(G853*H853,2))</f>
        <v/>
      </c>
      <c r="J853" s="50">
        <f>IF(G853="","",G853+N(I853))</f>
        <v/>
      </c>
      <c r="K853" s="45" t="n"/>
      <c r="L853" s="47" t="n"/>
      <c r="M853" s="48" t="n"/>
      <c r="N853" s="49" t="n"/>
      <c r="O853" s="50">
        <f>IF(M853="","",ROUND(M853*N853,2))</f>
        <v/>
      </c>
      <c r="P853" s="50">
        <f>IF(M853="","",M853+N(O853))</f>
        <v/>
      </c>
      <c r="Q853" s="45" t="n"/>
      <c r="R853" s="45" t="n"/>
      <c r="S853" s="51">
        <f>IF(L853="","",IF(COUNTIF(L$6:L853,L853)&gt;1,"",SUMIF(L$6:L$2000,L853,M$6:M$2000)-SUMIF(L$6:L$2000,L853,G$6:G$2000)))</f>
        <v/>
      </c>
      <c r="T853" s="46">
        <f>IF(AND(C853="",G853=""),"",IF(L853="","Nog factureren",IF(AND(G853&lt;&gt;"",OR(K853="",K853&gt;TODAY())),"Nog betalen",IF(OR(R853="",R853&gt;TODAY()),"Wacht op klant","Afgerond"))))</f>
        <v/>
      </c>
    </row>
    <row r="854">
      <c r="A854" s="45" t="n"/>
      <c r="B854" s="46">
        <f>IF(A854="","",YEAR(A854)&amp;" Q"&amp;ROUNDUP(MONTH(A854)/3,0))</f>
        <v/>
      </c>
      <c r="C854" s="47" t="n"/>
      <c r="D854" s="47" t="n"/>
      <c r="E854" s="47" t="n"/>
      <c r="F854" s="47" t="n"/>
      <c r="G854" s="48" t="n"/>
      <c r="H854" s="49" t="n"/>
      <c r="I854" s="50">
        <f>IF(G854="","",ROUND(G854*H854,2))</f>
        <v/>
      </c>
      <c r="J854" s="50">
        <f>IF(G854="","",G854+N(I854))</f>
        <v/>
      </c>
      <c r="K854" s="45" t="n"/>
      <c r="L854" s="47" t="n"/>
      <c r="M854" s="48" t="n"/>
      <c r="N854" s="49" t="n"/>
      <c r="O854" s="50">
        <f>IF(M854="","",ROUND(M854*N854,2))</f>
        <v/>
      </c>
      <c r="P854" s="50">
        <f>IF(M854="","",M854+N(O854))</f>
        <v/>
      </c>
      <c r="Q854" s="45" t="n"/>
      <c r="R854" s="45" t="n"/>
      <c r="S854" s="51">
        <f>IF(L854="","",IF(COUNTIF(L$6:L854,L854)&gt;1,"",SUMIF(L$6:L$2000,L854,M$6:M$2000)-SUMIF(L$6:L$2000,L854,G$6:G$2000)))</f>
        <v/>
      </c>
      <c r="T854" s="46">
        <f>IF(AND(C854="",G854=""),"",IF(L854="","Nog factureren",IF(AND(G854&lt;&gt;"",OR(K854="",K854&gt;TODAY())),"Nog betalen",IF(OR(R854="",R854&gt;TODAY()),"Wacht op klant","Afgerond"))))</f>
        <v/>
      </c>
    </row>
    <row r="855">
      <c r="A855" s="45" t="n"/>
      <c r="B855" s="46">
        <f>IF(A855="","",YEAR(A855)&amp;" Q"&amp;ROUNDUP(MONTH(A855)/3,0))</f>
        <v/>
      </c>
      <c r="C855" s="47" t="n"/>
      <c r="D855" s="47" t="n"/>
      <c r="E855" s="47" t="n"/>
      <c r="F855" s="47" t="n"/>
      <c r="G855" s="48" t="n"/>
      <c r="H855" s="49" t="n"/>
      <c r="I855" s="50">
        <f>IF(G855="","",ROUND(G855*H855,2))</f>
        <v/>
      </c>
      <c r="J855" s="50">
        <f>IF(G855="","",G855+N(I855))</f>
        <v/>
      </c>
      <c r="K855" s="45" t="n"/>
      <c r="L855" s="47" t="n"/>
      <c r="M855" s="48" t="n"/>
      <c r="N855" s="49" t="n"/>
      <c r="O855" s="50">
        <f>IF(M855="","",ROUND(M855*N855,2))</f>
        <v/>
      </c>
      <c r="P855" s="50">
        <f>IF(M855="","",M855+N(O855))</f>
        <v/>
      </c>
      <c r="Q855" s="45" t="n"/>
      <c r="R855" s="45" t="n"/>
      <c r="S855" s="51">
        <f>IF(L855="","",IF(COUNTIF(L$6:L855,L855)&gt;1,"",SUMIF(L$6:L$2000,L855,M$6:M$2000)-SUMIF(L$6:L$2000,L855,G$6:G$2000)))</f>
        <v/>
      </c>
      <c r="T855" s="46">
        <f>IF(AND(C855="",G855=""),"",IF(L855="","Nog factureren",IF(AND(G855&lt;&gt;"",OR(K855="",K855&gt;TODAY())),"Nog betalen",IF(OR(R855="",R855&gt;TODAY()),"Wacht op klant","Afgerond"))))</f>
        <v/>
      </c>
    </row>
    <row r="856">
      <c r="A856" s="45" t="n"/>
      <c r="B856" s="46">
        <f>IF(A856="","",YEAR(A856)&amp;" Q"&amp;ROUNDUP(MONTH(A856)/3,0))</f>
        <v/>
      </c>
      <c r="C856" s="47" t="n"/>
      <c r="D856" s="47" t="n"/>
      <c r="E856" s="47" t="n"/>
      <c r="F856" s="47" t="n"/>
      <c r="G856" s="48" t="n"/>
      <c r="H856" s="49" t="n"/>
      <c r="I856" s="50">
        <f>IF(G856="","",ROUND(G856*H856,2))</f>
        <v/>
      </c>
      <c r="J856" s="50">
        <f>IF(G856="","",G856+N(I856))</f>
        <v/>
      </c>
      <c r="K856" s="45" t="n"/>
      <c r="L856" s="47" t="n"/>
      <c r="M856" s="48" t="n"/>
      <c r="N856" s="49" t="n"/>
      <c r="O856" s="50">
        <f>IF(M856="","",ROUND(M856*N856,2))</f>
        <v/>
      </c>
      <c r="P856" s="50">
        <f>IF(M856="","",M856+N(O856))</f>
        <v/>
      </c>
      <c r="Q856" s="45" t="n"/>
      <c r="R856" s="45" t="n"/>
      <c r="S856" s="51">
        <f>IF(L856="","",IF(COUNTIF(L$6:L856,L856)&gt;1,"",SUMIF(L$6:L$2000,L856,M$6:M$2000)-SUMIF(L$6:L$2000,L856,G$6:G$2000)))</f>
        <v/>
      </c>
      <c r="T856" s="46">
        <f>IF(AND(C856="",G856=""),"",IF(L856="","Nog factureren",IF(AND(G856&lt;&gt;"",OR(K856="",K856&gt;TODAY())),"Nog betalen",IF(OR(R856="",R856&gt;TODAY()),"Wacht op klant","Afgerond"))))</f>
        <v/>
      </c>
    </row>
    <row r="857">
      <c r="A857" s="45" t="n"/>
      <c r="B857" s="46">
        <f>IF(A857="","",YEAR(A857)&amp;" Q"&amp;ROUNDUP(MONTH(A857)/3,0))</f>
        <v/>
      </c>
      <c r="C857" s="47" t="n"/>
      <c r="D857" s="47" t="n"/>
      <c r="E857" s="47" t="n"/>
      <c r="F857" s="47" t="n"/>
      <c r="G857" s="48" t="n"/>
      <c r="H857" s="49" t="n"/>
      <c r="I857" s="50">
        <f>IF(G857="","",ROUND(G857*H857,2))</f>
        <v/>
      </c>
      <c r="J857" s="50">
        <f>IF(G857="","",G857+N(I857))</f>
        <v/>
      </c>
      <c r="K857" s="45" t="n"/>
      <c r="L857" s="47" t="n"/>
      <c r="M857" s="48" t="n"/>
      <c r="N857" s="49" t="n"/>
      <c r="O857" s="50">
        <f>IF(M857="","",ROUND(M857*N857,2))</f>
        <v/>
      </c>
      <c r="P857" s="50">
        <f>IF(M857="","",M857+N(O857))</f>
        <v/>
      </c>
      <c r="Q857" s="45" t="n"/>
      <c r="R857" s="45" t="n"/>
      <c r="S857" s="51">
        <f>IF(L857="","",IF(COUNTIF(L$6:L857,L857)&gt;1,"",SUMIF(L$6:L$2000,L857,M$6:M$2000)-SUMIF(L$6:L$2000,L857,G$6:G$2000)))</f>
        <v/>
      </c>
      <c r="T857" s="46">
        <f>IF(AND(C857="",G857=""),"",IF(L857="","Nog factureren",IF(AND(G857&lt;&gt;"",OR(K857="",K857&gt;TODAY())),"Nog betalen",IF(OR(R857="",R857&gt;TODAY()),"Wacht op klant","Afgerond"))))</f>
        <v/>
      </c>
    </row>
    <row r="858">
      <c r="A858" s="45" t="n"/>
      <c r="B858" s="46">
        <f>IF(A858="","",YEAR(A858)&amp;" Q"&amp;ROUNDUP(MONTH(A858)/3,0))</f>
        <v/>
      </c>
      <c r="C858" s="47" t="n"/>
      <c r="D858" s="47" t="n"/>
      <c r="E858" s="47" t="n"/>
      <c r="F858" s="47" t="n"/>
      <c r="G858" s="48" t="n"/>
      <c r="H858" s="49" t="n"/>
      <c r="I858" s="50">
        <f>IF(G858="","",ROUND(G858*H858,2))</f>
        <v/>
      </c>
      <c r="J858" s="50">
        <f>IF(G858="","",G858+N(I858))</f>
        <v/>
      </c>
      <c r="K858" s="45" t="n"/>
      <c r="L858" s="47" t="n"/>
      <c r="M858" s="48" t="n"/>
      <c r="N858" s="49" t="n"/>
      <c r="O858" s="50">
        <f>IF(M858="","",ROUND(M858*N858,2))</f>
        <v/>
      </c>
      <c r="P858" s="50">
        <f>IF(M858="","",M858+N(O858))</f>
        <v/>
      </c>
      <c r="Q858" s="45" t="n"/>
      <c r="R858" s="45" t="n"/>
      <c r="S858" s="51">
        <f>IF(L858="","",IF(COUNTIF(L$6:L858,L858)&gt;1,"",SUMIF(L$6:L$2000,L858,M$6:M$2000)-SUMIF(L$6:L$2000,L858,G$6:G$2000)))</f>
        <v/>
      </c>
      <c r="T858" s="46">
        <f>IF(AND(C858="",G858=""),"",IF(L858="","Nog factureren",IF(AND(G858&lt;&gt;"",OR(K858="",K858&gt;TODAY())),"Nog betalen",IF(OR(R858="",R858&gt;TODAY()),"Wacht op klant","Afgerond"))))</f>
        <v/>
      </c>
    </row>
    <row r="859">
      <c r="A859" s="45" t="n"/>
      <c r="B859" s="46">
        <f>IF(A859="","",YEAR(A859)&amp;" Q"&amp;ROUNDUP(MONTH(A859)/3,0))</f>
        <v/>
      </c>
      <c r="C859" s="47" t="n"/>
      <c r="D859" s="47" t="n"/>
      <c r="E859" s="47" t="n"/>
      <c r="F859" s="47" t="n"/>
      <c r="G859" s="48" t="n"/>
      <c r="H859" s="49" t="n"/>
      <c r="I859" s="50">
        <f>IF(G859="","",ROUND(G859*H859,2))</f>
        <v/>
      </c>
      <c r="J859" s="50">
        <f>IF(G859="","",G859+N(I859))</f>
        <v/>
      </c>
      <c r="K859" s="45" t="n"/>
      <c r="L859" s="47" t="n"/>
      <c r="M859" s="48" t="n"/>
      <c r="N859" s="49" t="n"/>
      <c r="O859" s="50">
        <f>IF(M859="","",ROUND(M859*N859,2))</f>
        <v/>
      </c>
      <c r="P859" s="50">
        <f>IF(M859="","",M859+N(O859))</f>
        <v/>
      </c>
      <c r="Q859" s="45" t="n"/>
      <c r="R859" s="45" t="n"/>
      <c r="S859" s="51">
        <f>IF(L859="","",IF(COUNTIF(L$6:L859,L859)&gt;1,"",SUMIF(L$6:L$2000,L859,M$6:M$2000)-SUMIF(L$6:L$2000,L859,G$6:G$2000)))</f>
        <v/>
      </c>
      <c r="T859" s="46">
        <f>IF(AND(C859="",G859=""),"",IF(L859="","Nog factureren",IF(AND(G859&lt;&gt;"",OR(K859="",K859&gt;TODAY())),"Nog betalen",IF(OR(R859="",R859&gt;TODAY()),"Wacht op klant","Afgerond"))))</f>
        <v/>
      </c>
    </row>
    <row r="860">
      <c r="A860" s="45" t="n"/>
      <c r="B860" s="46">
        <f>IF(A860="","",YEAR(A860)&amp;" Q"&amp;ROUNDUP(MONTH(A860)/3,0))</f>
        <v/>
      </c>
      <c r="C860" s="47" t="n"/>
      <c r="D860" s="47" t="n"/>
      <c r="E860" s="47" t="n"/>
      <c r="F860" s="47" t="n"/>
      <c r="G860" s="48" t="n"/>
      <c r="H860" s="49" t="n"/>
      <c r="I860" s="50">
        <f>IF(G860="","",ROUND(G860*H860,2))</f>
        <v/>
      </c>
      <c r="J860" s="50">
        <f>IF(G860="","",G860+N(I860))</f>
        <v/>
      </c>
      <c r="K860" s="45" t="n"/>
      <c r="L860" s="47" t="n"/>
      <c r="M860" s="48" t="n"/>
      <c r="N860" s="49" t="n"/>
      <c r="O860" s="50">
        <f>IF(M860="","",ROUND(M860*N860,2))</f>
        <v/>
      </c>
      <c r="P860" s="50">
        <f>IF(M860="","",M860+N(O860))</f>
        <v/>
      </c>
      <c r="Q860" s="45" t="n"/>
      <c r="R860" s="45" t="n"/>
      <c r="S860" s="51">
        <f>IF(L860="","",IF(COUNTIF(L$6:L860,L860)&gt;1,"",SUMIF(L$6:L$2000,L860,M$6:M$2000)-SUMIF(L$6:L$2000,L860,G$6:G$2000)))</f>
        <v/>
      </c>
      <c r="T860" s="46">
        <f>IF(AND(C860="",G860=""),"",IF(L860="","Nog factureren",IF(AND(G860&lt;&gt;"",OR(K860="",K860&gt;TODAY())),"Nog betalen",IF(OR(R860="",R860&gt;TODAY()),"Wacht op klant","Afgerond"))))</f>
        <v/>
      </c>
    </row>
    <row r="861">
      <c r="A861" s="45" t="n"/>
      <c r="B861" s="46">
        <f>IF(A861="","",YEAR(A861)&amp;" Q"&amp;ROUNDUP(MONTH(A861)/3,0))</f>
        <v/>
      </c>
      <c r="C861" s="47" t="n"/>
      <c r="D861" s="47" t="n"/>
      <c r="E861" s="47" t="n"/>
      <c r="F861" s="47" t="n"/>
      <c r="G861" s="48" t="n"/>
      <c r="H861" s="49" t="n"/>
      <c r="I861" s="50">
        <f>IF(G861="","",ROUND(G861*H861,2))</f>
        <v/>
      </c>
      <c r="J861" s="50">
        <f>IF(G861="","",G861+N(I861))</f>
        <v/>
      </c>
      <c r="K861" s="45" t="n"/>
      <c r="L861" s="47" t="n"/>
      <c r="M861" s="48" t="n"/>
      <c r="N861" s="49" t="n"/>
      <c r="O861" s="50">
        <f>IF(M861="","",ROUND(M861*N861,2))</f>
        <v/>
      </c>
      <c r="P861" s="50">
        <f>IF(M861="","",M861+N(O861))</f>
        <v/>
      </c>
      <c r="Q861" s="45" t="n"/>
      <c r="R861" s="45" t="n"/>
      <c r="S861" s="51">
        <f>IF(L861="","",IF(COUNTIF(L$6:L861,L861)&gt;1,"",SUMIF(L$6:L$2000,L861,M$6:M$2000)-SUMIF(L$6:L$2000,L861,G$6:G$2000)))</f>
        <v/>
      </c>
      <c r="T861" s="46">
        <f>IF(AND(C861="",G861=""),"",IF(L861="","Nog factureren",IF(AND(G861&lt;&gt;"",OR(K861="",K861&gt;TODAY())),"Nog betalen",IF(OR(R861="",R861&gt;TODAY()),"Wacht op klant","Afgerond"))))</f>
        <v/>
      </c>
    </row>
    <row r="862">
      <c r="A862" s="45" t="n"/>
      <c r="B862" s="46">
        <f>IF(A862="","",YEAR(A862)&amp;" Q"&amp;ROUNDUP(MONTH(A862)/3,0))</f>
        <v/>
      </c>
      <c r="C862" s="47" t="n"/>
      <c r="D862" s="47" t="n"/>
      <c r="E862" s="47" t="n"/>
      <c r="F862" s="47" t="n"/>
      <c r="G862" s="48" t="n"/>
      <c r="H862" s="49" t="n"/>
      <c r="I862" s="50">
        <f>IF(G862="","",ROUND(G862*H862,2))</f>
        <v/>
      </c>
      <c r="J862" s="50">
        <f>IF(G862="","",G862+N(I862))</f>
        <v/>
      </c>
      <c r="K862" s="45" t="n"/>
      <c r="L862" s="47" t="n"/>
      <c r="M862" s="48" t="n"/>
      <c r="N862" s="49" t="n"/>
      <c r="O862" s="50">
        <f>IF(M862="","",ROUND(M862*N862,2))</f>
        <v/>
      </c>
      <c r="P862" s="50">
        <f>IF(M862="","",M862+N(O862))</f>
        <v/>
      </c>
      <c r="Q862" s="45" t="n"/>
      <c r="R862" s="45" t="n"/>
      <c r="S862" s="51">
        <f>IF(L862="","",IF(COUNTIF(L$6:L862,L862)&gt;1,"",SUMIF(L$6:L$2000,L862,M$6:M$2000)-SUMIF(L$6:L$2000,L862,G$6:G$2000)))</f>
        <v/>
      </c>
      <c r="T862" s="46">
        <f>IF(AND(C862="",G862=""),"",IF(L862="","Nog factureren",IF(AND(G862&lt;&gt;"",OR(K862="",K862&gt;TODAY())),"Nog betalen",IF(OR(R862="",R862&gt;TODAY()),"Wacht op klant","Afgerond"))))</f>
        <v/>
      </c>
    </row>
    <row r="863">
      <c r="A863" s="45" t="n"/>
      <c r="B863" s="46">
        <f>IF(A863="","",YEAR(A863)&amp;" Q"&amp;ROUNDUP(MONTH(A863)/3,0))</f>
        <v/>
      </c>
      <c r="C863" s="47" t="n"/>
      <c r="D863" s="47" t="n"/>
      <c r="E863" s="47" t="n"/>
      <c r="F863" s="47" t="n"/>
      <c r="G863" s="48" t="n"/>
      <c r="H863" s="49" t="n"/>
      <c r="I863" s="50">
        <f>IF(G863="","",ROUND(G863*H863,2))</f>
        <v/>
      </c>
      <c r="J863" s="50">
        <f>IF(G863="","",G863+N(I863))</f>
        <v/>
      </c>
      <c r="K863" s="45" t="n"/>
      <c r="L863" s="47" t="n"/>
      <c r="M863" s="48" t="n"/>
      <c r="N863" s="49" t="n"/>
      <c r="O863" s="50">
        <f>IF(M863="","",ROUND(M863*N863,2))</f>
        <v/>
      </c>
      <c r="P863" s="50">
        <f>IF(M863="","",M863+N(O863))</f>
        <v/>
      </c>
      <c r="Q863" s="45" t="n"/>
      <c r="R863" s="45" t="n"/>
      <c r="S863" s="51">
        <f>IF(L863="","",IF(COUNTIF(L$6:L863,L863)&gt;1,"",SUMIF(L$6:L$2000,L863,M$6:M$2000)-SUMIF(L$6:L$2000,L863,G$6:G$2000)))</f>
        <v/>
      </c>
      <c r="T863" s="46">
        <f>IF(AND(C863="",G863=""),"",IF(L863="","Nog factureren",IF(AND(G863&lt;&gt;"",OR(K863="",K863&gt;TODAY())),"Nog betalen",IF(OR(R863="",R863&gt;TODAY()),"Wacht op klant","Afgerond"))))</f>
        <v/>
      </c>
    </row>
    <row r="864">
      <c r="A864" s="45" t="n"/>
      <c r="B864" s="46">
        <f>IF(A864="","",YEAR(A864)&amp;" Q"&amp;ROUNDUP(MONTH(A864)/3,0))</f>
        <v/>
      </c>
      <c r="C864" s="47" t="n"/>
      <c r="D864" s="47" t="n"/>
      <c r="E864" s="47" t="n"/>
      <c r="F864" s="47" t="n"/>
      <c r="G864" s="48" t="n"/>
      <c r="H864" s="49" t="n"/>
      <c r="I864" s="50">
        <f>IF(G864="","",ROUND(G864*H864,2))</f>
        <v/>
      </c>
      <c r="J864" s="50">
        <f>IF(G864="","",G864+N(I864))</f>
        <v/>
      </c>
      <c r="K864" s="45" t="n"/>
      <c r="L864" s="47" t="n"/>
      <c r="M864" s="48" t="n"/>
      <c r="N864" s="49" t="n"/>
      <c r="O864" s="50">
        <f>IF(M864="","",ROUND(M864*N864,2))</f>
        <v/>
      </c>
      <c r="P864" s="50">
        <f>IF(M864="","",M864+N(O864))</f>
        <v/>
      </c>
      <c r="Q864" s="45" t="n"/>
      <c r="R864" s="45" t="n"/>
      <c r="S864" s="51">
        <f>IF(L864="","",IF(COUNTIF(L$6:L864,L864)&gt;1,"",SUMIF(L$6:L$2000,L864,M$6:M$2000)-SUMIF(L$6:L$2000,L864,G$6:G$2000)))</f>
        <v/>
      </c>
      <c r="T864" s="46">
        <f>IF(AND(C864="",G864=""),"",IF(L864="","Nog factureren",IF(AND(G864&lt;&gt;"",OR(K864="",K864&gt;TODAY())),"Nog betalen",IF(OR(R864="",R864&gt;TODAY()),"Wacht op klant","Afgerond"))))</f>
        <v/>
      </c>
    </row>
    <row r="865">
      <c r="A865" s="45" t="n"/>
      <c r="B865" s="46">
        <f>IF(A865="","",YEAR(A865)&amp;" Q"&amp;ROUNDUP(MONTH(A865)/3,0))</f>
        <v/>
      </c>
      <c r="C865" s="47" t="n"/>
      <c r="D865" s="47" t="n"/>
      <c r="E865" s="47" t="n"/>
      <c r="F865" s="47" t="n"/>
      <c r="G865" s="48" t="n"/>
      <c r="H865" s="49" t="n"/>
      <c r="I865" s="50">
        <f>IF(G865="","",ROUND(G865*H865,2))</f>
        <v/>
      </c>
      <c r="J865" s="50">
        <f>IF(G865="","",G865+N(I865))</f>
        <v/>
      </c>
      <c r="K865" s="45" t="n"/>
      <c r="L865" s="47" t="n"/>
      <c r="M865" s="48" t="n"/>
      <c r="N865" s="49" t="n"/>
      <c r="O865" s="50">
        <f>IF(M865="","",ROUND(M865*N865,2))</f>
        <v/>
      </c>
      <c r="P865" s="50">
        <f>IF(M865="","",M865+N(O865))</f>
        <v/>
      </c>
      <c r="Q865" s="45" t="n"/>
      <c r="R865" s="45" t="n"/>
      <c r="S865" s="51">
        <f>IF(L865="","",IF(COUNTIF(L$6:L865,L865)&gt;1,"",SUMIF(L$6:L$2000,L865,M$6:M$2000)-SUMIF(L$6:L$2000,L865,G$6:G$2000)))</f>
        <v/>
      </c>
      <c r="T865" s="46">
        <f>IF(AND(C865="",G865=""),"",IF(L865="","Nog factureren",IF(AND(G865&lt;&gt;"",OR(K865="",K865&gt;TODAY())),"Nog betalen",IF(OR(R865="",R865&gt;TODAY()),"Wacht op klant","Afgerond"))))</f>
        <v/>
      </c>
    </row>
    <row r="866">
      <c r="A866" s="45" t="n"/>
      <c r="B866" s="46">
        <f>IF(A866="","",YEAR(A866)&amp;" Q"&amp;ROUNDUP(MONTH(A866)/3,0))</f>
        <v/>
      </c>
      <c r="C866" s="47" t="n"/>
      <c r="D866" s="47" t="n"/>
      <c r="E866" s="47" t="n"/>
      <c r="F866" s="47" t="n"/>
      <c r="G866" s="48" t="n"/>
      <c r="H866" s="49" t="n"/>
      <c r="I866" s="50">
        <f>IF(G866="","",ROUND(G866*H866,2))</f>
        <v/>
      </c>
      <c r="J866" s="50">
        <f>IF(G866="","",G866+N(I866))</f>
        <v/>
      </c>
      <c r="K866" s="45" t="n"/>
      <c r="L866" s="47" t="n"/>
      <c r="M866" s="48" t="n"/>
      <c r="N866" s="49" t="n"/>
      <c r="O866" s="50">
        <f>IF(M866="","",ROUND(M866*N866,2))</f>
        <v/>
      </c>
      <c r="P866" s="50">
        <f>IF(M866="","",M866+N(O866))</f>
        <v/>
      </c>
      <c r="Q866" s="45" t="n"/>
      <c r="R866" s="45" t="n"/>
      <c r="S866" s="51">
        <f>IF(L866="","",IF(COUNTIF(L$6:L866,L866)&gt;1,"",SUMIF(L$6:L$2000,L866,M$6:M$2000)-SUMIF(L$6:L$2000,L866,G$6:G$2000)))</f>
        <v/>
      </c>
      <c r="T866" s="46">
        <f>IF(AND(C866="",G866=""),"",IF(L866="","Nog factureren",IF(AND(G866&lt;&gt;"",OR(K866="",K866&gt;TODAY())),"Nog betalen",IF(OR(R866="",R866&gt;TODAY()),"Wacht op klant","Afgerond"))))</f>
        <v/>
      </c>
    </row>
    <row r="867">
      <c r="A867" s="45" t="n"/>
      <c r="B867" s="46">
        <f>IF(A867="","",YEAR(A867)&amp;" Q"&amp;ROUNDUP(MONTH(A867)/3,0))</f>
        <v/>
      </c>
      <c r="C867" s="47" t="n"/>
      <c r="D867" s="47" t="n"/>
      <c r="E867" s="47" t="n"/>
      <c r="F867" s="47" t="n"/>
      <c r="G867" s="48" t="n"/>
      <c r="H867" s="49" t="n"/>
      <c r="I867" s="50">
        <f>IF(G867="","",ROUND(G867*H867,2))</f>
        <v/>
      </c>
      <c r="J867" s="50">
        <f>IF(G867="","",G867+N(I867))</f>
        <v/>
      </c>
      <c r="K867" s="45" t="n"/>
      <c r="L867" s="47" t="n"/>
      <c r="M867" s="48" t="n"/>
      <c r="N867" s="49" t="n"/>
      <c r="O867" s="50">
        <f>IF(M867="","",ROUND(M867*N867,2))</f>
        <v/>
      </c>
      <c r="P867" s="50">
        <f>IF(M867="","",M867+N(O867))</f>
        <v/>
      </c>
      <c r="Q867" s="45" t="n"/>
      <c r="R867" s="45" t="n"/>
      <c r="S867" s="51">
        <f>IF(L867="","",IF(COUNTIF(L$6:L867,L867)&gt;1,"",SUMIF(L$6:L$2000,L867,M$6:M$2000)-SUMIF(L$6:L$2000,L867,G$6:G$2000)))</f>
        <v/>
      </c>
      <c r="T867" s="46">
        <f>IF(AND(C867="",G867=""),"",IF(L867="","Nog factureren",IF(AND(G867&lt;&gt;"",OR(K867="",K867&gt;TODAY())),"Nog betalen",IF(OR(R867="",R867&gt;TODAY()),"Wacht op klant","Afgerond"))))</f>
        <v/>
      </c>
    </row>
    <row r="868">
      <c r="A868" s="45" t="n"/>
      <c r="B868" s="46">
        <f>IF(A868="","",YEAR(A868)&amp;" Q"&amp;ROUNDUP(MONTH(A868)/3,0))</f>
        <v/>
      </c>
      <c r="C868" s="47" t="n"/>
      <c r="D868" s="47" t="n"/>
      <c r="E868" s="47" t="n"/>
      <c r="F868" s="47" t="n"/>
      <c r="G868" s="48" t="n"/>
      <c r="H868" s="49" t="n"/>
      <c r="I868" s="50">
        <f>IF(G868="","",ROUND(G868*H868,2))</f>
        <v/>
      </c>
      <c r="J868" s="50">
        <f>IF(G868="","",G868+N(I868))</f>
        <v/>
      </c>
      <c r="K868" s="45" t="n"/>
      <c r="L868" s="47" t="n"/>
      <c r="M868" s="48" t="n"/>
      <c r="N868" s="49" t="n"/>
      <c r="O868" s="50">
        <f>IF(M868="","",ROUND(M868*N868,2))</f>
        <v/>
      </c>
      <c r="P868" s="50">
        <f>IF(M868="","",M868+N(O868))</f>
        <v/>
      </c>
      <c r="Q868" s="45" t="n"/>
      <c r="R868" s="45" t="n"/>
      <c r="S868" s="51">
        <f>IF(L868="","",IF(COUNTIF(L$6:L868,L868)&gt;1,"",SUMIF(L$6:L$2000,L868,M$6:M$2000)-SUMIF(L$6:L$2000,L868,G$6:G$2000)))</f>
        <v/>
      </c>
      <c r="T868" s="46">
        <f>IF(AND(C868="",G868=""),"",IF(L868="","Nog factureren",IF(AND(G868&lt;&gt;"",OR(K868="",K868&gt;TODAY())),"Nog betalen",IF(OR(R868="",R868&gt;TODAY()),"Wacht op klant","Afgerond"))))</f>
        <v/>
      </c>
    </row>
    <row r="869">
      <c r="A869" s="45" t="n"/>
      <c r="B869" s="46">
        <f>IF(A869="","",YEAR(A869)&amp;" Q"&amp;ROUNDUP(MONTH(A869)/3,0))</f>
        <v/>
      </c>
      <c r="C869" s="47" t="n"/>
      <c r="D869" s="47" t="n"/>
      <c r="E869" s="47" t="n"/>
      <c r="F869" s="47" t="n"/>
      <c r="G869" s="48" t="n"/>
      <c r="H869" s="49" t="n"/>
      <c r="I869" s="50">
        <f>IF(G869="","",ROUND(G869*H869,2))</f>
        <v/>
      </c>
      <c r="J869" s="50">
        <f>IF(G869="","",G869+N(I869))</f>
        <v/>
      </c>
      <c r="K869" s="45" t="n"/>
      <c r="L869" s="47" t="n"/>
      <c r="M869" s="48" t="n"/>
      <c r="N869" s="49" t="n"/>
      <c r="O869" s="50">
        <f>IF(M869="","",ROUND(M869*N869,2))</f>
        <v/>
      </c>
      <c r="P869" s="50">
        <f>IF(M869="","",M869+N(O869))</f>
        <v/>
      </c>
      <c r="Q869" s="45" t="n"/>
      <c r="R869" s="45" t="n"/>
      <c r="S869" s="51">
        <f>IF(L869="","",IF(COUNTIF(L$6:L869,L869)&gt;1,"",SUMIF(L$6:L$2000,L869,M$6:M$2000)-SUMIF(L$6:L$2000,L869,G$6:G$2000)))</f>
        <v/>
      </c>
      <c r="T869" s="46">
        <f>IF(AND(C869="",G869=""),"",IF(L869="","Nog factureren",IF(AND(G869&lt;&gt;"",OR(K869="",K869&gt;TODAY())),"Nog betalen",IF(OR(R869="",R869&gt;TODAY()),"Wacht op klant","Afgerond"))))</f>
        <v/>
      </c>
    </row>
    <row r="870">
      <c r="A870" s="45" t="n"/>
      <c r="B870" s="46">
        <f>IF(A870="","",YEAR(A870)&amp;" Q"&amp;ROUNDUP(MONTH(A870)/3,0))</f>
        <v/>
      </c>
      <c r="C870" s="47" t="n"/>
      <c r="D870" s="47" t="n"/>
      <c r="E870" s="47" t="n"/>
      <c r="F870" s="47" t="n"/>
      <c r="G870" s="48" t="n"/>
      <c r="H870" s="49" t="n"/>
      <c r="I870" s="50">
        <f>IF(G870="","",ROUND(G870*H870,2))</f>
        <v/>
      </c>
      <c r="J870" s="50">
        <f>IF(G870="","",G870+N(I870))</f>
        <v/>
      </c>
      <c r="K870" s="45" t="n"/>
      <c r="L870" s="47" t="n"/>
      <c r="M870" s="48" t="n"/>
      <c r="N870" s="49" t="n"/>
      <c r="O870" s="50">
        <f>IF(M870="","",ROUND(M870*N870,2))</f>
        <v/>
      </c>
      <c r="P870" s="50">
        <f>IF(M870="","",M870+N(O870))</f>
        <v/>
      </c>
      <c r="Q870" s="45" t="n"/>
      <c r="R870" s="45" t="n"/>
      <c r="S870" s="51">
        <f>IF(L870="","",IF(COUNTIF(L$6:L870,L870)&gt;1,"",SUMIF(L$6:L$2000,L870,M$6:M$2000)-SUMIF(L$6:L$2000,L870,G$6:G$2000)))</f>
        <v/>
      </c>
      <c r="T870" s="46">
        <f>IF(AND(C870="",G870=""),"",IF(L870="","Nog factureren",IF(AND(G870&lt;&gt;"",OR(K870="",K870&gt;TODAY())),"Nog betalen",IF(OR(R870="",R870&gt;TODAY()),"Wacht op klant","Afgerond"))))</f>
        <v/>
      </c>
    </row>
    <row r="871">
      <c r="A871" s="45" t="n"/>
      <c r="B871" s="46">
        <f>IF(A871="","",YEAR(A871)&amp;" Q"&amp;ROUNDUP(MONTH(A871)/3,0))</f>
        <v/>
      </c>
      <c r="C871" s="47" t="n"/>
      <c r="D871" s="47" t="n"/>
      <c r="E871" s="47" t="n"/>
      <c r="F871" s="47" t="n"/>
      <c r="G871" s="48" t="n"/>
      <c r="H871" s="49" t="n"/>
      <c r="I871" s="50">
        <f>IF(G871="","",ROUND(G871*H871,2))</f>
        <v/>
      </c>
      <c r="J871" s="50">
        <f>IF(G871="","",G871+N(I871))</f>
        <v/>
      </c>
      <c r="K871" s="45" t="n"/>
      <c r="L871" s="47" t="n"/>
      <c r="M871" s="48" t="n"/>
      <c r="N871" s="49" t="n"/>
      <c r="O871" s="50">
        <f>IF(M871="","",ROUND(M871*N871,2))</f>
        <v/>
      </c>
      <c r="P871" s="50">
        <f>IF(M871="","",M871+N(O871))</f>
        <v/>
      </c>
      <c r="Q871" s="45" t="n"/>
      <c r="R871" s="45" t="n"/>
      <c r="S871" s="51">
        <f>IF(L871="","",IF(COUNTIF(L$6:L871,L871)&gt;1,"",SUMIF(L$6:L$2000,L871,M$6:M$2000)-SUMIF(L$6:L$2000,L871,G$6:G$2000)))</f>
        <v/>
      </c>
      <c r="T871" s="46">
        <f>IF(AND(C871="",G871=""),"",IF(L871="","Nog factureren",IF(AND(G871&lt;&gt;"",OR(K871="",K871&gt;TODAY())),"Nog betalen",IF(OR(R871="",R871&gt;TODAY()),"Wacht op klant","Afgerond"))))</f>
        <v/>
      </c>
    </row>
    <row r="872">
      <c r="A872" s="45" t="n"/>
      <c r="B872" s="46">
        <f>IF(A872="","",YEAR(A872)&amp;" Q"&amp;ROUNDUP(MONTH(A872)/3,0))</f>
        <v/>
      </c>
      <c r="C872" s="47" t="n"/>
      <c r="D872" s="47" t="n"/>
      <c r="E872" s="47" t="n"/>
      <c r="F872" s="47" t="n"/>
      <c r="G872" s="48" t="n"/>
      <c r="H872" s="49" t="n"/>
      <c r="I872" s="50">
        <f>IF(G872="","",ROUND(G872*H872,2))</f>
        <v/>
      </c>
      <c r="J872" s="50">
        <f>IF(G872="","",G872+N(I872))</f>
        <v/>
      </c>
      <c r="K872" s="45" t="n"/>
      <c r="L872" s="47" t="n"/>
      <c r="M872" s="48" t="n"/>
      <c r="N872" s="49" t="n"/>
      <c r="O872" s="50">
        <f>IF(M872="","",ROUND(M872*N872,2))</f>
        <v/>
      </c>
      <c r="P872" s="50">
        <f>IF(M872="","",M872+N(O872))</f>
        <v/>
      </c>
      <c r="Q872" s="45" t="n"/>
      <c r="R872" s="45" t="n"/>
      <c r="S872" s="51">
        <f>IF(L872="","",IF(COUNTIF(L$6:L872,L872)&gt;1,"",SUMIF(L$6:L$2000,L872,M$6:M$2000)-SUMIF(L$6:L$2000,L872,G$6:G$2000)))</f>
        <v/>
      </c>
      <c r="T872" s="46">
        <f>IF(AND(C872="",G872=""),"",IF(L872="","Nog factureren",IF(AND(G872&lt;&gt;"",OR(K872="",K872&gt;TODAY())),"Nog betalen",IF(OR(R872="",R872&gt;TODAY()),"Wacht op klant","Afgerond"))))</f>
        <v/>
      </c>
    </row>
    <row r="873">
      <c r="A873" s="45" t="n"/>
      <c r="B873" s="46">
        <f>IF(A873="","",YEAR(A873)&amp;" Q"&amp;ROUNDUP(MONTH(A873)/3,0))</f>
        <v/>
      </c>
      <c r="C873" s="47" t="n"/>
      <c r="D873" s="47" t="n"/>
      <c r="E873" s="47" t="n"/>
      <c r="F873" s="47" t="n"/>
      <c r="G873" s="48" t="n"/>
      <c r="H873" s="49" t="n"/>
      <c r="I873" s="50">
        <f>IF(G873="","",ROUND(G873*H873,2))</f>
        <v/>
      </c>
      <c r="J873" s="50">
        <f>IF(G873="","",G873+N(I873))</f>
        <v/>
      </c>
      <c r="K873" s="45" t="n"/>
      <c r="L873" s="47" t="n"/>
      <c r="M873" s="48" t="n"/>
      <c r="N873" s="49" t="n"/>
      <c r="O873" s="50">
        <f>IF(M873="","",ROUND(M873*N873,2))</f>
        <v/>
      </c>
      <c r="P873" s="50">
        <f>IF(M873="","",M873+N(O873))</f>
        <v/>
      </c>
      <c r="Q873" s="45" t="n"/>
      <c r="R873" s="45" t="n"/>
      <c r="S873" s="51">
        <f>IF(L873="","",IF(COUNTIF(L$6:L873,L873)&gt;1,"",SUMIF(L$6:L$2000,L873,M$6:M$2000)-SUMIF(L$6:L$2000,L873,G$6:G$2000)))</f>
        <v/>
      </c>
      <c r="T873" s="46">
        <f>IF(AND(C873="",G873=""),"",IF(L873="","Nog factureren",IF(AND(G873&lt;&gt;"",OR(K873="",K873&gt;TODAY())),"Nog betalen",IF(OR(R873="",R873&gt;TODAY()),"Wacht op klant","Afgerond"))))</f>
        <v/>
      </c>
    </row>
    <row r="874">
      <c r="A874" s="45" t="n"/>
      <c r="B874" s="46">
        <f>IF(A874="","",YEAR(A874)&amp;" Q"&amp;ROUNDUP(MONTH(A874)/3,0))</f>
        <v/>
      </c>
      <c r="C874" s="47" t="n"/>
      <c r="D874" s="47" t="n"/>
      <c r="E874" s="47" t="n"/>
      <c r="F874" s="47" t="n"/>
      <c r="G874" s="48" t="n"/>
      <c r="H874" s="49" t="n"/>
      <c r="I874" s="50">
        <f>IF(G874="","",ROUND(G874*H874,2))</f>
        <v/>
      </c>
      <c r="J874" s="50">
        <f>IF(G874="","",G874+N(I874))</f>
        <v/>
      </c>
      <c r="K874" s="45" t="n"/>
      <c r="L874" s="47" t="n"/>
      <c r="M874" s="48" t="n"/>
      <c r="N874" s="49" t="n"/>
      <c r="O874" s="50">
        <f>IF(M874="","",ROUND(M874*N874,2))</f>
        <v/>
      </c>
      <c r="P874" s="50">
        <f>IF(M874="","",M874+N(O874))</f>
        <v/>
      </c>
      <c r="Q874" s="45" t="n"/>
      <c r="R874" s="45" t="n"/>
      <c r="S874" s="51">
        <f>IF(L874="","",IF(COUNTIF(L$6:L874,L874)&gt;1,"",SUMIF(L$6:L$2000,L874,M$6:M$2000)-SUMIF(L$6:L$2000,L874,G$6:G$2000)))</f>
        <v/>
      </c>
      <c r="T874" s="46">
        <f>IF(AND(C874="",G874=""),"",IF(L874="","Nog factureren",IF(AND(G874&lt;&gt;"",OR(K874="",K874&gt;TODAY())),"Nog betalen",IF(OR(R874="",R874&gt;TODAY()),"Wacht op klant","Afgerond"))))</f>
        <v/>
      </c>
    </row>
    <row r="875">
      <c r="A875" s="45" t="n"/>
      <c r="B875" s="46">
        <f>IF(A875="","",YEAR(A875)&amp;" Q"&amp;ROUNDUP(MONTH(A875)/3,0))</f>
        <v/>
      </c>
      <c r="C875" s="47" t="n"/>
      <c r="D875" s="47" t="n"/>
      <c r="E875" s="47" t="n"/>
      <c r="F875" s="47" t="n"/>
      <c r="G875" s="48" t="n"/>
      <c r="H875" s="49" t="n"/>
      <c r="I875" s="50">
        <f>IF(G875="","",ROUND(G875*H875,2))</f>
        <v/>
      </c>
      <c r="J875" s="50">
        <f>IF(G875="","",G875+N(I875))</f>
        <v/>
      </c>
      <c r="K875" s="45" t="n"/>
      <c r="L875" s="47" t="n"/>
      <c r="M875" s="48" t="n"/>
      <c r="N875" s="49" t="n"/>
      <c r="O875" s="50">
        <f>IF(M875="","",ROUND(M875*N875,2))</f>
        <v/>
      </c>
      <c r="P875" s="50">
        <f>IF(M875="","",M875+N(O875))</f>
        <v/>
      </c>
      <c r="Q875" s="45" t="n"/>
      <c r="R875" s="45" t="n"/>
      <c r="S875" s="51">
        <f>IF(L875="","",IF(COUNTIF(L$6:L875,L875)&gt;1,"",SUMIF(L$6:L$2000,L875,M$6:M$2000)-SUMIF(L$6:L$2000,L875,G$6:G$2000)))</f>
        <v/>
      </c>
      <c r="T875" s="46">
        <f>IF(AND(C875="",G875=""),"",IF(L875="","Nog factureren",IF(AND(G875&lt;&gt;"",OR(K875="",K875&gt;TODAY())),"Nog betalen",IF(OR(R875="",R875&gt;TODAY()),"Wacht op klant","Afgerond"))))</f>
        <v/>
      </c>
    </row>
    <row r="876">
      <c r="A876" s="45" t="n"/>
      <c r="B876" s="46">
        <f>IF(A876="","",YEAR(A876)&amp;" Q"&amp;ROUNDUP(MONTH(A876)/3,0))</f>
        <v/>
      </c>
      <c r="C876" s="47" t="n"/>
      <c r="D876" s="47" t="n"/>
      <c r="E876" s="47" t="n"/>
      <c r="F876" s="47" t="n"/>
      <c r="G876" s="48" t="n"/>
      <c r="H876" s="49" t="n"/>
      <c r="I876" s="50">
        <f>IF(G876="","",ROUND(G876*H876,2))</f>
        <v/>
      </c>
      <c r="J876" s="50">
        <f>IF(G876="","",G876+N(I876))</f>
        <v/>
      </c>
      <c r="K876" s="45" t="n"/>
      <c r="L876" s="47" t="n"/>
      <c r="M876" s="48" t="n"/>
      <c r="N876" s="49" t="n"/>
      <c r="O876" s="50">
        <f>IF(M876="","",ROUND(M876*N876,2))</f>
        <v/>
      </c>
      <c r="P876" s="50">
        <f>IF(M876="","",M876+N(O876))</f>
        <v/>
      </c>
      <c r="Q876" s="45" t="n"/>
      <c r="R876" s="45" t="n"/>
      <c r="S876" s="51">
        <f>IF(L876="","",IF(COUNTIF(L$6:L876,L876)&gt;1,"",SUMIF(L$6:L$2000,L876,M$6:M$2000)-SUMIF(L$6:L$2000,L876,G$6:G$2000)))</f>
        <v/>
      </c>
      <c r="T876" s="46">
        <f>IF(AND(C876="",G876=""),"",IF(L876="","Nog factureren",IF(AND(G876&lt;&gt;"",OR(K876="",K876&gt;TODAY())),"Nog betalen",IF(OR(R876="",R876&gt;TODAY()),"Wacht op klant","Afgerond"))))</f>
        <v/>
      </c>
    </row>
    <row r="877">
      <c r="A877" s="45" t="n"/>
      <c r="B877" s="46">
        <f>IF(A877="","",YEAR(A877)&amp;" Q"&amp;ROUNDUP(MONTH(A877)/3,0))</f>
        <v/>
      </c>
      <c r="C877" s="47" t="n"/>
      <c r="D877" s="47" t="n"/>
      <c r="E877" s="47" t="n"/>
      <c r="F877" s="47" t="n"/>
      <c r="G877" s="48" t="n"/>
      <c r="H877" s="49" t="n"/>
      <c r="I877" s="50">
        <f>IF(G877="","",ROUND(G877*H877,2))</f>
        <v/>
      </c>
      <c r="J877" s="50">
        <f>IF(G877="","",G877+N(I877))</f>
        <v/>
      </c>
      <c r="K877" s="45" t="n"/>
      <c r="L877" s="47" t="n"/>
      <c r="M877" s="48" t="n"/>
      <c r="N877" s="49" t="n"/>
      <c r="O877" s="50">
        <f>IF(M877="","",ROUND(M877*N877,2))</f>
        <v/>
      </c>
      <c r="P877" s="50">
        <f>IF(M877="","",M877+N(O877))</f>
        <v/>
      </c>
      <c r="Q877" s="45" t="n"/>
      <c r="R877" s="45" t="n"/>
      <c r="S877" s="51">
        <f>IF(L877="","",IF(COUNTIF(L$6:L877,L877)&gt;1,"",SUMIF(L$6:L$2000,L877,M$6:M$2000)-SUMIF(L$6:L$2000,L877,G$6:G$2000)))</f>
        <v/>
      </c>
      <c r="T877" s="46">
        <f>IF(AND(C877="",G877=""),"",IF(L877="","Nog factureren",IF(AND(G877&lt;&gt;"",OR(K877="",K877&gt;TODAY())),"Nog betalen",IF(OR(R877="",R877&gt;TODAY()),"Wacht op klant","Afgerond"))))</f>
        <v/>
      </c>
    </row>
    <row r="878">
      <c r="A878" s="45" t="n"/>
      <c r="B878" s="46">
        <f>IF(A878="","",YEAR(A878)&amp;" Q"&amp;ROUNDUP(MONTH(A878)/3,0))</f>
        <v/>
      </c>
      <c r="C878" s="47" t="n"/>
      <c r="D878" s="47" t="n"/>
      <c r="E878" s="47" t="n"/>
      <c r="F878" s="47" t="n"/>
      <c r="G878" s="48" t="n"/>
      <c r="H878" s="49" t="n"/>
      <c r="I878" s="50">
        <f>IF(G878="","",ROUND(G878*H878,2))</f>
        <v/>
      </c>
      <c r="J878" s="50">
        <f>IF(G878="","",G878+N(I878))</f>
        <v/>
      </c>
      <c r="K878" s="45" t="n"/>
      <c r="L878" s="47" t="n"/>
      <c r="M878" s="48" t="n"/>
      <c r="N878" s="49" t="n"/>
      <c r="O878" s="50">
        <f>IF(M878="","",ROUND(M878*N878,2))</f>
        <v/>
      </c>
      <c r="P878" s="50">
        <f>IF(M878="","",M878+N(O878))</f>
        <v/>
      </c>
      <c r="Q878" s="45" t="n"/>
      <c r="R878" s="45" t="n"/>
      <c r="S878" s="51">
        <f>IF(L878="","",IF(COUNTIF(L$6:L878,L878)&gt;1,"",SUMIF(L$6:L$2000,L878,M$6:M$2000)-SUMIF(L$6:L$2000,L878,G$6:G$2000)))</f>
        <v/>
      </c>
      <c r="T878" s="46">
        <f>IF(AND(C878="",G878=""),"",IF(L878="","Nog factureren",IF(AND(G878&lt;&gt;"",OR(K878="",K878&gt;TODAY())),"Nog betalen",IF(OR(R878="",R878&gt;TODAY()),"Wacht op klant","Afgerond"))))</f>
        <v/>
      </c>
    </row>
    <row r="879">
      <c r="A879" s="45" t="n"/>
      <c r="B879" s="46">
        <f>IF(A879="","",YEAR(A879)&amp;" Q"&amp;ROUNDUP(MONTH(A879)/3,0))</f>
        <v/>
      </c>
      <c r="C879" s="47" t="n"/>
      <c r="D879" s="47" t="n"/>
      <c r="E879" s="47" t="n"/>
      <c r="F879" s="47" t="n"/>
      <c r="G879" s="48" t="n"/>
      <c r="H879" s="49" t="n"/>
      <c r="I879" s="50">
        <f>IF(G879="","",ROUND(G879*H879,2))</f>
        <v/>
      </c>
      <c r="J879" s="50">
        <f>IF(G879="","",G879+N(I879))</f>
        <v/>
      </c>
      <c r="K879" s="45" t="n"/>
      <c r="L879" s="47" t="n"/>
      <c r="M879" s="48" t="n"/>
      <c r="N879" s="49" t="n"/>
      <c r="O879" s="50">
        <f>IF(M879="","",ROUND(M879*N879,2))</f>
        <v/>
      </c>
      <c r="P879" s="50">
        <f>IF(M879="","",M879+N(O879))</f>
        <v/>
      </c>
      <c r="Q879" s="45" t="n"/>
      <c r="R879" s="45" t="n"/>
      <c r="S879" s="51">
        <f>IF(L879="","",IF(COUNTIF(L$6:L879,L879)&gt;1,"",SUMIF(L$6:L$2000,L879,M$6:M$2000)-SUMIF(L$6:L$2000,L879,G$6:G$2000)))</f>
        <v/>
      </c>
      <c r="T879" s="46">
        <f>IF(AND(C879="",G879=""),"",IF(L879="","Nog factureren",IF(AND(G879&lt;&gt;"",OR(K879="",K879&gt;TODAY())),"Nog betalen",IF(OR(R879="",R879&gt;TODAY()),"Wacht op klant","Afgerond"))))</f>
        <v/>
      </c>
    </row>
    <row r="880">
      <c r="A880" s="45" t="n"/>
      <c r="B880" s="46">
        <f>IF(A880="","",YEAR(A880)&amp;" Q"&amp;ROUNDUP(MONTH(A880)/3,0))</f>
        <v/>
      </c>
      <c r="C880" s="47" t="n"/>
      <c r="D880" s="47" t="n"/>
      <c r="E880" s="47" t="n"/>
      <c r="F880" s="47" t="n"/>
      <c r="G880" s="48" t="n"/>
      <c r="H880" s="49" t="n"/>
      <c r="I880" s="50">
        <f>IF(G880="","",ROUND(G880*H880,2))</f>
        <v/>
      </c>
      <c r="J880" s="50">
        <f>IF(G880="","",G880+N(I880))</f>
        <v/>
      </c>
      <c r="K880" s="45" t="n"/>
      <c r="L880" s="47" t="n"/>
      <c r="M880" s="48" t="n"/>
      <c r="N880" s="49" t="n"/>
      <c r="O880" s="50">
        <f>IF(M880="","",ROUND(M880*N880,2))</f>
        <v/>
      </c>
      <c r="P880" s="50">
        <f>IF(M880="","",M880+N(O880))</f>
        <v/>
      </c>
      <c r="Q880" s="45" t="n"/>
      <c r="R880" s="45" t="n"/>
      <c r="S880" s="51">
        <f>IF(L880="","",IF(COUNTIF(L$6:L880,L880)&gt;1,"",SUMIF(L$6:L$2000,L880,M$6:M$2000)-SUMIF(L$6:L$2000,L880,G$6:G$2000)))</f>
        <v/>
      </c>
      <c r="T880" s="46">
        <f>IF(AND(C880="",G880=""),"",IF(L880="","Nog factureren",IF(AND(G880&lt;&gt;"",OR(K880="",K880&gt;TODAY())),"Nog betalen",IF(OR(R880="",R880&gt;TODAY()),"Wacht op klant","Afgerond"))))</f>
        <v/>
      </c>
    </row>
    <row r="881">
      <c r="A881" s="45" t="n"/>
      <c r="B881" s="46">
        <f>IF(A881="","",YEAR(A881)&amp;" Q"&amp;ROUNDUP(MONTH(A881)/3,0))</f>
        <v/>
      </c>
      <c r="C881" s="47" t="n"/>
      <c r="D881" s="47" t="n"/>
      <c r="E881" s="47" t="n"/>
      <c r="F881" s="47" t="n"/>
      <c r="G881" s="48" t="n"/>
      <c r="H881" s="49" t="n"/>
      <c r="I881" s="50">
        <f>IF(G881="","",ROUND(G881*H881,2))</f>
        <v/>
      </c>
      <c r="J881" s="50">
        <f>IF(G881="","",G881+N(I881))</f>
        <v/>
      </c>
      <c r="K881" s="45" t="n"/>
      <c r="L881" s="47" t="n"/>
      <c r="M881" s="48" t="n"/>
      <c r="N881" s="49" t="n"/>
      <c r="O881" s="50">
        <f>IF(M881="","",ROUND(M881*N881,2))</f>
        <v/>
      </c>
      <c r="P881" s="50">
        <f>IF(M881="","",M881+N(O881))</f>
        <v/>
      </c>
      <c r="Q881" s="45" t="n"/>
      <c r="R881" s="45" t="n"/>
      <c r="S881" s="51">
        <f>IF(L881="","",IF(COUNTIF(L$6:L881,L881)&gt;1,"",SUMIF(L$6:L$2000,L881,M$6:M$2000)-SUMIF(L$6:L$2000,L881,G$6:G$2000)))</f>
        <v/>
      </c>
      <c r="T881" s="46">
        <f>IF(AND(C881="",G881=""),"",IF(L881="","Nog factureren",IF(AND(G881&lt;&gt;"",OR(K881="",K881&gt;TODAY())),"Nog betalen",IF(OR(R881="",R881&gt;TODAY()),"Wacht op klant","Afgerond"))))</f>
        <v/>
      </c>
    </row>
    <row r="882">
      <c r="A882" s="45" t="n"/>
      <c r="B882" s="46">
        <f>IF(A882="","",YEAR(A882)&amp;" Q"&amp;ROUNDUP(MONTH(A882)/3,0))</f>
        <v/>
      </c>
      <c r="C882" s="47" t="n"/>
      <c r="D882" s="47" t="n"/>
      <c r="E882" s="47" t="n"/>
      <c r="F882" s="47" t="n"/>
      <c r="G882" s="48" t="n"/>
      <c r="H882" s="49" t="n"/>
      <c r="I882" s="50">
        <f>IF(G882="","",ROUND(G882*H882,2))</f>
        <v/>
      </c>
      <c r="J882" s="50">
        <f>IF(G882="","",G882+N(I882))</f>
        <v/>
      </c>
      <c r="K882" s="45" t="n"/>
      <c r="L882" s="47" t="n"/>
      <c r="M882" s="48" t="n"/>
      <c r="N882" s="49" t="n"/>
      <c r="O882" s="50">
        <f>IF(M882="","",ROUND(M882*N882,2))</f>
        <v/>
      </c>
      <c r="P882" s="50">
        <f>IF(M882="","",M882+N(O882))</f>
        <v/>
      </c>
      <c r="Q882" s="45" t="n"/>
      <c r="R882" s="45" t="n"/>
      <c r="S882" s="51">
        <f>IF(L882="","",IF(COUNTIF(L$6:L882,L882)&gt;1,"",SUMIF(L$6:L$2000,L882,M$6:M$2000)-SUMIF(L$6:L$2000,L882,G$6:G$2000)))</f>
        <v/>
      </c>
      <c r="T882" s="46">
        <f>IF(AND(C882="",G882=""),"",IF(L882="","Nog factureren",IF(AND(G882&lt;&gt;"",OR(K882="",K882&gt;TODAY())),"Nog betalen",IF(OR(R882="",R882&gt;TODAY()),"Wacht op klant","Afgerond"))))</f>
        <v/>
      </c>
    </row>
    <row r="883">
      <c r="A883" s="45" t="n"/>
      <c r="B883" s="46">
        <f>IF(A883="","",YEAR(A883)&amp;" Q"&amp;ROUNDUP(MONTH(A883)/3,0))</f>
        <v/>
      </c>
      <c r="C883" s="47" t="n"/>
      <c r="D883" s="47" t="n"/>
      <c r="E883" s="47" t="n"/>
      <c r="F883" s="47" t="n"/>
      <c r="G883" s="48" t="n"/>
      <c r="H883" s="49" t="n"/>
      <c r="I883" s="50">
        <f>IF(G883="","",ROUND(G883*H883,2))</f>
        <v/>
      </c>
      <c r="J883" s="50">
        <f>IF(G883="","",G883+N(I883))</f>
        <v/>
      </c>
      <c r="K883" s="45" t="n"/>
      <c r="L883" s="47" t="n"/>
      <c r="M883" s="48" t="n"/>
      <c r="N883" s="49" t="n"/>
      <c r="O883" s="50">
        <f>IF(M883="","",ROUND(M883*N883,2))</f>
        <v/>
      </c>
      <c r="P883" s="50">
        <f>IF(M883="","",M883+N(O883))</f>
        <v/>
      </c>
      <c r="Q883" s="45" t="n"/>
      <c r="R883" s="45" t="n"/>
      <c r="S883" s="51">
        <f>IF(L883="","",IF(COUNTIF(L$6:L883,L883)&gt;1,"",SUMIF(L$6:L$2000,L883,M$6:M$2000)-SUMIF(L$6:L$2000,L883,G$6:G$2000)))</f>
        <v/>
      </c>
      <c r="T883" s="46">
        <f>IF(AND(C883="",G883=""),"",IF(L883="","Nog factureren",IF(AND(G883&lt;&gt;"",OR(K883="",K883&gt;TODAY())),"Nog betalen",IF(OR(R883="",R883&gt;TODAY()),"Wacht op klant","Afgerond"))))</f>
        <v/>
      </c>
    </row>
    <row r="884">
      <c r="A884" s="45" t="n"/>
      <c r="B884" s="46">
        <f>IF(A884="","",YEAR(A884)&amp;" Q"&amp;ROUNDUP(MONTH(A884)/3,0))</f>
        <v/>
      </c>
      <c r="C884" s="47" t="n"/>
      <c r="D884" s="47" t="n"/>
      <c r="E884" s="47" t="n"/>
      <c r="F884" s="47" t="n"/>
      <c r="G884" s="48" t="n"/>
      <c r="H884" s="49" t="n"/>
      <c r="I884" s="50">
        <f>IF(G884="","",ROUND(G884*H884,2))</f>
        <v/>
      </c>
      <c r="J884" s="50">
        <f>IF(G884="","",G884+N(I884))</f>
        <v/>
      </c>
      <c r="K884" s="45" t="n"/>
      <c r="L884" s="47" t="n"/>
      <c r="M884" s="48" t="n"/>
      <c r="N884" s="49" t="n"/>
      <c r="O884" s="50">
        <f>IF(M884="","",ROUND(M884*N884,2))</f>
        <v/>
      </c>
      <c r="P884" s="50">
        <f>IF(M884="","",M884+N(O884))</f>
        <v/>
      </c>
      <c r="Q884" s="45" t="n"/>
      <c r="R884" s="45" t="n"/>
      <c r="S884" s="51">
        <f>IF(L884="","",IF(COUNTIF(L$6:L884,L884)&gt;1,"",SUMIF(L$6:L$2000,L884,M$6:M$2000)-SUMIF(L$6:L$2000,L884,G$6:G$2000)))</f>
        <v/>
      </c>
      <c r="T884" s="46">
        <f>IF(AND(C884="",G884=""),"",IF(L884="","Nog factureren",IF(AND(G884&lt;&gt;"",OR(K884="",K884&gt;TODAY())),"Nog betalen",IF(OR(R884="",R884&gt;TODAY()),"Wacht op klant","Afgerond"))))</f>
        <v/>
      </c>
    </row>
    <row r="885">
      <c r="A885" s="45" t="n"/>
      <c r="B885" s="46">
        <f>IF(A885="","",YEAR(A885)&amp;" Q"&amp;ROUNDUP(MONTH(A885)/3,0))</f>
        <v/>
      </c>
      <c r="C885" s="47" t="n"/>
      <c r="D885" s="47" t="n"/>
      <c r="E885" s="47" t="n"/>
      <c r="F885" s="47" t="n"/>
      <c r="G885" s="48" t="n"/>
      <c r="H885" s="49" t="n"/>
      <c r="I885" s="50">
        <f>IF(G885="","",ROUND(G885*H885,2))</f>
        <v/>
      </c>
      <c r="J885" s="50">
        <f>IF(G885="","",G885+N(I885))</f>
        <v/>
      </c>
      <c r="K885" s="45" t="n"/>
      <c r="L885" s="47" t="n"/>
      <c r="M885" s="48" t="n"/>
      <c r="N885" s="49" t="n"/>
      <c r="O885" s="50">
        <f>IF(M885="","",ROUND(M885*N885,2))</f>
        <v/>
      </c>
      <c r="P885" s="50">
        <f>IF(M885="","",M885+N(O885))</f>
        <v/>
      </c>
      <c r="Q885" s="45" t="n"/>
      <c r="R885" s="45" t="n"/>
      <c r="S885" s="51">
        <f>IF(L885="","",IF(COUNTIF(L$6:L885,L885)&gt;1,"",SUMIF(L$6:L$2000,L885,M$6:M$2000)-SUMIF(L$6:L$2000,L885,G$6:G$2000)))</f>
        <v/>
      </c>
      <c r="T885" s="46">
        <f>IF(AND(C885="",G885=""),"",IF(L885="","Nog factureren",IF(AND(G885&lt;&gt;"",OR(K885="",K885&gt;TODAY())),"Nog betalen",IF(OR(R885="",R885&gt;TODAY()),"Wacht op klant","Afgerond"))))</f>
        <v/>
      </c>
    </row>
    <row r="886">
      <c r="A886" s="45" t="n"/>
      <c r="B886" s="46">
        <f>IF(A886="","",YEAR(A886)&amp;" Q"&amp;ROUNDUP(MONTH(A886)/3,0))</f>
        <v/>
      </c>
      <c r="C886" s="47" t="n"/>
      <c r="D886" s="47" t="n"/>
      <c r="E886" s="47" t="n"/>
      <c r="F886" s="47" t="n"/>
      <c r="G886" s="48" t="n"/>
      <c r="H886" s="49" t="n"/>
      <c r="I886" s="50">
        <f>IF(G886="","",ROUND(G886*H886,2))</f>
        <v/>
      </c>
      <c r="J886" s="50">
        <f>IF(G886="","",G886+N(I886))</f>
        <v/>
      </c>
      <c r="K886" s="45" t="n"/>
      <c r="L886" s="47" t="n"/>
      <c r="M886" s="48" t="n"/>
      <c r="N886" s="49" t="n"/>
      <c r="O886" s="50">
        <f>IF(M886="","",ROUND(M886*N886,2))</f>
        <v/>
      </c>
      <c r="P886" s="50">
        <f>IF(M886="","",M886+N(O886))</f>
        <v/>
      </c>
      <c r="Q886" s="45" t="n"/>
      <c r="R886" s="45" t="n"/>
      <c r="S886" s="51">
        <f>IF(L886="","",IF(COUNTIF(L$6:L886,L886)&gt;1,"",SUMIF(L$6:L$2000,L886,M$6:M$2000)-SUMIF(L$6:L$2000,L886,G$6:G$2000)))</f>
        <v/>
      </c>
      <c r="T886" s="46">
        <f>IF(AND(C886="",G886=""),"",IF(L886="","Nog factureren",IF(AND(G886&lt;&gt;"",OR(K886="",K886&gt;TODAY())),"Nog betalen",IF(OR(R886="",R886&gt;TODAY()),"Wacht op klant","Afgerond"))))</f>
        <v/>
      </c>
    </row>
    <row r="887">
      <c r="A887" s="45" t="n"/>
      <c r="B887" s="46">
        <f>IF(A887="","",YEAR(A887)&amp;" Q"&amp;ROUNDUP(MONTH(A887)/3,0))</f>
        <v/>
      </c>
      <c r="C887" s="47" t="n"/>
      <c r="D887" s="47" t="n"/>
      <c r="E887" s="47" t="n"/>
      <c r="F887" s="47" t="n"/>
      <c r="G887" s="48" t="n"/>
      <c r="H887" s="49" t="n"/>
      <c r="I887" s="50">
        <f>IF(G887="","",ROUND(G887*H887,2))</f>
        <v/>
      </c>
      <c r="J887" s="50">
        <f>IF(G887="","",G887+N(I887))</f>
        <v/>
      </c>
      <c r="K887" s="45" t="n"/>
      <c r="L887" s="47" t="n"/>
      <c r="M887" s="48" t="n"/>
      <c r="N887" s="49" t="n"/>
      <c r="O887" s="50">
        <f>IF(M887="","",ROUND(M887*N887,2))</f>
        <v/>
      </c>
      <c r="P887" s="50">
        <f>IF(M887="","",M887+N(O887))</f>
        <v/>
      </c>
      <c r="Q887" s="45" t="n"/>
      <c r="R887" s="45" t="n"/>
      <c r="S887" s="51">
        <f>IF(L887="","",IF(COUNTIF(L$6:L887,L887)&gt;1,"",SUMIF(L$6:L$2000,L887,M$6:M$2000)-SUMIF(L$6:L$2000,L887,G$6:G$2000)))</f>
        <v/>
      </c>
      <c r="T887" s="46">
        <f>IF(AND(C887="",G887=""),"",IF(L887="","Nog factureren",IF(AND(G887&lt;&gt;"",OR(K887="",K887&gt;TODAY())),"Nog betalen",IF(OR(R887="",R887&gt;TODAY()),"Wacht op klant","Afgerond"))))</f>
        <v/>
      </c>
    </row>
    <row r="888">
      <c r="A888" s="45" t="n"/>
      <c r="B888" s="46">
        <f>IF(A888="","",YEAR(A888)&amp;" Q"&amp;ROUNDUP(MONTH(A888)/3,0))</f>
        <v/>
      </c>
      <c r="C888" s="47" t="n"/>
      <c r="D888" s="47" t="n"/>
      <c r="E888" s="47" t="n"/>
      <c r="F888" s="47" t="n"/>
      <c r="G888" s="48" t="n"/>
      <c r="H888" s="49" t="n"/>
      <c r="I888" s="50">
        <f>IF(G888="","",ROUND(G888*H888,2))</f>
        <v/>
      </c>
      <c r="J888" s="50">
        <f>IF(G888="","",G888+N(I888))</f>
        <v/>
      </c>
      <c r="K888" s="45" t="n"/>
      <c r="L888" s="47" t="n"/>
      <c r="M888" s="48" t="n"/>
      <c r="N888" s="49" t="n"/>
      <c r="O888" s="50">
        <f>IF(M888="","",ROUND(M888*N888,2))</f>
        <v/>
      </c>
      <c r="P888" s="50">
        <f>IF(M888="","",M888+N(O888))</f>
        <v/>
      </c>
      <c r="Q888" s="45" t="n"/>
      <c r="R888" s="45" t="n"/>
      <c r="S888" s="51">
        <f>IF(L888="","",IF(COUNTIF(L$6:L888,L888)&gt;1,"",SUMIF(L$6:L$2000,L888,M$6:M$2000)-SUMIF(L$6:L$2000,L888,G$6:G$2000)))</f>
        <v/>
      </c>
      <c r="T888" s="46">
        <f>IF(AND(C888="",G888=""),"",IF(L888="","Nog factureren",IF(AND(G888&lt;&gt;"",OR(K888="",K888&gt;TODAY())),"Nog betalen",IF(OR(R888="",R888&gt;TODAY()),"Wacht op klant","Afgerond"))))</f>
        <v/>
      </c>
    </row>
    <row r="889">
      <c r="A889" s="45" t="n"/>
      <c r="B889" s="46">
        <f>IF(A889="","",YEAR(A889)&amp;" Q"&amp;ROUNDUP(MONTH(A889)/3,0))</f>
        <v/>
      </c>
      <c r="C889" s="47" t="n"/>
      <c r="D889" s="47" t="n"/>
      <c r="E889" s="47" t="n"/>
      <c r="F889" s="47" t="n"/>
      <c r="G889" s="48" t="n"/>
      <c r="H889" s="49" t="n"/>
      <c r="I889" s="50">
        <f>IF(G889="","",ROUND(G889*H889,2))</f>
        <v/>
      </c>
      <c r="J889" s="50">
        <f>IF(G889="","",G889+N(I889))</f>
        <v/>
      </c>
      <c r="K889" s="45" t="n"/>
      <c r="L889" s="47" t="n"/>
      <c r="M889" s="48" t="n"/>
      <c r="N889" s="49" t="n"/>
      <c r="O889" s="50">
        <f>IF(M889="","",ROUND(M889*N889,2))</f>
        <v/>
      </c>
      <c r="P889" s="50">
        <f>IF(M889="","",M889+N(O889))</f>
        <v/>
      </c>
      <c r="Q889" s="45" t="n"/>
      <c r="R889" s="45" t="n"/>
      <c r="S889" s="51">
        <f>IF(L889="","",IF(COUNTIF(L$6:L889,L889)&gt;1,"",SUMIF(L$6:L$2000,L889,M$6:M$2000)-SUMIF(L$6:L$2000,L889,G$6:G$2000)))</f>
        <v/>
      </c>
      <c r="T889" s="46">
        <f>IF(AND(C889="",G889=""),"",IF(L889="","Nog factureren",IF(AND(G889&lt;&gt;"",OR(K889="",K889&gt;TODAY())),"Nog betalen",IF(OR(R889="",R889&gt;TODAY()),"Wacht op klant","Afgerond"))))</f>
        <v/>
      </c>
    </row>
    <row r="890">
      <c r="A890" s="45" t="n"/>
      <c r="B890" s="46">
        <f>IF(A890="","",YEAR(A890)&amp;" Q"&amp;ROUNDUP(MONTH(A890)/3,0))</f>
        <v/>
      </c>
      <c r="C890" s="47" t="n"/>
      <c r="D890" s="47" t="n"/>
      <c r="E890" s="47" t="n"/>
      <c r="F890" s="47" t="n"/>
      <c r="G890" s="48" t="n"/>
      <c r="H890" s="49" t="n"/>
      <c r="I890" s="50">
        <f>IF(G890="","",ROUND(G890*H890,2))</f>
        <v/>
      </c>
      <c r="J890" s="50">
        <f>IF(G890="","",G890+N(I890))</f>
        <v/>
      </c>
      <c r="K890" s="45" t="n"/>
      <c r="L890" s="47" t="n"/>
      <c r="M890" s="48" t="n"/>
      <c r="N890" s="49" t="n"/>
      <c r="O890" s="50">
        <f>IF(M890="","",ROUND(M890*N890,2))</f>
        <v/>
      </c>
      <c r="P890" s="50">
        <f>IF(M890="","",M890+N(O890))</f>
        <v/>
      </c>
      <c r="Q890" s="45" t="n"/>
      <c r="R890" s="45" t="n"/>
      <c r="S890" s="51">
        <f>IF(L890="","",IF(COUNTIF(L$6:L890,L890)&gt;1,"",SUMIF(L$6:L$2000,L890,M$6:M$2000)-SUMIF(L$6:L$2000,L890,G$6:G$2000)))</f>
        <v/>
      </c>
      <c r="T890" s="46">
        <f>IF(AND(C890="",G890=""),"",IF(L890="","Nog factureren",IF(AND(G890&lt;&gt;"",OR(K890="",K890&gt;TODAY())),"Nog betalen",IF(OR(R890="",R890&gt;TODAY()),"Wacht op klant","Afgerond"))))</f>
        <v/>
      </c>
    </row>
    <row r="891">
      <c r="A891" s="45" t="n"/>
      <c r="B891" s="46">
        <f>IF(A891="","",YEAR(A891)&amp;" Q"&amp;ROUNDUP(MONTH(A891)/3,0))</f>
        <v/>
      </c>
      <c r="C891" s="47" t="n"/>
      <c r="D891" s="47" t="n"/>
      <c r="E891" s="47" t="n"/>
      <c r="F891" s="47" t="n"/>
      <c r="G891" s="48" t="n"/>
      <c r="H891" s="49" t="n"/>
      <c r="I891" s="50">
        <f>IF(G891="","",ROUND(G891*H891,2))</f>
        <v/>
      </c>
      <c r="J891" s="50">
        <f>IF(G891="","",G891+N(I891))</f>
        <v/>
      </c>
      <c r="K891" s="45" t="n"/>
      <c r="L891" s="47" t="n"/>
      <c r="M891" s="48" t="n"/>
      <c r="N891" s="49" t="n"/>
      <c r="O891" s="50">
        <f>IF(M891="","",ROUND(M891*N891,2))</f>
        <v/>
      </c>
      <c r="P891" s="50">
        <f>IF(M891="","",M891+N(O891))</f>
        <v/>
      </c>
      <c r="Q891" s="45" t="n"/>
      <c r="R891" s="45" t="n"/>
      <c r="S891" s="51">
        <f>IF(L891="","",IF(COUNTIF(L$6:L891,L891)&gt;1,"",SUMIF(L$6:L$2000,L891,M$6:M$2000)-SUMIF(L$6:L$2000,L891,G$6:G$2000)))</f>
        <v/>
      </c>
      <c r="T891" s="46">
        <f>IF(AND(C891="",G891=""),"",IF(L891="","Nog factureren",IF(AND(G891&lt;&gt;"",OR(K891="",K891&gt;TODAY())),"Nog betalen",IF(OR(R891="",R891&gt;TODAY()),"Wacht op klant","Afgerond"))))</f>
        <v/>
      </c>
    </row>
    <row r="892">
      <c r="A892" s="45" t="n"/>
      <c r="B892" s="46">
        <f>IF(A892="","",YEAR(A892)&amp;" Q"&amp;ROUNDUP(MONTH(A892)/3,0))</f>
        <v/>
      </c>
      <c r="C892" s="47" t="n"/>
      <c r="D892" s="47" t="n"/>
      <c r="E892" s="47" t="n"/>
      <c r="F892" s="47" t="n"/>
      <c r="G892" s="48" t="n"/>
      <c r="H892" s="49" t="n"/>
      <c r="I892" s="50">
        <f>IF(G892="","",ROUND(G892*H892,2))</f>
        <v/>
      </c>
      <c r="J892" s="50">
        <f>IF(G892="","",G892+N(I892))</f>
        <v/>
      </c>
      <c r="K892" s="45" t="n"/>
      <c r="L892" s="47" t="n"/>
      <c r="M892" s="48" t="n"/>
      <c r="N892" s="49" t="n"/>
      <c r="O892" s="50">
        <f>IF(M892="","",ROUND(M892*N892,2))</f>
        <v/>
      </c>
      <c r="P892" s="50">
        <f>IF(M892="","",M892+N(O892))</f>
        <v/>
      </c>
      <c r="Q892" s="45" t="n"/>
      <c r="R892" s="45" t="n"/>
      <c r="S892" s="51">
        <f>IF(L892="","",IF(COUNTIF(L$6:L892,L892)&gt;1,"",SUMIF(L$6:L$2000,L892,M$6:M$2000)-SUMIF(L$6:L$2000,L892,G$6:G$2000)))</f>
        <v/>
      </c>
      <c r="T892" s="46">
        <f>IF(AND(C892="",G892=""),"",IF(L892="","Nog factureren",IF(AND(G892&lt;&gt;"",OR(K892="",K892&gt;TODAY())),"Nog betalen",IF(OR(R892="",R892&gt;TODAY()),"Wacht op klant","Afgerond"))))</f>
        <v/>
      </c>
    </row>
    <row r="893">
      <c r="A893" s="45" t="n"/>
      <c r="B893" s="46">
        <f>IF(A893="","",YEAR(A893)&amp;" Q"&amp;ROUNDUP(MONTH(A893)/3,0))</f>
        <v/>
      </c>
      <c r="C893" s="47" t="n"/>
      <c r="D893" s="47" t="n"/>
      <c r="E893" s="47" t="n"/>
      <c r="F893" s="47" t="n"/>
      <c r="G893" s="48" t="n"/>
      <c r="H893" s="49" t="n"/>
      <c r="I893" s="50">
        <f>IF(G893="","",ROUND(G893*H893,2))</f>
        <v/>
      </c>
      <c r="J893" s="50">
        <f>IF(G893="","",G893+N(I893))</f>
        <v/>
      </c>
      <c r="K893" s="45" t="n"/>
      <c r="L893" s="47" t="n"/>
      <c r="M893" s="48" t="n"/>
      <c r="N893" s="49" t="n"/>
      <c r="O893" s="50">
        <f>IF(M893="","",ROUND(M893*N893,2))</f>
        <v/>
      </c>
      <c r="P893" s="50">
        <f>IF(M893="","",M893+N(O893))</f>
        <v/>
      </c>
      <c r="Q893" s="45" t="n"/>
      <c r="R893" s="45" t="n"/>
      <c r="S893" s="51">
        <f>IF(L893="","",IF(COUNTIF(L$6:L893,L893)&gt;1,"",SUMIF(L$6:L$2000,L893,M$6:M$2000)-SUMIF(L$6:L$2000,L893,G$6:G$2000)))</f>
        <v/>
      </c>
      <c r="T893" s="46">
        <f>IF(AND(C893="",G893=""),"",IF(L893="","Nog factureren",IF(AND(G893&lt;&gt;"",OR(K893="",K893&gt;TODAY())),"Nog betalen",IF(OR(R893="",R893&gt;TODAY()),"Wacht op klant","Afgerond"))))</f>
        <v/>
      </c>
    </row>
    <row r="894">
      <c r="A894" s="45" t="n"/>
      <c r="B894" s="46">
        <f>IF(A894="","",YEAR(A894)&amp;" Q"&amp;ROUNDUP(MONTH(A894)/3,0))</f>
        <v/>
      </c>
      <c r="C894" s="47" t="n"/>
      <c r="D894" s="47" t="n"/>
      <c r="E894" s="47" t="n"/>
      <c r="F894" s="47" t="n"/>
      <c r="G894" s="48" t="n"/>
      <c r="H894" s="49" t="n"/>
      <c r="I894" s="50">
        <f>IF(G894="","",ROUND(G894*H894,2))</f>
        <v/>
      </c>
      <c r="J894" s="50">
        <f>IF(G894="","",G894+N(I894))</f>
        <v/>
      </c>
      <c r="K894" s="45" t="n"/>
      <c r="L894" s="47" t="n"/>
      <c r="M894" s="48" t="n"/>
      <c r="N894" s="49" t="n"/>
      <c r="O894" s="50">
        <f>IF(M894="","",ROUND(M894*N894,2))</f>
        <v/>
      </c>
      <c r="P894" s="50">
        <f>IF(M894="","",M894+N(O894))</f>
        <v/>
      </c>
      <c r="Q894" s="45" t="n"/>
      <c r="R894" s="45" t="n"/>
      <c r="S894" s="51">
        <f>IF(L894="","",IF(COUNTIF(L$6:L894,L894)&gt;1,"",SUMIF(L$6:L$2000,L894,M$6:M$2000)-SUMIF(L$6:L$2000,L894,G$6:G$2000)))</f>
        <v/>
      </c>
      <c r="T894" s="46">
        <f>IF(AND(C894="",G894=""),"",IF(L894="","Nog factureren",IF(AND(G894&lt;&gt;"",OR(K894="",K894&gt;TODAY())),"Nog betalen",IF(OR(R894="",R894&gt;TODAY()),"Wacht op klant","Afgerond"))))</f>
        <v/>
      </c>
    </row>
    <row r="895">
      <c r="A895" s="45" t="n"/>
      <c r="B895" s="46">
        <f>IF(A895="","",YEAR(A895)&amp;" Q"&amp;ROUNDUP(MONTH(A895)/3,0))</f>
        <v/>
      </c>
      <c r="C895" s="47" t="n"/>
      <c r="D895" s="47" t="n"/>
      <c r="E895" s="47" t="n"/>
      <c r="F895" s="47" t="n"/>
      <c r="G895" s="48" t="n"/>
      <c r="H895" s="49" t="n"/>
      <c r="I895" s="50">
        <f>IF(G895="","",ROUND(G895*H895,2))</f>
        <v/>
      </c>
      <c r="J895" s="50">
        <f>IF(G895="","",G895+N(I895))</f>
        <v/>
      </c>
      <c r="K895" s="45" t="n"/>
      <c r="L895" s="47" t="n"/>
      <c r="M895" s="48" t="n"/>
      <c r="N895" s="49" t="n"/>
      <c r="O895" s="50">
        <f>IF(M895="","",ROUND(M895*N895,2))</f>
        <v/>
      </c>
      <c r="P895" s="50">
        <f>IF(M895="","",M895+N(O895))</f>
        <v/>
      </c>
      <c r="Q895" s="45" t="n"/>
      <c r="R895" s="45" t="n"/>
      <c r="S895" s="51">
        <f>IF(L895="","",IF(COUNTIF(L$6:L895,L895)&gt;1,"",SUMIF(L$6:L$2000,L895,M$6:M$2000)-SUMIF(L$6:L$2000,L895,G$6:G$2000)))</f>
        <v/>
      </c>
      <c r="T895" s="46">
        <f>IF(AND(C895="",G895=""),"",IF(L895="","Nog factureren",IF(AND(G895&lt;&gt;"",OR(K895="",K895&gt;TODAY())),"Nog betalen",IF(OR(R895="",R895&gt;TODAY()),"Wacht op klant","Afgerond"))))</f>
        <v/>
      </c>
    </row>
    <row r="896">
      <c r="A896" s="45" t="n"/>
      <c r="B896" s="46">
        <f>IF(A896="","",YEAR(A896)&amp;" Q"&amp;ROUNDUP(MONTH(A896)/3,0))</f>
        <v/>
      </c>
      <c r="C896" s="47" t="n"/>
      <c r="D896" s="47" t="n"/>
      <c r="E896" s="47" t="n"/>
      <c r="F896" s="47" t="n"/>
      <c r="G896" s="48" t="n"/>
      <c r="H896" s="49" t="n"/>
      <c r="I896" s="50">
        <f>IF(G896="","",ROUND(G896*H896,2))</f>
        <v/>
      </c>
      <c r="J896" s="50">
        <f>IF(G896="","",G896+N(I896))</f>
        <v/>
      </c>
      <c r="K896" s="45" t="n"/>
      <c r="L896" s="47" t="n"/>
      <c r="M896" s="48" t="n"/>
      <c r="N896" s="49" t="n"/>
      <c r="O896" s="50">
        <f>IF(M896="","",ROUND(M896*N896,2))</f>
        <v/>
      </c>
      <c r="P896" s="50">
        <f>IF(M896="","",M896+N(O896))</f>
        <v/>
      </c>
      <c r="Q896" s="45" t="n"/>
      <c r="R896" s="45" t="n"/>
      <c r="S896" s="51">
        <f>IF(L896="","",IF(COUNTIF(L$6:L896,L896)&gt;1,"",SUMIF(L$6:L$2000,L896,M$6:M$2000)-SUMIF(L$6:L$2000,L896,G$6:G$2000)))</f>
        <v/>
      </c>
      <c r="T896" s="46">
        <f>IF(AND(C896="",G896=""),"",IF(L896="","Nog factureren",IF(AND(G896&lt;&gt;"",OR(K896="",K896&gt;TODAY())),"Nog betalen",IF(OR(R896="",R896&gt;TODAY()),"Wacht op klant","Afgerond"))))</f>
        <v/>
      </c>
    </row>
    <row r="897">
      <c r="A897" s="45" t="n"/>
      <c r="B897" s="46">
        <f>IF(A897="","",YEAR(A897)&amp;" Q"&amp;ROUNDUP(MONTH(A897)/3,0))</f>
        <v/>
      </c>
      <c r="C897" s="47" t="n"/>
      <c r="D897" s="47" t="n"/>
      <c r="E897" s="47" t="n"/>
      <c r="F897" s="47" t="n"/>
      <c r="G897" s="48" t="n"/>
      <c r="H897" s="49" t="n"/>
      <c r="I897" s="50">
        <f>IF(G897="","",ROUND(G897*H897,2))</f>
        <v/>
      </c>
      <c r="J897" s="50">
        <f>IF(G897="","",G897+N(I897))</f>
        <v/>
      </c>
      <c r="K897" s="45" t="n"/>
      <c r="L897" s="47" t="n"/>
      <c r="M897" s="48" t="n"/>
      <c r="N897" s="49" t="n"/>
      <c r="O897" s="50">
        <f>IF(M897="","",ROUND(M897*N897,2))</f>
        <v/>
      </c>
      <c r="P897" s="50">
        <f>IF(M897="","",M897+N(O897))</f>
        <v/>
      </c>
      <c r="Q897" s="45" t="n"/>
      <c r="R897" s="45" t="n"/>
      <c r="S897" s="51">
        <f>IF(L897="","",IF(COUNTIF(L$6:L897,L897)&gt;1,"",SUMIF(L$6:L$2000,L897,M$6:M$2000)-SUMIF(L$6:L$2000,L897,G$6:G$2000)))</f>
        <v/>
      </c>
      <c r="T897" s="46">
        <f>IF(AND(C897="",G897=""),"",IF(L897="","Nog factureren",IF(AND(G897&lt;&gt;"",OR(K897="",K897&gt;TODAY())),"Nog betalen",IF(OR(R897="",R897&gt;TODAY()),"Wacht op klant","Afgerond"))))</f>
        <v/>
      </c>
    </row>
    <row r="898">
      <c r="A898" s="45" t="n"/>
      <c r="B898" s="46">
        <f>IF(A898="","",YEAR(A898)&amp;" Q"&amp;ROUNDUP(MONTH(A898)/3,0))</f>
        <v/>
      </c>
      <c r="C898" s="47" t="n"/>
      <c r="D898" s="47" t="n"/>
      <c r="E898" s="47" t="n"/>
      <c r="F898" s="47" t="n"/>
      <c r="G898" s="48" t="n"/>
      <c r="H898" s="49" t="n"/>
      <c r="I898" s="50">
        <f>IF(G898="","",ROUND(G898*H898,2))</f>
        <v/>
      </c>
      <c r="J898" s="50">
        <f>IF(G898="","",G898+N(I898))</f>
        <v/>
      </c>
      <c r="K898" s="45" t="n"/>
      <c r="L898" s="47" t="n"/>
      <c r="M898" s="48" t="n"/>
      <c r="N898" s="49" t="n"/>
      <c r="O898" s="50">
        <f>IF(M898="","",ROUND(M898*N898,2))</f>
        <v/>
      </c>
      <c r="P898" s="50">
        <f>IF(M898="","",M898+N(O898))</f>
        <v/>
      </c>
      <c r="Q898" s="45" t="n"/>
      <c r="R898" s="45" t="n"/>
      <c r="S898" s="51">
        <f>IF(L898="","",IF(COUNTIF(L$6:L898,L898)&gt;1,"",SUMIF(L$6:L$2000,L898,M$6:M$2000)-SUMIF(L$6:L$2000,L898,G$6:G$2000)))</f>
        <v/>
      </c>
      <c r="T898" s="46">
        <f>IF(AND(C898="",G898=""),"",IF(L898="","Nog factureren",IF(AND(G898&lt;&gt;"",OR(K898="",K898&gt;TODAY())),"Nog betalen",IF(OR(R898="",R898&gt;TODAY()),"Wacht op klant","Afgerond"))))</f>
        <v/>
      </c>
    </row>
    <row r="899">
      <c r="A899" s="45" t="n"/>
      <c r="B899" s="46">
        <f>IF(A899="","",YEAR(A899)&amp;" Q"&amp;ROUNDUP(MONTH(A899)/3,0))</f>
        <v/>
      </c>
      <c r="C899" s="47" t="n"/>
      <c r="D899" s="47" t="n"/>
      <c r="E899" s="47" t="n"/>
      <c r="F899" s="47" t="n"/>
      <c r="G899" s="48" t="n"/>
      <c r="H899" s="49" t="n"/>
      <c r="I899" s="50">
        <f>IF(G899="","",ROUND(G899*H899,2))</f>
        <v/>
      </c>
      <c r="J899" s="50">
        <f>IF(G899="","",G899+N(I899))</f>
        <v/>
      </c>
      <c r="K899" s="45" t="n"/>
      <c r="L899" s="47" t="n"/>
      <c r="M899" s="48" t="n"/>
      <c r="N899" s="49" t="n"/>
      <c r="O899" s="50">
        <f>IF(M899="","",ROUND(M899*N899,2))</f>
        <v/>
      </c>
      <c r="P899" s="50">
        <f>IF(M899="","",M899+N(O899))</f>
        <v/>
      </c>
      <c r="Q899" s="45" t="n"/>
      <c r="R899" s="45" t="n"/>
      <c r="S899" s="51">
        <f>IF(L899="","",IF(COUNTIF(L$6:L899,L899)&gt;1,"",SUMIF(L$6:L$2000,L899,M$6:M$2000)-SUMIF(L$6:L$2000,L899,G$6:G$2000)))</f>
        <v/>
      </c>
      <c r="T899" s="46">
        <f>IF(AND(C899="",G899=""),"",IF(L899="","Nog factureren",IF(AND(G899&lt;&gt;"",OR(K899="",K899&gt;TODAY())),"Nog betalen",IF(OR(R899="",R899&gt;TODAY()),"Wacht op klant","Afgerond"))))</f>
        <v/>
      </c>
    </row>
    <row r="900">
      <c r="A900" s="45" t="n"/>
      <c r="B900" s="46">
        <f>IF(A900="","",YEAR(A900)&amp;" Q"&amp;ROUNDUP(MONTH(A900)/3,0))</f>
        <v/>
      </c>
      <c r="C900" s="47" t="n"/>
      <c r="D900" s="47" t="n"/>
      <c r="E900" s="47" t="n"/>
      <c r="F900" s="47" t="n"/>
      <c r="G900" s="48" t="n"/>
      <c r="H900" s="49" t="n"/>
      <c r="I900" s="50">
        <f>IF(G900="","",ROUND(G900*H900,2))</f>
        <v/>
      </c>
      <c r="J900" s="50">
        <f>IF(G900="","",G900+N(I900))</f>
        <v/>
      </c>
      <c r="K900" s="45" t="n"/>
      <c r="L900" s="47" t="n"/>
      <c r="M900" s="48" t="n"/>
      <c r="N900" s="49" t="n"/>
      <c r="O900" s="50">
        <f>IF(M900="","",ROUND(M900*N900,2))</f>
        <v/>
      </c>
      <c r="P900" s="50">
        <f>IF(M900="","",M900+N(O900))</f>
        <v/>
      </c>
      <c r="Q900" s="45" t="n"/>
      <c r="R900" s="45" t="n"/>
      <c r="S900" s="51">
        <f>IF(L900="","",IF(COUNTIF(L$6:L900,L900)&gt;1,"",SUMIF(L$6:L$2000,L900,M$6:M$2000)-SUMIF(L$6:L$2000,L900,G$6:G$2000)))</f>
        <v/>
      </c>
      <c r="T900" s="46">
        <f>IF(AND(C900="",G900=""),"",IF(L900="","Nog factureren",IF(AND(G900&lt;&gt;"",OR(K900="",K900&gt;TODAY())),"Nog betalen",IF(OR(R900="",R900&gt;TODAY()),"Wacht op klant","Afgerond"))))</f>
        <v/>
      </c>
    </row>
    <row r="901">
      <c r="A901" s="45" t="n"/>
      <c r="B901" s="46">
        <f>IF(A901="","",YEAR(A901)&amp;" Q"&amp;ROUNDUP(MONTH(A901)/3,0))</f>
        <v/>
      </c>
      <c r="C901" s="47" t="n"/>
      <c r="D901" s="47" t="n"/>
      <c r="E901" s="47" t="n"/>
      <c r="F901" s="47" t="n"/>
      <c r="G901" s="48" t="n"/>
      <c r="H901" s="49" t="n"/>
      <c r="I901" s="50">
        <f>IF(G901="","",ROUND(G901*H901,2))</f>
        <v/>
      </c>
      <c r="J901" s="50">
        <f>IF(G901="","",G901+N(I901))</f>
        <v/>
      </c>
      <c r="K901" s="45" t="n"/>
      <c r="L901" s="47" t="n"/>
      <c r="M901" s="48" t="n"/>
      <c r="N901" s="49" t="n"/>
      <c r="O901" s="50">
        <f>IF(M901="","",ROUND(M901*N901,2))</f>
        <v/>
      </c>
      <c r="P901" s="50">
        <f>IF(M901="","",M901+N(O901))</f>
        <v/>
      </c>
      <c r="Q901" s="45" t="n"/>
      <c r="R901" s="45" t="n"/>
      <c r="S901" s="51">
        <f>IF(L901="","",IF(COUNTIF(L$6:L901,L901)&gt;1,"",SUMIF(L$6:L$2000,L901,M$6:M$2000)-SUMIF(L$6:L$2000,L901,G$6:G$2000)))</f>
        <v/>
      </c>
      <c r="T901" s="46">
        <f>IF(AND(C901="",G901=""),"",IF(L901="","Nog factureren",IF(AND(G901&lt;&gt;"",OR(K901="",K901&gt;TODAY())),"Nog betalen",IF(OR(R901="",R901&gt;TODAY()),"Wacht op klant","Afgerond"))))</f>
        <v/>
      </c>
    </row>
    <row r="902">
      <c r="A902" s="45" t="n"/>
      <c r="B902" s="46">
        <f>IF(A902="","",YEAR(A902)&amp;" Q"&amp;ROUNDUP(MONTH(A902)/3,0))</f>
        <v/>
      </c>
      <c r="C902" s="47" t="n"/>
      <c r="D902" s="47" t="n"/>
      <c r="E902" s="47" t="n"/>
      <c r="F902" s="47" t="n"/>
      <c r="G902" s="48" t="n"/>
      <c r="H902" s="49" t="n"/>
      <c r="I902" s="50">
        <f>IF(G902="","",ROUND(G902*H902,2))</f>
        <v/>
      </c>
      <c r="J902" s="50">
        <f>IF(G902="","",G902+N(I902))</f>
        <v/>
      </c>
      <c r="K902" s="45" t="n"/>
      <c r="L902" s="47" t="n"/>
      <c r="M902" s="48" t="n"/>
      <c r="N902" s="49" t="n"/>
      <c r="O902" s="50">
        <f>IF(M902="","",ROUND(M902*N902,2))</f>
        <v/>
      </c>
      <c r="P902" s="50">
        <f>IF(M902="","",M902+N(O902))</f>
        <v/>
      </c>
      <c r="Q902" s="45" t="n"/>
      <c r="R902" s="45" t="n"/>
      <c r="S902" s="51">
        <f>IF(L902="","",IF(COUNTIF(L$6:L902,L902)&gt;1,"",SUMIF(L$6:L$2000,L902,M$6:M$2000)-SUMIF(L$6:L$2000,L902,G$6:G$2000)))</f>
        <v/>
      </c>
      <c r="T902" s="46">
        <f>IF(AND(C902="",G902=""),"",IF(L902="","Nog factureren",IF(AND(G902&lt;&gt;"",OR(K902="",K902&gt;TODAY())),"Nog betalen",IF(OR(R902="",R902&gt;TODAY()),"Wacht op klant","Afgerond"))))</f>
        <v/>
      </c>
    </row>
    <row r="903">
      <c r="A903" s="45" t="n"/>
      <c r="B903" s="46">
        <f>IF(A903="","",YEAR(A903)&amp;" Q"&amp;ROUNDUP(MONTH(A903)/3,0))</f>
        <v/>
      </c>
      <c r="C903" s="47" t="n"/>
      <c r="D903" s="47" t="n"/>
      <c r="E903" s="47" t="n"/>
      <c r="F903" s="47" t="n"/>
      <c r="G903" s="48" t="n"/>
      <c r="H903" s="49" t="n"/>
      <c r="I903" s="50">
        <f>IF(G903="","",ROUND(G903*H903,2))</f>
        <v/>
      </c>
      <c r="J903" s="50">
        <f>IF(G903="","",G903+N(I903))</f>
        <v/>
      </c>
      <c r="K903" s="45" t="n"/>
      <c r="L903" s="47" t="n"/>
      <c r="M903" s="48" t="n"/>
      <c r="N903" s="49" t="n"/>
      <c r="O903" s="50">
        <f>IF(M903="","",ROUND(M903*N903,2))</f>
        <v/>
      </c>
      <c r="P903" s="50">
        <f>IF(M903="","",M903+N(O903))</f>
        <v/>
      </c>
      <c r="Q903" s="45" t="n"/>
      <c r="R903" s="45" t="n"/>
      <c r="S903" s="51">
        <f>IF(L903="","",IF(COUNTIF(L$6:L903,L903)&gt;1,"",SUMIF(L$6:L$2000,L903,M$6:M$2000)-SUMIF(L$6:L$2000,L903,G$6:G$2000)))</f>
        <v/>
      </c>
      <c r="T903" s="46">
        <f>IF(AND(C903="",G903=""),"",IF(L903="","Nog factureren",IF(AND(G903&lt;&gt;"",OR(K903="",K903&gt;TODAY())),"Nog betalen",IF(OR(R903="",R903&gt;TODAY()),"Wacht op klant","Afgerond"))))</f>
        <v/>
      </c>
    </row>
    <row r="904">
      <c r="A904" s="45" t="n"/>
      <c r="B904" s="46">
        <f>IF(A904="","",YEAR(A904)&amp;" Q"&amp;ROUNDUP(MONTH(A904)/3,0))</f>
        <v/>
      </c>
      <c r="C904" s="47" t="n"/>
      <c r="D904" s="47" t="n"/>
      <c r="E904" s="47" t="n"/>
      <c r="F904" s="47" t="n"/>
      <c r="G904" s="48" t="n"/>
      <c r="H904" s="49" t="n"/>
      <c r="I904" s="50">
        <f>IF(G904="","",ROUND(G904*H904,2))</f>
        <v/>
      </c>
      <c r="J904" s="50">
        <f>IF(G904="","",G904+N(I904))</f>
        <v/>
      </c>
      <c r="K904" s="45" t="n"/>
      <c r="L904" s="47" t="n"/>
      <c r="M904" s="48" t="n"/>
      <c r="N904" s="49" t="n"/>
      <c r="O904" s="50">
        <f>IF(M904="","",ROUND(M904*N904,2))</f>
        <v/>
      </c>
      <c r="P904" s="50">
        <f>IF(M904="","",M904+N(O904))</f>
        <v/>
      </c>
      <c r="Q904" s="45" t="n"/>
      <c r="R904" s="45" t="n"/>
      <c r="S904" s="51">
        <f>IF(L904="","",IF(COUNTIF(L$6:L904,L904)&gt;1,"",SUMIF(L$6:L$2000,L904,M$6:M$2000)-SUMIF(L$6:L$2000,L904,G$6:G$2000)))</f>
        <v/>
      </c>
      <c r="T904" s="46">
        <f>IF(AND(C904="",G904=""),"",IF(L904="","Nog factureren",IF(AND(G904&lt;&gt;"",OR(K904="",K904&gt;TODAY())),"Nog betalen",IF(OR(R904="",R904&gt;TODAY()),"Wacht op klant","Afgerond"))))</f>
        <v/>
      </c>
    </row>
    <row r="905">
      <c r="A905" s="45" t="n"/>
      <c r="B905" s="46">
        <f>IF(A905="","",YEAR(A905)&amp;" Q"&amp;ROUNDUP(MONTH(A905)/3,0))</f>
        <v/>
      </c>
      <c r="C905" s="47" t="n"/>
      <c r="D905" s="47" t="n"/>
      <c r="E905" s="47" t="n"/>
      <c r="F905" s="47" t="n"/>
      <c r="G905" s="48" t="n"/>
      <c r="H905" s="49" t="n"/>
      <c r="I905" s="50">
        <f>IF(G905="","",ROUND(G905*H905,2))</f>
        <v/>
      </c>
      <c r="J905" s="50">
        <f>IF(G905="","",G905+N(I905))</f>
        <v/>
      </c>
      <c r="K905" s="45" t="n"/>
      <c r="L905" s="47" t="n"/>
      <c r="M905" s="48" t="n"/>
      <c r="N905" s="49" t="n"/>
      <c r="O905" s="50">
        <f>IF(M905="","",ROUND(M905*N905,2))</f>
        <v/>
      </c>
      <c r="P905" s="50">
        <f>IF(M905="","",M905+N(O905))</f>
        <v/>
      </c>
      <c r="Q905" s="45" t="n"/>
      <c r="R905" s="45" t="n"/>
      <c r="S905" s="51">
        <f>IF(L905="","",IF(COUNTIF(L$6:L905,L905)&gt;1,"",SUMIF(L$6:L$2000,L905,M$6:M$2000)-SUMIF(L$6:L$2000,L905,G$6:G$2000)))</f>
        <v/>
      </c>
      <c r="T905" s="46">
        <f>IF(AND(C905="",G905=""),"",IF(L905="","Nog factureren",IF(AND(G905&lt;&gt;"",OR(K905="",K905&gt;TODAY())),"Nog betalen",IF(OR(R905="",R905&gt;TODAY()),"Wacht op klant","Afgerond"))))</f>
        <v/>
      </c>
    </row>
    <row r="906">
      <c r="A906" s="45" t="n"/>
      <c r="B906" s="46">
        <f>IF(A906="","",YEAR(A906)&amp;" Q"&amp;ROUNDUP(MONTH(A906)/3,0))</f>
        <v/>
      </c>
      <c r="C906" s="47" t="n"/>
      <c r="D906" s="47" t="n"/>
      <c r="E906" s="47" t="n"/>
      <c r="F906" s="47" t="n"/>
      <c r="G906" s="48" t="n"/>
      <c r="H906" s="49" t="n"/>
      <c r="I906" s="50">
        <f>IF(G906="","",ROUND(G906*H906,2))</f>
        <v/>
      </c>
      <c r="J906" s="50">
        <f>IF(G906="","",G906+N(I906))</f>
        <v/>
      </c>
      <c r="K906" s="45" t="n"/>
      <c r="L906" s="47" t="n"/>
      <c r="M906" s="48" t="n"/>
      <c r="N906" s="49" t="n"/>
      <c r="O906" s="50">
        <f>IF(M906="","",ROUND(M906*N906,2))</f>
        <v/>
      </c>
      <c r="P906" s="50">
        <f>IF(M906="","",M906+N(O906))</f>
        <v/>
      </c>
      <c r="Q906" s="45" t="n"/>
      <c r="R906" s="45" t="n"/>
      <c r="S906" s="51">
        <f>IF(L906="","",IF(COUNTIF(L$6:L906,L906)&gt;1,"",SUMIF(L$6:L$2000,L906,M$6:M$2000)-SUMIF(L$6:L$2000,L906,G$6:G$2000)))</f>
        <v/>
      </c>
      <c r="T906" s="46">
        <f>IF(AND(C906="",G906=""),"",IF(L906="","Nog factureren",IF(AND(G906&lt;&gt;"",OR(K906="",K906&gt;TODAY())),"Nog betalen",IF(OR(R906="",R906&gt;TODAY()),"Wacht op klant","Afgerond"))))</f>
        <v/>
      </c>
    </row>
    <row r="907">
      <c r="A907" s="45" t="n"/>
      <c r="B907" s="46">
        <f>IF(A907="","",YEAR(A907)&amp;" Q"&amp;ROUNDUP(MONTH(A907)/3,0))</f>
        <v/>
      </c>
      <c r="C907" s="47" t="n"/>
      <c r="D907" s="47" t="n"/>
      <c r="E907" s="47" t="n"/>
      <c r="F907" s="47" t="n"/>
      <c r="G907" s="48" t="n"/>
      <c r="H907" s="49" t="n"/>
      <c r="I907" s="50">
        <f>IF(G907="","",ROUND(G907*H907,2))</f>
        <v/>
      </c>
      <c r="J907" s="50">
        <f>IF(G907="","",G907+N(I907))</f>
        <v/>
      </c>
      <c r="K907" s="45" t="n"/>
      <c r="L907" s="47" t="n"/>
      <c r="M907" s="48" t="n"/>
      <c r="N907" s="49" t="n"/>
      <c r="O907" s="50">
        <f>IF(M907="","",ROUND(M907*N907,2))</f>
        <v/>
      </c>
      <c r="P907" s="50">
        <f>IF(M907="","",M907+N(O907))</f>
        <v/>
      </c>
      <c r="Q907" s="45" t="n"/>
      <c r="R907" s="45" t="n"/>
      <c r="S907" s="51">
        <f>IF(L907="","",IF(COUNTIF(L$6:L907,L907)&gt;1,"",SUMIF(L$6:L$2000,L907,M$6:M$2000)-SUMIF(L$6:L$2000,L907,G$6:G$2000)))</f>
        <v/>
      </c>
      <c r="T907" s="46">
        <f>IF(AND(C907="",G907=""),"",IF(L907="","Nog factureren",IF(AND(G907&lt;&gt;"",OR(K907="",K907&gt;TODAY())),"Nog betalen",IF(OR(R907="",R907&gt;TODAY()),"Wacht op klant","Afgerond"))))</f>
        <v/>
      </c>
    </row>
    <row r="908">
      <c r="A908" s="45" t="n"/>
      <c r="B908" s="46">
        <f>IF(A908="","",YEAR(A908)&amp;" Q"&amp;ROUNDUP(MONTH(A908)/3,0))</f>
        <v/>
      </c>
      <c r="C908" s="47" t="n"/>
      <c r="D908" s="47" t="n"/>
      <c r="E908" s="47" t="n"/>
      <c r="F908" s="47" t="n"/>
      <c r="G908" s="48" t="n"/>
      <c r="H908" s="49" t="n"/>
      <c r="I908" s="50">
        <f>IF(G908="","",ROUND(G908*H908,2))</f>
        <v/>
      </c>
      <c r="J908" s="50">
        <f>IF(G908="","",G908+N(I908))</f>
        <v/>
      </c>
      <c r="K908" s="45" t="n"/>
      <c r="L908" s="47" t="n"/>
      <c r="M908" s="48" t="n"/>
      <c r="N908" s="49" t="n"/>
      <c r="O908" s="50">
        <f>IF(M908="","",ROUND(M908*N908,2))</f>
        <v/>
      </c>
      <c r="P908" s="50">
        <f>IF(M908="","",M908+N(O908))</f>
        <v/>
      </c>
      <c r="Q908" s="45" t="n"/>
      <c r="R908" s="45" t="n"/>
      <c r="S908" s="51">
        <f>IF(L908="","",IF(COUNTIF(L$6:L908,L908)&gt;1,"",SUMIF(L$6:L$2000,L908,M$6:M$2000)-SUMIF(L$6:L$2000,L908,G$6:G$2000)))</f>
        <v/>
      </c>
      <c r="T908" s="46">
        <f>IF(AND(C908="",G908=""),"",IF(L908="","Nog factureren",IF(AND(G908&lt;&gt;"",OR(K908="",K908&gt;TODAY())),"Nog betalen",IF(OR(R908="",R908&gt;TODAY()),"Wacht op klant","Afgerond"))))</f>
        <v/>
      </c>
    </row>
    <row r="909">
      <c r="A909" s="45" t="n"/>
      <c r="B909" s="46">
        <f>IF(A909="","",YEAR(A909)&amp;" Q"&amp;ROUNDUP(MONTH(A909)/3,0))</f>
        <v/>
      </c>
      <c r="C909" s="47" t="n"/>
      <c r="D909" s="47" t="n"/>
      <c r="E909" s="47" t="n"/>
      <c r="F909" s="47" t="n"/>
      <c r="G909" s="48" t="n"/>
      <c r="H909" s="49" t="n"/>
      <c r="I909" s="50">
        <f>IF(G909="","",ROUND(G909*H909,2))</f>
        <v/>
      </c>
      <c r="J909" s="50">
        <f>IF(G909="","",G909+N(I909))</f>
        <v/>
      </c>
      <c r="K909" s="45" t="n"/>
      <c r="L909" s="47" t="n"/>
      <c r="M909" s="48" t="n"/>
      <c r="N909" s="49" t="n"/>
      <c r="O909" s="50">
        <f>IF(M909="","",ROUND(M909*N909,2))</f>
        <v/>
      </c>
      <c r="P909" s="50">
        <f>IF(M909="","",M909+N(O909))</f>
        <v/>
      </c>
      <c r="Q909" s="45" t="n"/>
      <c r="R909" s="45" t="n"/>
      <c r="S909" s="51">
        <f>IF(L909="","",IF(COUNTIF(L$6:L909,L909)&gt;1,"",SUMIF(L$6:L$2000,L909,M$6:M$2000)-SUMIF(L$6:L$2000,L909,G$6:G$2000)))</f>
        <v/>
      </c>
      <c r="T909" s="46">
        <f>IF(AND(C909="",G909=""),"",IF(L909="","Nog factureren",IF(AND(G909&lt;&gt;"",OR(K909="",K909&gt;TODAY())),"Nog betalen",IF(OR(R909="",R909&gt;TODAY()),"Wacht op klant","Afgerond"))))</f>
        <v/>
      </c>
    </row>
    <row r="910">
      <c r="A910" s="45" t="n"/>
      <c r="B910" s="46">
        <f>IF(A910="","",YEAR(A910)&amp;" Q"&amp;ROUNDUP(MONTH(A910)/3,0))</f>
        <v/>
      </c>
      <c r="C910" s="47" t="n"/>
      <c r="D910" s="47" t="n"/>
      <c r="E910" s="47" t="n"/>
      <c r="F910" s="47" t="n"/>
      <c r="G910" s="48" t="n"/>
      <c r="H910" s="49" t="n"/>
      <c r="I910" s="50">
        <f>IF(G910="","",ROUND(G910*H910,2))</f>
        <v/>
      </c>
      <c r="J910" s="50">
        <f>IF(G910="","",G910+N(I910))</f>
        <v/>
      </c>
      <c r="K910" s="45" t="n"/>
      <c r="L910" s="47" t="n"/>
      <c r="M910" s="48" t="n"/>
      <c r="N910" s="49" t="n"/>
      <c r="O910" s="50">
        <f>IF(M910="","",ROUND(M910*N910,2))</f>
        <v/>
      </c>
      <c r="P910" s="50">
        <f>IF(M910="","",M910+N(O910))</f>
        <v/>
      </c>
      <c r="Q910" s="45" t="n"/>
      <c r="R910" s="45" t="n"/>
      <c r="S910" s="51">
        <f>IF(L910="","",IF(COUNTIF(L$6:L910,L910)&gt;1,"",SUMIF(L$6:L$2000,L910,M$6:M$2000)-SUMIF(L$6:L$2000,L910,G$6:G$2000)))</f>
        <v/>
      </c>
      <c r="T910" s="46">
        <f>IF(AND(C910="",G910=""),"",IF(L910="","Nog factureren",IF(AND(G910&lt;&gt;"",OR(K910="",K910&gt;TODAY())),"Nog betalen",IF(OR(R910="",R910&gt;TODAY()),"Wacht op klant","Afgerond"))))</f>
        <v/>
      </c>
    </row>
    <row r="911">
      <c r="A911" s="45" t="n"/>
      <c r="B911" s="46">
        <f>IF(A911="","",YEAR(A911)&amp;" Q"&amp;ROUNDUP(MONTH(A911)/3,0))</f>
        <v/>
      </c>
      <c r="C911" s="47" t="n"/>
      <c r="D911" s="47" t="n"/>
      <c r="E911" s="47" t="n"/>
      <c r="F911" s="47" t="n"/>
      <c r="G911" s="48" t="n"/>
      <c r="H911" s="49" t="n"/>
      <c r="I911" s="50">
        <f>IF(G911="","",ROUND(G911*H911,2))</f>
        <v/>
      </c>
      <c r="J911" s="50">
        <f>IF(G911="","",G911+N(I911))</f>
        <v/>
      </c>
      <c r="K911" s="45" t="n"/>
      <c r="L911" s="47" t="n"/>
      <c r="M911" s="48" t="n"/>
      <c r="N911" s="49" t="n"/>
      <c r="O911" s="50">
        <f>IF(M911="","",ROUND(M911*N911,2))</f>
        <v/>
      </c>
      <c r="P911" s="50">
        <f>IF(M911="","",M911+N(O911))</f>
        <v/>
      </c>
      <c r="Q911" s="45" t="n"/>
      <c r="R911" s="45" t="n"/>
      <c r="S911" s="51">
        <f>IF(L911="","",IF(COUNTIF(L$6:L911,L911)&gt;1,"",SUMIF(L$6:L$2000,L911,M$6:M$2000)-SUMIF(L$6:L$2000,L911,G$6:G$2000)))</f>
        <v/>
      </c>
      <c r="T911" s="46">
        <f>IF(AND(C911="",G911=""),"",IF(L911="","Nog factureren",IF(AND(G911&lt;&gt;"",OR(K911="",K911&gt;TODAY())),"Nog betalen",IF(OR(R911="",R911&gt;TODAY()),"Wacht op klant","Afgerond"))))</f>
        <v/>
      </c>
    </row>
    <row r="912">
      <c r="A912" s="45" t="n"/>
      <c r="B912" s="46">
        <f>IF(A912="","",YEAR(A912)&amp;" Q"&amp;ROUNDUP(MONTH(A912)/3,0))</f>
        <v/>
      </c>
      <c r="C912" s="47" t="n"/>
      <c r="D912" s="47" t="n"/>
      <c r="E912" s="47" t="n"/>
      <c r="F912" s="47" t="n"/>
      <c r="G912" s="48" t="n"/>
      <c r="H912" s="49" t="n"/>
      <c r="I912" s="50">
        <f>IF(G912="","",ROUND(G912*H912,2))</f>
        <v/>
      </c>
      <c r="J912" s="50">
        <f>IF(G912="","",G912+N(I912))</f>
        <v/>
      </c>
      <c r="K912" s="45" t="n"/>
      <c r="L912" s="47" t="n"/>
      <c r="M912" s="48" t="n"/>
      <c r="N912" s="49" t="n"/>
      <c r="O912" s="50">
        <f>IF(M912="","",ROUND(M912*N912,2))</f>
        <v/>
      </c>
      <c r="P912" s="50">
        <f>IF(M912="","",M912+N(O912))</f>
        <v/>
      </c>
      <c r="Q912" s="45" t="n"/>
      <c r="R912" s="45" t="n"/>
      <c r="S912" s="51">
        <f>IF(L912="","",IF(COUNTIF(L$6:L912,L912)&gt;1,"",SUMIF(L$6:L$2000,L912,M$6:M$2000)-SUMIF(L$6:L$2000,L912,G$6:G$2000)))</f>
        <v/>
      </c>
      <c r="T912" s="46">
        <f>IF(AND(C912="",G912=""),"",IF(L912="","Nog factureren",IF(AND(G912&lt;&gt;"",OR(K912="",K912&gt;TODAY())),"Nog betalen",IF(OR(R912="",R912&gt;TODAY()),"Wacht op klant","Afgerond"))))</f>
        <v/>
      </c>
    </row>
    <row r="913">
      <c r="A913" s="45" t="n"/>
      <c r="B913" s="46">
        <f>IF(A913="","",YEAR(A913)&amp;" Q"&amp;ROUNDUP(MONTH(A913)/3,0))</f>
        <v/>
      </c>
      <c r="C913" s="47" t="n"/>
      <c r="D913" s="47" t="n"/>
      <c r="E913" s="47" t="n"/>
      <c r="F913" s="47" t="n"/>
      <c r="G913" s="48" t="n"/>
      <c r="H913" s="49" t="n"/>
      <c r="I913" s="50">
        <f>IF(G913="","",ROUND(G913*H913,2))</f>
        <v/>
      </c>
      <c r="J913" s="50">
        <f>IF(G913="","",G913+N(I913))</f>
        <v/>
      </c>
      <c r="K913" s="45" t="n"/>
      <c r="L913" s="47" t="n"/>
      <c r="M913" s="48" t="n"/>
      <c r="N913" s="49" t="n"/>
      <c r="O913" s="50">
        <f>IF(M913="","",ROUND(M913*N913,2))</f>
        <v/>
      </c>
      <c r="P913" s="50">
        <f>IF(M913="","",M913+N(O913))</f>
        <v/>
      </c>
      <c r="Q913" s="45" t="n"/>
      <c r="R913" s="45" t="n"/>
      <c r="S913" s="51">
        <f>IF(L913="","",IF(COUNTIF(L$6:L913,L913)&gt;1,"",SUMIF(L$6:L$2000,L913,M$6:M$2000)-SUMIF(L$6:L$2000,L913,G$6:G$2000)))</f>
        <v/>
      </c>
      <c r="T913" s="46">
        <f>IF(AND(C913="",G913=""),"",IF(L913="","Nog factureren",IF(AND(G913&lt;&gt;"",OR(K913="",K913&gt;TODAY())),"Nog betalen",IF(OR(R913="",R913&gt;TODAY()),"Wacht op klant","Afgerond"))))</f>
        <v/>
      </c>
    </row>
    <row r="914">
      <c r="A914" s="45" t="n"/>
      <c r="B914" s="46">
        <f>IF(A914="","",YEAR(A914)&amp;" Q"&amp;ROUNDUP(MONTH(A914)/3,0))</f>
        <v/>
      </c>
      <c r="C914" s="47" t="n"/>
      <c r="D914" s="47" t="n"/>
      <c r="E914" s="47" t="n"/>
      <c r="F914" s="47" t="n"/>
      <c r="G914" s="48" t="n"/>
      <c r="H914" s="49" t="n"/>
      <c r="I914" s="50">
        <f>IF(G914="","",ROUND(G914*H914,2))</f>
        <v/>
      </c>
      <c r="J914" s="50">
        <f>IF(G914="","",G914+N(I914))</f>
        <v/>
      </c>
      <c r="K914" s="45" t="n"/>
      <c r="L914" s="47" t="n"/>
      <c r="M914" s="48" t="n"/>
      <c r="N914" s="49" t="n"/>
      <c r="O914" s="50">
        <f>IF(M914="","",ROUND(M914*N914,2))</f>
        <v/>
      </c>
      <c r="P914" s="50">
        <f>IF(M914="","",M914+N(O914))</f>
        <v/>
      </c>
      <c r="Q914" s="45" t="n"/>
      <c r="R914" s="45" t="n"/>
      <c r="S914" s="51">
        <f>IF(L914="","",IF(COUNTIF(L$6:L914,L914)&gt;1,"",SUMIF(L$6:L$2000,L914,M$6:M$2000)-SUMIF(L$6:L$2000,L914,G$6:G$2000)))</f>
        <v/>
      </c>
      <c r="T914" s="46">
        <f>IF(AND(C914="",G914=""),"",IF(L914="","Nog factureren",IF(AND(G914&lt;&gt;"",OR(K914="",K914&gt;TODAY())),"Nog betalen",IF(OR(R914="",R914&gt;TODAY()),"Wacht op klant","Afgerond"))))</f>
        <v/>
      </c>
    </row>
    <row r="915">
      <c r="A915" s="45" t="n"/>
      <c r="B915" s="46">
        <f>IF(A915="","",YEAR(A915)&amp;" Q"&amp;ROUNDUP(MONTH(A915)/3,0))</f>
        <v/>
      </c>
      <c r="C915" s="47" t="n"/>
      <c r="D915" s="47" t="n"/>
      <c r="E915" s="47" t="n"/>
      <c r="F915" s="47" t="n"/>
      <c r="G915" s="48" t="n"/>
      <c r="H915" s="49" t="n"/>
      <c r="I915" s="50">
        <f>IF(G915="","",ROUND(G915*H915,2))</f>
        <v/>
      </c>
      <c r="J915" s="50">
        <f>IF(G915="","",G915+N(I915))</f>
        <v/>
      </c>
      <c r="K915" s="45" t="n"/>
      <c r="L915" s="47" t="n"/>
      <c r="M915" s="48" t="n"/>
      <c r="N915" s="49" t="n"/>
      <c r="O915" s="50">
        <f>IF(M915="","",ROUND(M915*N915,2))</f>
        <v/>
      </c>
      <c r="P915" s="50">
        <f>IF(M915="","",M915+N(O915))</f>
        <v/>
      </c>
      <c r="Q915" s="45" t="n"/>
      <c r="R915" s="45" t="n"/>
      <c r="S915" s="51">
        <f>IF(L915="","",IF(COUNTIF(L$6:L915,L915)&gt;1,"",SUMIF(L$6:L$2000,L915,M$6:M$2000)-SUMIF(L$6:L$2000,L915,G$6:G$2000)))</f>
        <v/>
      </c>
      <c r="T915" s="46">
        <f>IF(AND(C915="",G915=""),"",IF(L915="","Nog factureren",IF(AND(G915&lt;&gt;"",OR(K915="",K915&gt;TODAY())),"Nog betalen",IF(OR(R915="",R915&gt;TODAY()),"Wacht op klant","Afgerond"))))</f>
        <v/>
      </c>
    </row>
    <row r="916">
      <c r="A916" s="45" t="n"/>
      <c r="B916" s="46">
        <f>IF(A916="","",YEAR(A916)&amp;" Q"&amp;ROUNDUP(MONTH(A916)/3,0))</f>
        <v/>
      </c>
      <c r="C916" s="47" t="n"/>
      <c r="D916" s="47" t="n"/>
      <c r="E916" s="47" t="n"/>
      <c r="F916" s="47" t="n"/>
      <c r="G916" s="48" t="n"/>
      <c r="H916" s="49" t="n"/>
      <c r="I916" s="50">
        <f>IF(G916="","",ROUND(G916*H916,2))</f>
        <v/>
      </c>
      <c r="J916" s="50">
        <f>IF(G916="","",G916+N(I916))</f>
        <v/>
      </c>
      <c r="K916" s="45" t="n"/>
      <c r="L916" s="47" t="n"/>
      <c r="M916" s="48" t="n"/>
      <c r="N916" s="49" t="n"/>
      <c r="O916" s="50">
        <f>IF(M916="","",ROUND(M916*N916,2))</f>
        <v/>
      </c>
      <c r="P916" s="50">
        <f>IF(M916="","",M916+N(O916))</f>
        <v/>
      </c>
      <c r="Q916" s="45" t="n"/>
      <c r="R916" s="45" t="n"/>
      <c r="S916" s="51">
        <f>IF(L916="","",IF(COUNTIF(L$6:L916,L916)&gt;1,"",SUMIF(L$6:L$2000,L916,M$6:M$2000)-SUMIF(L$6:L$2000,L916,G$6:G$2000)))</f>
        <v/>
      </c>
      <c r="T916" s="46">
        <f>IF(AND(C916="",G916=""),"",IF(L916="","Nog factureren",IF(AND(G916&lt;&gt;"",OR(K916="",K916&gt;TODAY())),"Nog betalen",IF(OR(R916="",R916&gt;TODAY()),"Wacht op klant","Afgerond"))))</f>
        <v/>
      </c>
    </row>
    <row r="917">
      <c r="A917" s="45" t="n"/>
      <c r="B917" s="46">
        <f>IF(A917="","",YEAR(A917)&amp;" Q"&amp;ROUNDUP(MONTH(A917)/3,0))</f>
        <v/>
      </c>
      <c r="C917" s="47" t="n"/>
      <c r="D917" s="47" t="n"/>
      <c r="E917" s="47" t="n"/>
      <c r="F917" s="47" t="n"/>
      <c r="G917" s="48" t="n"/>
      <c r="H917" s="49" t="n"/>
      <c r="I917" s="50">
        <f>IF(G917="","",ROUND(G917*H917,2))</f>
        <v/>
      </c>
      <c r="J917" s="50">
        <f>IF(G917="","",G917+N(I917))</f>
        <v/>
      </c>
      <c r="K917" s="45" t="n"/>
      <c r="L917" s="47" t="n"/>
      <c r="M917" s="48" t="n"/>
      <c r="N917" s="49" t="n"/>
      <c r="O917" s="50">
        <f>IF(M917="","",ROUND(M917*N917,2))</f>
        <v/>
      </c>
      <c r="P917" s="50">
        <f>IF(M917="","",M917+N(O917))</f>
        <v/>
      </c>
      <c r="Q917" s="45" t="n"/>
      <c r="R917" s="45" t="n"/>
      <c r="S917" s="51">
        <f>IF(L917="","",IF(COUNTIF(L$6:L917,L917)&gt;1,"",SUMIF(L$6:L$2000,L917,M$6:M$2000)-SUMIF(L$6:L$2000,L917,G$6:G$2000)))</f>
        <v/>
      </c>
      <c r="T917" s="46">
        <f>IF(AND(C917="",G917=""),"",IF(L917="","Nog factureren",IF(AND(G917&lt;&gt;"",OR(K917="",K917&gt;TODAY())),"Nog betalen",IF(OR(R917="",R917&gt;TODAY()),"Wacht op klant","Afgerond"))))</f>
        <v/>
      </c>
    </row>
    <row r="918">
      <c r="A918" s="45" t="n"/>
      <c r="B918" s="46">
        <f>IF(A918="","",YEAR(A918)&amp;" Q"&amp;ROUNDUP(MONTH(A918)/3,0))</f>
        <v/>
      </c>
      <c r="C918" s="47" t="n"/>
      <c r="D918" s="47" t="n"/>
      <c r="E918" s="47" t="n"/>
      <c r="F918" s="47" t="n"/>
      <c r="G918" s="48" t="n"/>
      <c r="H918" s="49" t="n"/>
      <c r="I918" s="50">
        <f>IF(G918="","",ROUND(G918*H918,2))</f>
        <v/>
      </c>
      <c r="J918" s="50">
        <f>IF(G918="","",G918+N(I918))</f>
        <v/>
      </c>
      <c r="K918" s="45" t="n"/>
      <c r="L918" s="47" t="n"/>
      <c r="M918" s="48" t="n"/>
      <c r="N918" s="49" t="n"/>
      <c r="O918" s="50">
        <f>IF(M918="","",ROUND(M918*N918,2))</f>
        <v/>
      </c>
      <c r="P918" s="50">
        <f>IF(M918="","",M918+N(O918))</f>
        <v/>
      </c>
      <c r="Q918" s="45" t="n"/>
      <c r="R918" s="45" t="n"/>
      <c r="S918" s="51">
        <f>IF(L918="","",IF(COUNTIF(L$6:L918,L918)&gt;1,"",SUMIF(L$6:L$2000,L918,M$6:M$2000)-SUMIF(L$6:L$2000,L918,G$6:G$2000)))</f>
        <v/>
      </c>
      <c r="T918" s="46">
        <f>IF(AND(C918="",G918=""),"",IF(L918="","Nog factureren",IF(AND(G918&lt;&gt;"",OR(K918="",K918&gt;TODAY())),"Nog betalen",IF(OR(R918="",R918&gt;TODAY()),"Wacht op klant","Afgerond"))))</f>
        <v/>
      </c>
    </row>
    <row r="919">
      <c r="A919" s="45" t="n"/>
      <c r="B919" s="46">
        <f>IF(A919="","",YEAR(A919)&amp;" Q"&amp;ROUNDUP(MONTH(A919)/3,0))</f>
        <v/>
      </c>
      <c r="C919" s="47" t="n"/>
      <c r="D919" s="47" t="n"/>
      <c r="E919" s="47" t="n"/>
      <c r="F919" s="47" t="n"/>
      <c r="G919" s="48" t="n"/>
      <c r="H919" s="49" t="n"/>
      <c r="I919" s="50">
        <f>IF(G919="","",ROUND(G919*H919,2))</f>
        <v/>
      </c>
      <c r="J919" s="50">
        <f>IF(G919="","",G919+N(I919))</f>
        <v/>
      </c>
      <c r="K919" s="45" t="n"/>
      <c r="L919" s="47" t="n"/>
      <c r="M919" s="48" t="n"/>
      <c r="N919" s="49" t="n"/>
      <c r="O919" s="50">
        <f>IF(M919="","",ROUND(M919*N919,2))</f>
        <v/>
      </c>
      <c r="P919" s="50">
        <f>IF(M919="","",M919+N(O919))</f>
        <v/>
      </c>
      <c r="Q919" s="45" t="n"/>
      <c r="R919" s="45" t="n"/>
      <c r="S919" s="51">
        <f>IF(L919="","",IF(COUNTIF(L$6:L919,L919)&gt;1,"",SUMIF(L$6:L$2000,L919,M$6:M$2000)-SUMIF(L$6:L$2000,L919,G$6:G$2000)))</f>
        <v/>
      </c>
      <c r="T919" s="46">
        <f>IF(AND(C919="",G919=""),"",IF(L919="","Nog factureren",IF(AND(G919&lt;&gt;"",OR(K919="",K919&gt;TODAY())),"Nog betalen",IF(OR(R919="",R919&gt;TODAY()),"Wacht op klant","Afgerond"))))</f>
        <v/>
      </c>
    </row>
    <row r="920">
      <c r="A920" s="45" t="n"/>
      <c r="B920" s="46">
        <f>IF(A920="","",YEAR(A920)&amp;" Q"&amp;ROUNDUP(MONTH(A920)/3,0))</f>
        <v/>
      </c>
      <c r="C920" s="47" t="n"/>
      <c r="D920" s="47" t="n"/>
      <c r="E920" s="47" t="n"/>
      <c r="F920" s="47" t="n"/>
      <c r="G920" s="48" t="n"/>
      <c r="H920" s="49" t="n"/>
      <c r="I920" s="50">
        <f>IF(G920="","",ROUND(G920*H920,2))</f>
        <v/>
      </c>
      <c r="J920" s="50">
        <f>IF(G920="","",G920+N(I920))</f>
        <v/>
      </c>
      <c r="K920" s="45" t="n"/>
      <c r="L920" s="47" t="n"/>
      <c r="M920" s="48" t="n"/>
      <c r="N920" s="49" t="n"/>
      <c r="O920" s="50">
        <f>IF(M920="","",ROUND(M920*N920,2))</f>
        <v/>
      </c>
      <c r="P920" s="50">
        <f>IF(M920="","",M920+N(O920))</f>
        <v/>
      </c>
      <c r="Q920" s="45" t="n"/>
      <c r="R920" s="45" t="n"/>
      <c r="S920" s="51">
        <f>IF(L920="","",IF(COUNTIF(L$6:L920,L920)&gt;1,"",SUMIF(L$6:L$2000,L920,M$6:M$2000)-SUMIF(L$6:L$2000,L920,G$6:G$2000)))</f>
        <v/>
      </c>
      <c r="T920" s="46">
        <f>IF(AND(C920="",G920=""),"",IF(L920="","Nog factureren",IF(AND(G920&lt;&gt;"",OR(K920="",K920&gt;TODAY())),"Nog betalen",IF(OR(R920="",R920&gt;TODAY()),"Wacht op klant","Afgerond"))))</f>
        <v/>
      </c>
    </row>
    <row r="921">
      <c r="A921" s="45" t="n"/>
      <c r="B921" s="46">
        <f>IF(A921="","",YEAR(A921)&amp;" Q"&amp;ROUNDUP(MONTH(A921)/3,0))</f>
        <v/>
      </c>
      <c r="C921" s="47" t="n"/>
      <c r="D921" s="47" t="n"/>
      <c r="E921" s="47" t="n"/>
      <c r="F921" s="47" t="n"/>
      <c r="G921" s="48" t="n"/>
      <c r="H921" s="49" t="n"/>
      <c r="I921" s="50">
        <f>IF(G921="","",ROUND(G921*H921,2))</f>
        <v/>
      </c>
      <c r="J921" s="50">
        <f>IF(G921="","",G921+N(I921))</f>
        <v/>
      </c>
      <c r="K921" s="45" t="n"/>
      <c r="L921" s="47" t="n"/>
      <c r="M921" s="48" t="n"/>
      <c r="N921" s="49" t="n"/>
      <c r="O921" s="50">
        <f>IF(M921="","",ROUND(M921*N921,2))</f>
        <v/>
      </c>
      <c r="P921" s="50">
        <f>IF(M921="","",M921+N(O921))</f>
        <v/>
      </c>
      <c r="Q921" s="45" t="n"/>
      <c r="R921" s="45" t="n"/>
      <c r="S921" s="51">
        <f>IF(L921="","",IF(COUNTIF(L$6:L921,L921)&gt;1,"",SUMIF(L$6:L$2000,L921,M$6:M$2000)-SUMIF(L$6:L$2000,L921,G$6:G$2000)))</f>
        <v/>
      </c>
      <c r="T921" s="46">
        <f>IF(AND(C921="",G921=""),"",IF(L921="","Nog factureren",IF(AND(G921&lt;&gt;"",OR(K921="",K921&gt;TODAY())),"Nog betalen",IF(OR(R921="",R921&gt;TODAY()),"Wacht op klant","Afgerond"))))</f>
        <v/>
      </c>
    </row>
    <row r="922">
      <c r="A922" s="45" t="n"/>
      <c r="B922" s="46">
        <f>IF(A922="","",YEAR(A922)&amp;" Q"&amp;ROUNDUP(MONTH(A922)/3,0))</f>
        <v/>
      </c>
      <c r="C922" s="47" t="n"/>
      <c r="D922" s="47" t="n"/>
      <c r="E922" s="47" t="n"/>
      <c r="F922" s="47" t="n"/>
      <c r="G922" s="48" t="n"/>
      <c r="H922" s="49" t="n"/>
      <c r="I922" s="50">
        <f>IF(G922="","",ROUND(G922*H922,2))</f>
        <v/>
      </c>
      <c r="J922" s="50">
        <f>IF(G922="","",G922+N(I922))</f>
        <v/>
      </c>
      <c r="K922" s="45" t="n"/>
      <c r="L922" s="47" t="n"/>
      <c r="M922" s="48" t="n"/>
      <c r="N922" s="49" t="n"/>
      <c r="O922" s="50">
        <f>IF(M922="","",ROUND(M922*N922,2))</f>
        <v/>
      </c>
      <c r="P922" s="50">
        <f>IF(M922="","",M922+N(O922))</f>
        <v/>
      </c>
      <c r="Q922" s="45" t="n"/>
      <c r="R922" s="45" t="n"/>
      <c r="S922" s="51">
        <f>IF(L922="","",IF(COUNTIF(L$6:L922,L922)&gt;1,"",SUMIF(L$6:L$2000,L922,M$6:M$2000)-SUMIF(L$6:L$2000,L922,G$6:G$2000)))</f>
        <v/>
      </c>
      <c r="T922" s="46">
        <f>IF(AND(C922="",G922=""),"",IF(L922="","Nog factureren",IF(AND(G922&lt;&gt;"",OR(K922="",K922&gt;TODAY())),"Nog betalen",IF(OR(R922="",R922&gt;TODAY()),"Wacht op klant","Afgerond"))))</f>
        <v/>
      </c>
    </row>
    <row r="923">
      <c r="A923" s="45" t="n"/>
      <c r="B923" s="46">
        <f>IF(A923="","",YEAR(A923)&amp;" Q"&amp;ROUNDUP(MONTH(A923)/3,0))</f>
        <v/>
      </c>
      <c r="C923" s="47" t="n"/>
      <c r="D923" s="47" t="n"/>
      <c r="E923" s="47" t="n"/>
      <c r="F923" s="47" t="n"/>
      <c r="G923" s="48" t="n"/>
      <c r="H923" s="49" t="n"/>
      <c r="I923" s="50">
        <f>IF(G923="","",ROUND(G923*H923,2))</f>
        <v/>
      </c>
      <c r="J923" s="50">
        <f>IF(G923="","",G923+N(I923))</f>
        <v/>
      </c>
      <c r="K923" s="45" t="n"/>
      <c r="L923" s="47" t="n"/>
      <c r="M923" s="48" t="n"/>
      <c r="N923" s="49" t="n"/>
      <c r="O923" s="50">
        <f>IF(M923="","",ROUND(M923*N923,2))</f>
        <v/>
      </c>
      <c r="P923" s="50">
        <f>IF(M923="","",M923+N(O923))</f>
        <v/>
      </c>
      <c r="Q923" s="45" t="n"/>
      <c r="R923" s="45" t="n"/>
      <c r="S923" s="51">
        <f>IF(L923="","",IF(COUNTIF(L$6:L923,L923)&gt;1,"",SUMIF(L$6:L$2000,L923,M$6:M$2000)-SUMIF(L$6:L$2000,L923,G$6:G$2000)))</f>
        <v/>
      </c>
      <c r="T923" s="46">
        <f>IF(AND(C923="",G923=""),"",IF(L923="","Nog factureren",IF(AND(G923&lt;&gt;"",OR(K923="",K923&gt;TODAY())),"Nog betalen",IF(OR(R923="",R923&gt;TODAY()),"Wacht op klant","Afgerond"))))</f>
        <v/>
      </c>
    </row>
    <row r="924">
      <c r="A924" s="45" t="n"/>
      <c r="B924" s="46">
        <f>IF(A924="","",YEAR(A924)&amp;" Q"&amp;ROUNDUP(MONTH(A924)/3,0))</f>
        <v/>
      </c>
      <c r="C924" s="47" t="n"/>
      <c r="D924" s="47" t="n"/>
      <c r="E924" s="47" t="n"/>
      <c r="F924" s="47" t="n"/>
      <c r="G924" s="48" t="n"/>
      <c r="H924" s="49" t="n"/>
      <c r="I924" s="50">
        <f>IF(G924="","",ROUND(G924*H924,2))</f>
        <v/>
      </c>
      <c r="J924" s="50">
        <f>IF(G924="","",G924+N(I924))</f>
        <v/>
      </c>
      <c r="K924" s="45" t="n"/>
      <c r="L924" s="47" t="n"/>
      <c r="M924" s="48" t="n"/>
      <c r="N924" s="49" t="n"/>
      <c r="O924" s="50">
        <f>IF(M924="","",ROUND(M924*N924,2))</f>
        <v/>
      </c>
      <c r="P924" s="50">
        <f>IF(M924="","",M924+N(O924))</f>
        <v/>
      </c>
      <c r="Q924" s="45" t="n"/>
      <c r="R924" s="45" t="n"/>
      <c r="S924" s="51">
        <f>IF(L924="","",IF(COUNTIF(L$6:L924,L924)&gt;1,"",SUMIF(L$6:L$2000,L924,M$6:M$2000)-SUMIF(L$6:L$2000,L924,G$6:G$2000)))</f>
        <v/>
      </c>
      <c r="T924" s="46">
        <f>IF(AND(C924="",G924=""),"",IF(L924="","Nog factureren",IF(AND(G924&lt;&gt;"",OR(K924="",K924&gt;TODAY())),"Nog betalen",IF(OR(R924="",R924&gt;TODAY()),"Wacht op klant","Afgerond"))))</f>
        <v/>
      </c>
    </row>
    <row r="925">
      <c r="A925" s="45" t="n"/>
      <c r="B925" s="46">
        <f>IF(A925="","",YEAR(A925)&amp;" Q"&amp;ROUNDUP(MONTH(A925)/3,0))</f>
        <v/>
      </c>
      <c r="C925" s="47" t="n"/>
      <c r="D925" s="47" t="n"/>
      <c r="E925" s="47" t="n"/>
      <c r="F925" s="47" t="n"/>
      <c r="G925" s="48" t="n"/>
      <c r="H925" s="49" t="n"/>
      <c r="I925" s="50">
        <f>IF(G925="","",ROUND(G925*H925,2))</f>
        <v/>
      </c>
      <c r="J925" s="50">
        <f>IF(G925="","",G925+N(I925))</f>
        <v/>
      </c>
      <c r="K925" s="45" t="n"/>
      <c r="L925" s="47" t="n"/>
      <c r="M925" s="48" t="n"/>
      <c r="N925" s="49" t="n"/>
      <c r="O925" s="50">
        <f>IF(M925="","",ROUND(M925*N925,2))</f>
        <v/>
      </c>
      <c r="P925" s="50">
        <f>IF(M925="","",M925+N(O925))</f>
        <v/>
      </c>
      <c r="Q925" s="45" t="n"/>
      <c r="R925" s="45" t="n"/>
      <c r="S925" s="51">
        <f>IF(L925="","",IF(COUNTIF(L$6:L925,L925)&gt;1,"",SUMIF(L$6:L$2000,L925,M$6:M$2000)-SUMIF(L$6:L$2000,L925,G$6:G$2000)))</f>
        <v/>
      </c>
      <c r="T925" s="46">
        <f>IF(AND(C925="",G925=""),"",IF(L925="","Nog factureren",IF(AND(G925&lt;&gt;"",OR(K925="",K925&gt;TODAY())),"Nog betalen",IF(OR(R925="",R925&gt;TODAY()),"Wacht op klant","Afgerond"))))</f>
        <v/>
      </c>
    </row>
    <row r="926">
      <c r="A926" s="45" t="n"/>
      <c r="B926" s="46">
        <f>IF(A926="","",YEAR(A926)&amp;" Q"&amp;ROUNDUP(MONTH(A926)/3,0))</f>
        <v/>
      </c>
      <c r="C926" s="47" t="n"/>
      <c r="D926" s="47" t="n"/>
      <c r="E926" s="47" t="n"/>
      <c r="F926" s="47" t="n"/>
      <c r="G926" s="48" t="n"/>
      <c r="H926" s="49" t="n"/>
      <c r="I926" s="50">
        <f>IF(G926="","",ROUND(G926*H926,2))</f>
        <v/>
      </c>
      <c r="J926" s="50">
        <f>IF(G926="","",G926+N(I926))</f>
        <v/>
      </c>
      <c r="K926" s="45" t="n"/>
      <c r="L926" s="47" t="n"/>
      <c r="M926" s="48" t="n"/>
      <c r="N926" s="49" t="n"/>
      <c r="O926" s="50">
        <f>IF(M926="","",ROUND(M926*N926,2))</f>
        <v/>
      </c>
      <c r="P926" s="50">
        <f>IF(M926="","",M926+N(O926))</f>
        <v/>
      </c>
      <c r="Q926" s="45" t="n"/>
      <c r="R926" s="45" t="n"/>
      <c r="S926" s="51">
        <f>IF(L926="","",IF(COUNTIF(L$6:L926,L926)&gt;1,"",SUMIF(L$6:L$2000,L926,M$6:M$2000)-SUMIF(L$6:L$2000,L926,G$6:G$2000)))</f>
        <v/>
      </c>
      <c r="T926" s="46">
        <f>IF(AND(C926="",G926=""),"",IF(L926="","Nog factureren",IF(AND(G926&lt;&gt;"",OR(K926="",K926&gt;TODAY())),"Nog betalen",IF(OR(R926="",R926&gt;TODAY()),"Wacht op klant","Afgerond"))))</f>
        <v/>
      </c>
    </row>
    <row r="927">
      <c r="A927" s="45" t="n"/>
      <c r="B927" s="46">
        <f>IF(A927="","",YEAR(A927)&amp;" Q"&amp;ROUNDUP(MONTH(A927)/3,0))</f>
        <v/>
      </c>
      <c r="C927" s="47" t="n"/>
      <c r="D927" s="47" t="n"/>
      <c r="E927" s="47" t="n"/>
      <c r="F927" s="47" t="n"/>
      <c r="G927" s="48" t="n"/>
      <c r="H927" s="49" t="n"/>
      <c r="I927" s="50">
        <f>IF(G927="","",ROUND(G927*H927,2))</f>
        <v/>
      </c>
      <c r="J927" s="50">
        <f>IF(G927="","",G927+N(I927))</f>
        <v/>
      </c>
      <c r="K927" s="45" t="n"/>
      <c r="L927" s="47" t="n"/>
      <c r="M927" s="48" t="n"/>
      <c r="N927" s="49" t="n"/>
      <c r="O927" s="50">
        <f>IF(M927="","",ROUND(M927*N927,2))</f>
        <v/>
      </c>
      <c r="P927" s="50">
        <f>IF(M927="","",M927+N(O927))</f>
        <v/>
      </c>
      <c r="Q927" s="45" t="n"/>
      <c r="R927" s="45" t="n"/>
      <c r="S927" s="51">
        <f>IF(L927="","",IF(COUNTIF(L$6:L927,L927)&gt;1,"",SUMIF(L$6:L$2000,L927,M$6:M$2000)-SUMIF(L$6:L$2000,L927,G$6:G$2000)))</f>
        <v/>
      </c>
      <c r="T927" s="46">
        <f>IF(AND(C927="",G927=""),"",IF(L927="","Nog factureren",IF(AND(G927&lt;&gt;"",OR(K927="",K927&gt;TODAY())),"Nog betalen",IF(OR(R927="",R927&gt;TODAY()),"Wacht op klant","Afgerond"))))</f>
        <v/>
      </c>
    </row>
    <row r="928">
      <c r="A928" s="45" t="n"/>
      <c r="B928" s="46">
        <f>IF(A928="","",YEAR(A928)&amp;" Q"&amp;ROUNDUP(MONTH(A928)/3,0))</f>
        <v/>
      </c>
      <c r="C928" s="47" t="n"/>
      <c r="D928" s="47" t="n"/>
      <c r="E928" s="47" t="n"/>
      <c r="F928" s="47" t="n"/>
      <c r="G928" s="48" t="n"/>
      <c r="H928" s="49" t="n"/>
      <c r="I928" s="50">
        <f>IF(G928="","",ROUND(G928*H928,2))</f>
        <v/>
      </c>
      <c r="J928" s="50">
        <f>IF(G928="","",G928+N(I928))</f>
        <v/>
      </c>
      <c r="K928" s="45" t="n"/>
      <c r="L928" s="47" t="n"/>
      <c r="M928" s="48" t="n"/>
      <c r="N928" s="49" t="n"/>
      <c r="O928" s="50">
        <f>IF(M928="","",ROUND(M928*N928,2))</f>
        <v/>
      </c>
      <c r="P928" s="50">
        <f>IF(M928="","",M928+N(O928))</f>
        <v/>
      </c>
      <c r="Q928" s="45" t="n"/>
      <c r="R928" s="45" t="n"/>
      <c r="S928" s="51">
        <f>IF(L928="","",IF(COUNTIF(L$6:L928,L928)&gt;1,"",SUMIF(L$6:L$2000,L928,M$6:M$2000)-SUMIF(L$6:L$2000,L928,G$6:G$2000)))</f>
        <v/>
      </c>
      <c r="T928" s="46">
        <f>IF(AND(C928="",G928=""),"",IF(L928="","Nog factureren",IF(AND(G928&lt;&gt;"",OR(K928="",K928&gt;TODAY())),"Nog betalen",IF(OR(R928="",R928&gt;TODAY()),"Wacht op klant","Afgerond"))))</f>
        <v/>
      </c>
    </row>
    <row r="929">
      <c r="A929" s="45" t="n"/>
      <c r="B929" s="46">
        <f>IF(A929="","",YEAR(A929)&amp;" Q"&amp;ROUNDUP(MONTH(A929)/3,0))</f>
        <v/>
      </c>
      <c r="C929" s="47" t="n"/>
      <c r="D929" s="47" t="n"/>
      <c r="E929" s="47" t="n"/>
      <c r="F929" s="47" t="n"/>
      <c r="G929" s="48" t="n"/>
      <c r="H929" s="49" t="n"/>
      <c r="I929" s="50">
        <f>IF(G929="","",ROUND(G929*H929,2))</f>
        <v/>
      </c>
      <c r="J929" s="50">
        <f>IF(G929="","",G929+N(I929))</f>
        <v/>
      </c>
      <c r="K929" s="45" t="n"/>
      <c r="L929" s="47" t="n"/>
      <c r="M929" s="48" t="n"/>
      <c r="N929" s="49" t="n"/>
      <c r="O929" s="50">
        <f>IF(M929="","",ROUND(M929*N929,2))</f>
        <v/>
      </c>
      <c r="P929" s="50">
        <f>IF(M929="","",M929+N(O929))</f>
        <v/>
      </c>
      <c r="Q929" s="45" t="n"/>
      <c r="R929" s="45" t="n"/>
      <c r="S929" s="51">
        <f>IF(L929="","",IF(COUNTIF(L$6:L929,L929)&gt;1,"",SUMIF(L$6:L$2000,L929,M$6:M$2000)-SUMIF(L$6:L$2000,L929,G$6:G$2000)))</f>
        <v/>
      </c>
      <c r="T929" s="46">
        <f>IF(AND(C929="",G929=""),"",IF(L929="","Nog factureren",IF(AND(G929&lt;&gt;"",OR(K929="",K929&gt;TODAY())),"Nog betalen",IF(OR(R929="",R929&gt;TODAY()),"Wacht op klant","Afgerond"))))</f>
        <v/>
      </c>
    </row>
    <row r="930">
      <c r="A930" s="45" t="n"/>
      <c r="B930" s="46">
        <f>IF(A930="","",YEAR(A930)&amp;" Q"&amp;ROUNDUP(MONTH(A930)/3,0))</f>
        <v/>
      </c>
      <c r="C930" s="47" t="n"/>
      <c r="D930" s="47" t="n"/>
      <c r="E930" s="47" t="n"/>
      <c r="F930" s="47" t="n"/>
      <c r="G930" s="48" t="n"/>
      <c r="H930" s="49" t="n"/>
      <c r="I930" s="50">
        <f>IF(G930="","",ROUND(G930*H930,2))</f>
        <v/>
      </c>
      <c r="J930" s="50">
        <f>IF(G930="","",G930+N(I930))</f>
        <v/>
      </c>
      <c r="K930" s="45" t="n"/>
      <c r="L930" s="47" t="n"/>
      <c r="M930" s="48" t="n"/>
      <c r="N930" s="49" t="n"/>
      <c r="O930" s="50">
        <f>IF(M930="","",ROUND(M930*N930,2))</f>
        <v/>
      </c>
      <c r="P930" s="50">
        <f>IF(M930="","",M930+N(O930))</f>
        <v/>
      </c>
      <c r="Q930" s="45" t="n"/>
      <c r="R930" s="45" t="n"/>
      <c r="S930" s="51">
        <f>IF(L930="","",IF(COUNTIF(L$6:L930,L930)&gt;1,"",SUMIF(L$6:L$2000,L930,M$6:M$2000)-SUMIF(L$6:L$2000,L930,G$6:G$2000)))</f>
        <v/>
      </c>
      <c r="T930" s="46">
        <f>IF(AND(C930="",G930=""),"",IF(L930="","Nog factureren",IF(AND(G930&lt;&gt;"",OR(K930="",K930&gt;TODAY())),"Nog betalen",IF(OR(R930="",R930&gt;TODAY()),"Wacht op klant","Afgerond"))))</f>
        <v/>
      </c>
    </row>
    <row r="931">
      <c r="A931" s="45" t="n"/>
      <c r="B931" s="46">
        <f>IF(A931="","",YEAR(A931)&amp;" Q"&amp;ROUNDUP(MONTH(A931)/3,0))</f>
        <v/>
      </c>
      <c r="C931" s="47" t="n"/>
      <c r="D931" s="47" t="n"/>
      <c r="E931" s="47" t="n"/>
      <c r="F931" s="47" t="n"/>
      <c r="G931" s="48" t="n"/>
      <c r="H931" s="49" t="n"/>
      <c r="I931" s="50">
        <f>IF(G931="","",ROUND(G931*H931,2))</f>
        <v/>
      </c>
      <c r="J931" s="50">
        <f>IF(G931="","",G931+N(I931))</f>
        <v/>
      </c>
      <c r="K931" s="45" t="n"/>
      <c r="L931" s="47" t="n"/>
      <c r="M931" s="48" t="n"/>
      <c r="N931" s="49" t="n"/>
      <c r="O931" s="50">
        <f>IF(M931="","",ROUND(M931*N931,2))</f>
        <v/>
      </c>
      <c r="P931" s="50">
        <f>IF(M931="","",M931+N(O931))</f>
        <v/>
      </c>
      <c r="Q931" s="45" t="n"/>
      <c r="R931" s="45" t="n"/>
      <c r="S931" s="51">
        <f>IF(L931="","",IF(COUNTIF(L$6:L931,L931)&gt;1,"",SUMIF(L$6:L$2000,L931,M$6:M$2000)-SUMIF(L$6:L$2000,L931,G$6:G$2000)))</f>
        <v/>
      </c>
      <c r="T931" s="46">
        <f>IF(AND(C931="",G931=""),"",IF(L931="","Nog factureren",IF(AND(G931&lt;&gt;"",OR(K931="",K931&gt;TODAY())),"Nog betalen",IF(OR(R931="",R931&gt;TODAY()),"Wacht op klant","Afgerond"))))</f>
        <v/>
      </c>
    </row>
    <row r="932">
      <c r="A932" s="45" t="n"/>
      <c r="B932" s="46">
        <f>IF(A932="","",YEAR(A932)&amp;" Q"&amp;ROUNDUP(MONTH(A932)/3,0))</f>
        <v/>
      </c>
      <c r="C932" s="47" t="n"/>
      <c r="D932" s="47" t="n"/>
      <c r="E932" s="47" t="n"/>
      <c r="F932" s="47" t="n"/>
      <c r="G932" s="48" t="n"/>
      <c r="H932" s="49" t="n"/>
      <c r="I932" s="50">
        <f>IF(G932="","",ROUND(G932*H932,2))</f>
        <v/>
      </c>
      <c r="J932" s="50">
        <f>IF(G932="","",G932+N(I932))</f>
        <v/>
      </c>
      <c r="K932" s="45" t="n"/>
      <c r="L932" s="47" t="n"/>
      <c r="M932" s="48" t="n"/>
      <c r="N932" s="49" t="n"/>
      <c r="O932" s="50">
        <f>IF(M932="","",ROUND(M932*N932,2))</f>
        <v/>
      </c>
      <c r="P932" s="50">
        <f>IF(M932="","",M932+N(O932))</f>
        <v/>
      </c>
      <c r="Q932" s="45" t="n"/>
      <c r="R932" s="45" t="n"/>
      <c r="S932" s="51">
        <f>IF(L932="","",IF(COUNTIF(L$6:L932,L932)&gt;1,"",SUMIF(L$6:L$2000,L932,M$6:M$2000)-SUMIF(L$6:L$2000,L932,G$6:G$2000)))</f>
        <v/>
      </c>
      <c r="T932" s="46">
        <f>IF(AND(C932="",G932=""),"",IF(L932="","Nog factureren",IF(AND(G932&lt;&gt;"",OR(K932="",K932&gt;TODAY())),"Nog betalen",IF(OR(R932="",R932&gt;TODAY()),"Wacht op klant","Afgerond"))))</f>
        <v/>
      </c>
    </row>
    <row r="933">
      <c r="A933" s="45" t="n"/>
      <c r="B933" s="46">
        <f>IF(A933="","",YEAR(A933)&amp;" Q"&amp;ROUNDUP(MONTH(A933)/3,0))</f>
        <v/>
      </c>
      <c r="C933" s="47" t="n"/>
      <c r="D933" s="47" t="n"/>
      <c r="E933" s="47" t="n"/>
      <c r="F933" s="47" t="n"/>
      <c r="G933" s="48" t="n"/>
      <c r="H933" s="49" t="n"/>
      <c r="I933" s="50">
        <f>IF(G933="","",ROUND(G933*H933,2))</f>
        <v/>
      </c>
      <c r="J933" s="50">
        <f>IF(G933="","",G933+N(I933))</f>
        <v/>
      </c>
      <c r="K933" s="45" t="n"/>
      <c r="L933" s="47" t="n"/>
      <c r="M933" s="48" t="n"/>
      <c r="N933" s="49" t="n"/>
      <c r="O933" s="50">
        <f>IF(M933="","",ROUND(M933*N933,2))</f>
        <v/>
      </c>
      <c r="P933" s="50">
        <f>IF(M933="","",M933+N(O933))</f>
        <v/>
      </c>
      <c r="Q933" s="45" t="n"/>
      <c r="R933" s="45" t="n"/>
      <c r="S933" s="51">
        <f>IF(L933="","",IF(COUNTIF(L$6:L933,L933)&gt;1,"",SUMIF(L$6:L$2000,L933,M$6:M$2000)-SUMIF(L$6:L$2000,L933,G$6:G$2000)))</f>
        <v/>
      </c>
      <c r="T933" s="46">
        <f>IF(AND(C933="",G933=""),"",IF(L933="","Nog factureren",IF(AND(G933&lt;&gt;"",OR(K933="",K933&gt;TODAY())),"Nog betalen",IF(OR(R933="",R933&gt;TODAY()),"Wacht op klant","Afgerond"))))</f>
        <v/>
      </c>
    </row>
    <row r="934">
      <c r="A934" s="45" t="n"/>
      <c r="B934" s="46">
        <f>IF(A934="","",YEAR(A934)&amp;" Q"&amp;ROUNDUP(MONTH(A934)/3,0))</f>
        <v/>
      </c>
      <c r="C934" s="47" t="n"/>
      <c r="D934" s="47" t="n"/>
      <c r="E934" s="47" t="n"/>
      <c r="F934" s="47" t="n"/>
      <c r="G934" s="48" t="n"/>
      <c r="H934" s="49" t="n"/>
      <c r="I934" s="50">
        <f>IF(G934="","",ROUND(G934*H934,2))</f>
        <v/>
      </c>
      <c r="J934" s="50">
        <f>IF(G934="","",G934+N(I934))</f>
        <v/>
      </c>
      <c r="K934" s="45" t="n"/>
      <c r="L934" s="47" t="n"/>
      <c r="M934" s="48" t="n"/>
      <c r="N934" s="49" t="n"/>
      <c r="O934" s="50">
        <f>IF(M934="","",ROUND(M934*N934,2))</f>
        <v/>
      </c>
      <c r="P934" s="50">
        <f>IF(M934="","",M934+N(O934))</f>
        <v/>
      </c>
      <c r="Q934" s="45" t="n"/>
      <c r="R934" s="45" t="n"/>
      <c r="S934" s="51">
        <f>IF(L934="","",IF(COUNTIF(L$6:L934,L934)&gt;1,"",SUMIF(L$6:L$2000,L934,M$6:M$2000)-SUMIF(L$6:L$2000,L934,G$6:G$2000)))</f>
        <v/>
      </c>
      <c r="T934" s="46">
        <f>IF(AND(C934="",G934=""),"",IF(L934="","Nog factureren",IF(AND(G934&lt;&gt;"",OR(K934="",K934&gt;TODAY())),"Nog betalen",IF(OR(R934="",R934&gt;TODAY()),"Wacht op klant","Afgerond"))))</f>
        <v/>
      </c>
    </row>
    <row r="935">
      <c r="A935" s="45" t="n"/>
      <c r="B935" s="46">
        <f>IF(A935="","",YEAR(A935)&amp;" Q"&amp;ROUNDUP(MONTH(A935)/3,0))</f>
        <v/>
      </c>
      <c r="C935" s="47" t="n"/>
      <c r="D935" s="47" t="n"/>
      <c r="E935" s="47" t="n"/>
      <c r="F935" s="47" t="n"/>
      <c r="G935" s="48" t="n"/>
      <c r="H935" s="49" t="n"/>
      <c r="I935" s="50">
        <f>IF(G935="","",ROUND(G935*H935,2))</f>
        <v/>
      </c>
      <c r="J935" s="50">
        <f>IF(G935="","",G935+N(I935))</f>
        <v/>
      </c>
      <c r="K935" s="45" t="n"/>
      <c r="L935" s="47" t="n"/>
      <c r="M935" s="48" t="n"/>
      <c r="N935" s="49" t="n"/>
      <c r="O935" s="50">
        <f>IF(M935="","",ROUND(M935*N935,2))</f>
        <v/>
      </c>
      <c r="P935" s="50">
        <f>IF(M935="","",M935+N(O935))</f>
        <v/>
      </c>
      <c r="Q935" s="45" t="n"/>
      <c r="R935" s="45" t="n"/>
      <c r="S935" s="51">
        <f>IF(L935="","",IF(COUNTIF(L$6:L935,L935)&gt;1,"",SUMIF(L$6:L$2000,L935,M$6:M$2000)-SUMIF(L$6:L$2000,L935,G$6:G$2000)))</f>
        <v/>
      </c>
      <c r="T935" s="46">
        <f>IF(AND(C935="",G935=""),"",IF(L935="","Nog factureren",IF(AND(G935&lt;&gt;"",OR(K935="",K935&gt;TODAY())),"Nog betalen",IF(OR(R935="",R935&gt;TODAY()),"Wacht op klant","Afgerond"))))</f>
        <v/>
      </c>
    </row>
    <row r="936">
      <c r="A936" s="45" t="n"/>
      <c r="B936" s="46">
        <f>IF(A936="","",YEAR(A936)&amp;" Q"&amp;ROUNDUP(MONTH(A936)/3,0))</f>
        <v/>
      </c>
      <c r="C936" s="47" t="n"/>
      <c r="D936" s="47" t="n"/>
      <c r="E936" s="47" t="n"/>
      <c r="F936" s="47" t="n"/>
      <c r="G936" s="48" t="n"/>
      <c r="H936" s="49" t="n"/>
      <c r="I936" s="50">
        <f>IF(G936="","",ROUND(G936*H936,2))</f>
        <v/>
      </c>
      <c r="J936" s="50">
        <f>IF(G936="","",G936+N(I936))</f>
        <v/>
      </c>
      <c r="K936" s="45" t="n"/>
      <c r="L936" s="47" t="n"/>
      <c r="M936" s="48" t="n"/>
      <c r="N936" s="49" t="n"/>
      <c r="O936" s="50">
        <f>IF(M936="","",ROUND(M936*N936,2))</f>
        <v/>
      </c>
      <c r="P936" s="50">
        <f>IF(M936="","",M936+N(O936))</f>
        <v/>
      </c>
      <c r="Q936" s="45" t="n"/>
      <c r="R936" s="45" t="n"/>
      <c r="S936" s="51">
        <f>IF(L936="","",IF(COUNTIF(L$6:L936,L936)&gt;1,"",SUMIF(L$6:L$2000,L936,M$6:M$2000)-SUMIF(L$6:L$2000,L936,G$6:G$2000)))</f>
        <v/>
      </c>
      <c r="T936" s="46">
        <f>IF(AND(C936="",G936=""),"",IF(L936="","Nog factureren",IF(AND(G936&lt;&gt;"",OR(K936="",K936&gt;TODAY())),"Nog betalen",IF(OR(R936="",R936&gt;TODAY()),"Wacht op klant","Afgerond"))))</f>
        <v/>
      </c>
    </row>
    <row r="937">
      <c r="A937" s="45" t="n"/>
      <c r="B937" s="46">
        <f>IF(A937="","",YEAR(A937)&amp;" Q"&amp;ROUNDUP(MONTH(A937)/3,0))</f>
        <v/>
      </c>
      <c r="C937" s="47" t="n"/>
      <c r="D937" s="47" t="n"/>
      <c r="E937" s="47" t="n"/>
      <c r="F937" s="47" t="n"/>
      <c r="G937" s="48" t="n"/>
      <c r="H937" s="49" t="n"/>
      <c r="I937" s="50">
        <f>IF(G937="","",ROUND(G937*H937,2))</f>
        <v/>
      </c>
      <c r="J937" s="50">
        <f>IF(G937="","",G937+N(I937))</f>
        <v/>
      </c>
      <c r="K937" s="45" t="n"/>
      <c r="L937" s="47" t="n"/>
      <c r="M937" s="48" t="n"/>
      <c r="N937" s="49" t="n"/>
      <c r="O937" s="50">
        <f>IF(M937="","",ROUND(M937*N937,2))</f>
        <v/>
      </c>
      <c r="P937" s="50">
        <f>IF(M937="","",M937+N(O937))</f>
        <v/>
      </c>
      <c r="Q937" s="45" t="n"/>
      <c r="R937" s="45" t="n"/>
      <c r="S937" s="51">
        <f>IF(L937="","",IF(COUNTIF(L$6:L937,L937)&gt;1,"",SUMIF(L$6:L$2000,L937,M$6:M$2000)-SUMIF(L$6:L$2000,L937,G$6:G$2000)))</f>
        <v/>
      </c>
      <c r="T937" s="46">
        <f>IF(AND(C937="",G937=""),"",IF(L937="","Nog factureren",IF(AND(G937&lt;&gt;"",OR(K937="",K937&gt;TODAY())),"Nog betalen",IF(OR(R937="",R937&gt;TODAY()),"Wacht op klant","Afgerond"))))</f>
        <v/>
      </c>
    </row>
    <row r="938">
      <c r="A938" s="45" t="n"/>
      <c r="B938" s="46">
        <f>IF(A938="","",YEAR(A938)&amp;" Q"&amp;ROUNDUP(MONTH(A938)/3,0))</f>
        <v/>
      </c>
      <c r="C938" s="47" t="n"/>
      <c r="D938" s="47" t="n"/>
      <c r="E938" s="47" t="n"/>
      <c r="F938" s="47" t="n"/>
      <c r="G938" s="48" t="n"/>
      <c r="H938" s="49" t="n"/>
      <c r="I938" s="50">
        <f>IF(G938="","",ROUND(G938*H938,2))</f>
        <v/>
      </c>
      <c r="J938" s="50">
        <f>IF(G938="","",G938+N(I938))</f>
        <v/>
      </c>
      <c r="K938" s="45" t="n"/>
      <c r="L938" s="47" t="n"/>
      <c r="M938" s="48" t="n"/>
      <c r="N938" s="49" t="n"/>
      <c r="O938" s="50">
        <f>IF(M938="","",ROUND(M938*N938,2))</f>
        <v/>
      </c>
      <c r="P938" s="50">
        <f>IF(M938="","",M938+N(O938))</f>
        <v/>
      </c>
      <c r="Q938" s="45" t="n"/>
      <c r="R938" s="45" t="n"/>
      <c r="S938" s="51">
        <f>IF(L938="","",IF(COUNTIF(L$6:L938,L938)&gt;1,"",SUMIF(L$6:L$2000,L938,M$6:M$2000)-SUMIF(L$6:L$2000,L938,G$6:G$2000)))</f>
        <v/>
      </c>
      <c r="T938" s="46">
        <f>IF(AND(C938="",G938=""),"",IF(L938="","Nog factureren",IF(AND(G938&lt;&gt;"",OR(K938="",K938&gt;TODAY())),"Nog betalen",IF(OR(R938="",R938&gt;TODAY()),"Wacht op klant","Afgerond"))))</f>
        <v/>
      </c>
    </row>
    <row r="939">
      <c r="A939" s="45" t="n"/>
      <c r="B939" s="46">
        <f>IF(A939="","",YEAR(A939)&amp;" Q"&amp;ROUNDUP(MONTH(A939)/3,0))</f>
        <v/>
      </c>
      <c r="C939" s="47" t="n"/>
      <c r="D939" s="47" t="n"/>
      <c r="E939" s="47" t="n"/>
      <c r="F939" s="47" t="n"/>
      <c r="G939" s="48" t="n"/>
      <c r="H939" s="49" t="n"/>
      <c r="I939" s="50">
        <f>IF(G939="","",ROUND(G939*H939,2))</f>
        <v/>
      </c>
      <c r="J939" s="50">
        <f>IF(G939="","",G939+N(I939))</f>
        <v/>
      </c>
      <c r="K939" s="45" t="n"/>
      <c r="L939" s="47" t="n"/>
      <c r="M939" s="48" t="n"/>
      <c r="N939" s="49" t="n"/>
      <c r="O939" s="50">
        <f>IF(M939="","",ROUND(M939*N939,2))</f>
        <v/>
      </c>
      <c r="P939" s="50">
        <f>IF(M939="","",M939+N(O939))</f>
        <v/>
      </c>
      <c r="Q939" s="45" t="n"/>
      <c r="R939" s="45" t="n"/>
      <c r="S939" s="51">
        <f>IF(L939="","",IF(COUNTIF(L$6:L939,L939)&gt;1,"",SUMIF(L$6:L$2000,L939,M$6:M$2000)-SUMIF(L$6:L$2000,L939,G$6:G$2000)))</f>
        <v/>
      </c>
      <c r="T939" s="46">
        <f>IF(AND(C939="",G939=""),"",IF(L939="","Nog factureren",IF(AND(G939&lt;&gt;"",OR(K939="",K939&gt;TODAY())),"Nog betalen",IF(OR(R939="",R939&gt;TODAY()),"Wacht op klant","Afgerond"))))</f>
        <v/>
      </c>
    </row>
    <row r="940">
      <c r="A940" s="45" t="n"/>
      <c r="B940" s="46">
        <f>IF(A940="","",YEAR(A940)&amp;" Q"&amp;ROUNDUP(MONTH(A940)/3,0))</f>
        <v/>
      </c>
      <c r="C940" s="47" t="n"/>
      <c r="D940" s="47" t="n"/>
      <c r="E940" s="47" t="n"/>
      <c r="F940" s="47" t="n"/>
      <c r="G940" s="48" t="n"/>
      <c r="H940" s="49" t="n"/>
      <c r="I940" s="50">
        <f>IF(G940="","",ROUND(G940*H940,2))</f>
        <v/>
      </c>
      <c r="J940" s="50">
        <f>IF(G940="","",G940+N(I940))</f>
        <v/>
      </c>
      <c r="K940" s="45" t="n"/>
      <c r="L940" s="47" t="n"/>
      <c r="M940" s="48" t="n"/>
      <c r="N940" s="49" t="n"/>
      <c r="O940" s="50">
        <f>IF(M940="","",ROUND(M940*N940,2))</f>
        <v/>
      </c>
      <c r="P940" s="50">
        <f>IF(M940="","",M940+N(O940))</f>
        <v/>
      </c>
      <c r="Q940" s="45" t="n"/>
      <c r="R940" s="45" t="n"/>
      <c r="S940" s="51">
        <f>IF(L940="","",IF(COUNTIF(L$6:L940,L940)&gt;1,"",SUMIF(L$6:L$2000,L940,M$6:M$2000)-SUMIF(L$6:L$2000,L940,G$6:G$2000)))</f>
        <v/>
      </c>
      <c r="T940" s="46">
        <f>IF(AND(C940="",G940=""),"",IF(L940="","Nog factureren",IF(AND(G940&lt;&gt;"",OR(K940="",K940&gt;TODAY())),"Nog betalen",IF(OR(R940="",R940&gt;TODAY()),"Wacht op klant","Afgerond"))))</f>
        <v/>
      </c>
    </row>
    <row r="941">
      <c r="A941" s="45" t="n"/>
      <c r="B941" s="46">
        <f>IF(A941="","",YEAR(A941)&amp;" Q"&amp;ROUNDUP(MONTH(A941)/3,0))</f>
        <v/>
      </c>
      <c r="C941" s="47" t="n"/>
      <c r="D941" s="47" t="n"/>
      <c r="E941" s="47" t="n"/>
      <c r="F941" s="47" t="n"/>
      <c r="G941" s="48" t="n"/>
      <c r="H941" s="49" t="n"/>
      <c r="I941" s="50">
        <f>IF(G941="","",ROUND(G941*H941,2))</f>
        <v/>
      </c>
      <c r="J941" s="50">
        <f>IF(G941="","",G941+N(I941))</f>
        <v/>
      </c>
      <c r="K941" s="45" t="n"/>
      <c r="L941" s="47" t="n"/>
      <c r="M941" s="48" t="n"/>
      <c r="N941" s="49" t="n"/>
      <c r="O941" s="50">
        <f>IF(M941="","",ROUND(M941*N941,2))</f>
        <v/>
      </c>
      <c r="P941" s="50">
        <f>IF(M941="","",M941+N(O941))</f>
        <v/>
      </c>
      <c r="Q941" s="45" t="n"/>
      <c r="R941" s="45" t="n"/>
      <c r="S941" s="51">
        <f>IF(L941="","",IF(COUNTIF(L$6:L941,L941)&gt;1,"",SUMIF(L$6:L$2000,L941,M$6:M$2000)-SUMIF(L$6:L$2000,L941,G$6:G$2000)))</f>
        <v/>
      </c>
      <c r="T941" s="46">
        <f>IF(AND(C941="",G941=""),"",IF(L941="","Nog factureren",IF(AND(G941&lt;&gt;"",OR(K941="",K941&gt;TODAY())),"Nog betalen",IF(OR(R941="",R941&gt;TODAY()),"Wacht op klant","Afgerond"))))</f>
        <v/>
      </c>
    </row>
    <row r="942">
      <c r="A942" s="45" t="n"/>
      <c r="B942" s="46">
        <f>IF(A942="","",YEAR(A942)&amp;" Q"&amp;ROUNDUP(MONTH(A942)/3,0))</f>
        <v/>
      </c>
      <c r="C942" s="47" t="n"/>
      <c r="D942" s="47" t="n"/>
      <c r="E942" s="47" t="n"/>
      <c r="F942" s="47" t="n"/>
      <c r="G942" s="48" t="n"/>
      <c r="H942" s="49" t="n"/>
      <c r="I942" s="50">
        <f>IF(G942="","",ROUND(G942*H942,2))</f>
        <v/>
      </c>
      <c r="J942" s="50">
        <f>IF(G942="","",G942+N(I942))</f>
        <v/>
      </c>
      <c r="K942" s="45" t="n"/>
      <c r="L942" s="47" t="n"/>
      <c r="M942" s="48" t="n"/>
      <c r="N942" s="49" t="n"/>
      <c r="O942" s="50">
        <f>IF(M942="","",ROUND(M942*N942,2))</f>
        <v/>
      </c>
      <c r="P942" s="50">
        <f>IF(M942="","",M942+N(O942))</f>
        <v/>
      </c>
      <c r="Q942" s="45" t="n"/>
      <c r="R942" s="45" t="n"/>
      <c r="S942" s="51">
        <f>IF(L942="","",IF(COUNTIF(L$6:L942,L942)&gt;1,"",SUMIF(L$6:L$2000,L942,M$6:M$2000)-SUMIF(L$6:L$2000,L942,G$6:G$2000)))</f>
        <v/>
      </c>
      <c r="T942" s="46">
        <f>IF(AND(C942="",G942=""),"",IF(L942="","Nog factureren",IF(AND(G942&lt;&gt;"",OR(K942="",K942&gt;TODAY())),"Nog betalen",IF(OR(R942="",R942&gt;TODAY()),"Wacht op klant","Afgerond"))))</f>
        <v/>
      </c>
    </row>
    <row r="943">
      <c r="A943" s="45" t="n"/>
      <c r="B943" s="46">
        <f>IF(A943="","",YEAR(A943)&amp;" Q"&amp;ROUNDUP(MONTH(A943)/3,0))</f>
        <v/>
      </c>
      <c r="C943" s="47" t="n"/>
      <c r="D943" s="47" t="n"/>
      <c r="E943" s="47" t="n"/>
      <c r="F943" s="47" t="n"/>
      <c r="G943" s="48" t="n"/>
      <c r="H943" s="49" t="n"/>
      <c r="I943" s="50">
        <f>IF(G943="","",ROUND(G943*H943,2))</f>
        <v/>
      </c>
      <c r="J943" s="50">
        <f>IF(G943="","",G943+N(I943))</f>
        <v/>
      </c>
      <c r="K943" s="45" t="n"/>
      <c r="L943" s="47" t="n"/>
      <c r="M943" s="48" t="n"/>
      <c r="N943" s="49" t="n"/>
      <c r="O943" s="50">
        <f>IF(M943="","",ROUND(M943*N943,2))</f>
        <v/>
      </c>
      <c r="P943" s="50">
        <f>IF(M943="","",M943+N(O943))</f>
        <v/>
      </c>
      <c r="Q943" s="45" t="n"/>
      <c r="R943" s="45" t="n"/>
      <c r="S943" s="51">
        <f>IF(L943="","",IF(COUNTIF(L$6:L943,L943)&gt;1,"",SUMIF(L$6:L$2000,L943,M$6:M$2000)-SUMIF(L$6:L$2000,L943,G$6:G$2000)))</f>
        <v/>
      </c>
      <c r="T943" s="46">
        <f>IF(AND(C943="",G943=""),"",IF(L943="","Nog factureren",IF(AND(G943&lt;&gt;"",OR(K943="",K943&gt;TODAY())),"Nog betalen",IF(OR(R943="",R943&gt;TODAY()),"Wacht op klant","Afgerond"))))</f>
        <v/>
      </c>
    </row>
    <row r="944">
      <c r="A944" s="45" t="n"/>
      <c r="B944" s="46">
        <f>IF(A944="","",YEAR(A944)&amp;" Q"&amp;ROUNDUP(MONTH(A944)/3,0))</f>
        <v/>
      </c>
      <c r="C944" s="47" t="n"/>
      <c r="D944" s="47" t="n"/>
      <c r="E944" s="47" t="n"/>
      <c r="F944" s="47" t="n"/>
      <c r="G944" s="48" t="n"/>
      <c r="H944" s="49" t="n"/>
      <c r="I944" s="50">
        <f>IF(G944="","",ROUND(G944*H944,2))</f>
        <v/>
      </c>
      <c r="J944" s="50">
        <f>IF(G944="","",G944+N(I944))</f>
        <v/>
      </c>
      <c r="K944" s="45" t="n"/>
      <c r="L944" s="47" t="n"/>
      <c r="M944" s="48" t="n"/>
      <c r="N944" s="49" t="n"/>
      <c r="O944" s="50">
        <f>IF(M944="","",ROUND(M944*N944,2))</f>
        <v/>
      </c>
      <c r="P944" s="50">
        <f>IF(M944="","",M944+N(O944))</f>
        <v/>
      </c>
      <c r="Q944" s="45" t="n"/>
      <c r="R944" s="45" t="n"/>
      <c r="S944" s="51">
        <f>IF(L944="","",IF(COUNTIF(L$6:L944,L944)&gt;1,"",SUMIF(L$6:L$2000,L944,M$6:M$2000)-SUMIF(L$6:L$2000,L944,G$6:G$2000)))</f>
        <v/>
      </c>
      <c r="T944" s="46">
        <f>IF(AND(C944="",G944=""),"",IF(L944="","Nog factureren",IF(AND(G944&lt;&gt;"",OR(K944="",K944&gt;TODAY())),"Nog betalen",IF(OR(R944="",R944&gt;TODAY()),"Wacht op klant","Afgerond"))))</f>
        <v/>
      </c>
    </row>
    <row r="945">
      <c r="A945" s="45" t="n"/>
      <c r="B945" s="46">
        <f>IF(A945="","",YEAR(A945)&amp;" Q"&amp;ROUNDUP(MONTH(A945)/3,0))</f>
        <v/>
      </c>
      <c r="C945" s="47" t="n"/>
      <c r="D945" s="47" t="n"/>
      <c r="E945" s="47" t="n"/>
      <c r="F945" s="47" t="n"/>
      <c r="G945" s="48" t="n"/>
      <c r="H945" s="49" t="n"/>
      <c r="I945" s="50">
        <f>IF(G945="","",ROUND(G945*H945,2))</f>
        <v/>
      </c>
      <c r="J945" s="50">
        <f>IF(G945="","",G945+N(I945))</f>
        <v/>
      </c>
      <c r="K945" s="45" t="n"/>
      <c r="L945" s="47" t="n"/>
      <c r="M945" s="48" t="n"/>
      <c r="N945" s="49" t="n"/>
      <c r="O945" s="50">
        <f>IF(M945="","",ROUND(M945*N945,2))</f>
        <v/>
      </c>
      <c r="P945" s="50">
        <f>IF(M945="","",M945+N(O945))</f>
        <v/>
      </c>
      <c r="Q945" s="45" t="n"/>
      <c r="R945" s="45" t="n"/>
      <c r="S945" s="51">
        <f>IF(L945="","",IF(COUNTIF(L$6:L945,L945)&gt;1,"",SUMIF(L$6:L$2000,L945,M$6:M$2000)-SUMIF(L$6:L$2000,L945,G$6:G$2000)))</f>
        <v/>
      </c>
      <c r="T945" s="46">
        <f>IF(AND(C945="",G945=""),"",IF(L945="","Nog factureren",IF(AND(G945&lt;&gt;"",OR(K945="",K945&gt;TODAY())),"Nog betalen",IF(OR(R945="",R945&gt;TODAY()),"Wacht op klant","Afgerond"))))</f>
        <v/>
      </c>
    </row>
    <row r="946">
      <c r="A946" s="45" t="n"/>
      <c r="B946" s="46">
        <f>IF(A946="","",YEAR(A946)&amp;" Q"&amp;ROUNDUP(MONTH(A946)/3,0))</f>
        <v/>
      </c>
      <c r="C946" s="47" t="n"/>
      <c r="D946" s="47" t="n"/>
      <c r="E946" s="47" t="n"/>
      <c r="F946" s="47" t="n"/>
      <c r="G946" s="48" t="n"/>
      <c r="H946" s="49" t="n"/>
      <c r="I946" s="50">
        <f>IF(G946="","",ROUND(G946*H946,2))</f>
        <v/>
      </c>
      <c r="J946" s="50">
        <f>IF(G946="","",G946+N(I946))</f>
        <v/>
      </c>
      <c r="K946" s="45" t="n"/>
      <c r="L946" s="47" t="n"/>
      <c r="M946" s="48" t="n"/>
      <c r="N946" s="49" t="n"/>
      <c r="O946" s="50">
        <f>IF(M946="","",ROUND(M946*N946,2))</f>
        <v/>
      </c>
      <c r="P946" s="50">
        <f>IF(M946="","",M946+N(O946))</f>
        <v/>
      </c>
      <c r="Q946" s="45" t="n"/>
      <c r="R946" s="45" t="n"/>
      <c r="S946" s="51">
        <f>IF(L946="","",IF(COUNTIF(L$6:L946,L946)&gt;1,"",SUMIF(L$6:L$2000,L946,M$6:M$2000)-SUMIF(L$6:L$2000,L946,G$6:G$2000)))</f>
        <v/>
      </c>
      <c r="T946" s="46">
        <f>IF(AND(C946="",G946=""),"",IF(L946="","Nog factureren",IF(AND(G946&lt;&gt;"",OR(K946="",K946&gt;TODAY())),"Nog betalen",IF(OR(R946="",R946&gt;TODAY()),"Wacht op klant","Afgerond"))))</f>
        <v/>
      </c>
    </row>
    <row r="947">
      <c r="A947" s="45" t="n"/>
      <c r="B947" s="46">
        <f>IF(A947="","",YEAR(A947)&amp;" Q"&amp;ROUNDUP(MONTH(A947)/3,0))</f>
        <v/>
      </c>
      <c r="C947" s="47" t="n"/>
      <c r="D947" s="47" t="n"/>
      <c r="E947" s="47" t="n"/>
      <c r="F947" s="47" t="n"/>
      <c r="G947" s="48" t="n"/>
      <c r="H947" s="49" t="n"/>
      <c r="I947" s="50">
        <f>IF(G947="","",ROUND(G947*H947,2))</f>
        <v/>
      </c>
      <c r="J947" s="50">
        <f>IF(G947="","",G947+N(I947))</f>
        <v/>
      </c>
      <c r="K947" s="45" t="n"/>
      <c r="L947" s="47" t="n"/>
      <c r="M947" s="48" t="n"/>
      <c r="N947" s="49" t="n"/>
      <c r="O947" s="50">
        <f>IF(M947="","",ROUND(M947*N947,2))</f>
        <v/>
      </c>
      <c r="P947" s="50">
        <f>IF(M947="","",M947+N(O947))</f>
        <v/>
      </c>
      <c r="Q947" s="45" t="n"/>
      <c r="R947" s="45" t="n"/>
      <c r="S947" s="51">
        <f>IF(L947="","",IF(COUNTIF(L$6:L947,L947)&gt;1,"",SUMIF(L$6:L$2000,L947,M$6:M$2000)-SUMIF(L$6:L$2000,L947,G$6:G$2000)))</f>
        <v/>
      </c>
      <c r="T947" s="46">
        <f>IF(AND(C947="",G947=""),"",IF(L947="","Nog factureren",IF(AND(G947&lt;&gt;"",OR(K947="",K947&gt;TODAY())),"Nog betalen",IF(OR(R947="",R947&gt;TODAY()),"Wacht op klant","Afgerond"))))</f>
        <v/>
      </c>
    </row>
    <row r="948">
      <c r="A948" s="45" t="n"/>
      <c r="B948" s="46">
        <f>IF(A948="","",YEAR(A948)&amp;" Q"&amp;ROUNDUP(MONTH(A948)/3,0))</f>
        <v/>
      </c>
      <c r="C948" s="47" t="n"/>
      <c r="D948" s="47" t="n"/>
      <c r="E948" s="47" t="n"/>
      <c r="F948" s="47" t="n"/>
      <c r="G948" s="48" t="n"/>
      <c r="H948" s="49" t="n"/>
      <c r="I948" s="50">
        <f>IF(G948="","",ROUND(G948*H948,2))</f>
        <v/>
      </c>
      <c r="J948" s="50">
        <f>IF(G948="","",G948+N(I948))</f>
        <v/>
      </c>
      <c r="K948" s="45" t="n"/>
      <c r="L948" s="47" t="n"/>
      <c r="M948" s="48" t="n"/>
      <c r="N948" s="49" t="n"/>
      <c r="O948" s="50">
        <f>IF(M948="","",ROUND(M948*N948,2))</f>
        <v/>
      </c>
      <c r="P948" s="50">
        <f>IF(M948="","",M948+N(O948))</f>
        <v/>
      </c>
      <c r="Q948" s="45" t="n"/>
      <c r="R948" s="45" t="n"/>
      <c r="S948" s="51">
        <f>IF(L948="","",IF(COUNTIF(L$6:L948,L948)&gt;1,"",SUMIF(L$6:L$2000,L948,M$6:M$2000)-SUMIF(L$6:L$2000,L948,G$6:G$2000)))</f>
        <v/>
      </c>
      <c r="T948" s="46">
        <f>IF(AND(C948="",G948=""),"",IF(L948="","Nog factureren",IF(AND(G948&lt;&gt;"",OR(K948="",K948&gt;TODAY())),"Nog betalen",IF(OR(R948="",R948&gt;TODAY()),"Wacht op klant","Afgerond"))))</f>
        <v/>
      </c>
    </row>
    <row r="949">
      <c r="A949" s="45" t="n"/>
      <c r="B949" s="46">
        <f>IF(A949="","",YEAR(A949)&amp;" Q"&amp;ROUNDUP(MONTH(A949)/3,0))</f>
        <v/>
      </c>
      <c r="C949" s="47" t="n"/>
      <c r="D949" s="47" t="n"/>
      <c r="E949" s="47" t="n"/>
      <c r="F949" s="47" t="n"/>
      <c r="G949" s="48" t="n"/>
      <c r="H949" s="49" t="n"/>
      <c r="I949" s="50">
        <f>IF(G949="","",ROUND(G949*H949,2))</f>
        <v/>
      </c>
      <c r="J949" s="50">
        <f>IF(G949="","",G949+N(I949))</f>
        <v/>
      </c>
      <c r="K949" s="45" t="n"/>
      <c r="L949" s="47" t="n"/>
      <c r="M949" s="48" t="n"/>
      <c r="N949" s="49" t="n"/>
      <c r="O949" s="50">
        <f>IF(M949="","",ROUND(M949*N949,2))</f>
        <v/>
      </c>
      <c r="P949" s="50">
        <f>IF(M949="","",M949+N(O949))</f>
        <v/>
      </c>
      <c r="Q949" s="45" t="n"/>
      <c r="R949" s="45" t="n"/>
      <c r="S949" s="51">
        <f>IF(L949="","",IF(COUNTIF(L$6:L949,L949)&gt;1,"",SUMIF(L$6:L$2000,L949,M$6:M$2000)-SUMIF(L$6:L$2000,L949,G$6:G$2000)))</f>
        <v/>
      </c>
      <c r="T949" s="46">
        <f>IF(AND(C949="",G949=""),"",IF(L949="","Nog factureren",IF(AND(G949&lt;&gt;"",OR(K949="",K949&gt;TODAY())),"Nog betalen",IF(OR(R949="",R949&gt;TODAY()),"Wacht op klant","Afgerond"))))</f>
        <v/>
      </c>
    </row>
    <row r="950">
      <c r="A950" s="45" t="n"/>
      <c r="B950" s="46">
        <f>IF(A950="","",YEAR(A950)&amp;" Q"&amp;ROUNDUP(MONTH(A950)/3,0))</f>
        <v/>
      </c>
      <c r="C950" s="47" t="n"/>
      <c r="D950" s="47" t="n"/>
      <c r="E950" s="47" t="n"/>
      <c r="F950" s="47" t="n"/>
      <c r="G950" s="48" t="n"/>
      <c r="H950" s="49" t="n"/>
      <c r="I950" s="50">
        <f>IF(G950="","",ROUND(G950*H950,2))</f>
        <v/>
      </c>
      <c r="J950" s="50">
        <f>IF(G950="","",G950+N(I950))</f>
        <v/>
      </c>
      <c r="K950" s="45" t="n"/>
      <c r="L950" s="47" t="n"/>
      <c r="M950" s="48" t="n"/>
      <c r="N950" s="49" t="n"/>
      <c r="O950" s="50">
        <f>IF(M950="","",ROUND(M950*N950,2))</f>
        <v/>
      </c>
      <c r="P950" s="50">
        <f>IF(M950="","",M950+N(O950))</f>
        <v/>
      </c>
      <c r="Q950" s="45" t="n"/>
      <c r="R950" s="45" t="n"/>
      <c r="S950" s="51">
        <f>IF(L950="","",IF(COUNTIF(L$6:L950,L950)&gt;1,"",SUMIF(L$6:L$2000,L950,M$6:M$2000)-SUMIF(L$6:L$2000,L950,G$6:G$2000)))</f>
        <v/>
      </c>
      <c r="T950" s="46">
        <f>IF(AND(C950="",G950=""),"",IF(L950="","Nog factureren",IF(AND(G950&lt;&gt;"",OR(K950="",K950&gt;TODAY())),"Nog betalen",IF(OR(R950="",R950&gt;TODAY()),"Wacht op klant","Afgerond"))))</f>
        <v/>
      </c>
    </row>
    <row r="951">
      <c r="A951" s="45" t="n"/>
      <c r="B951" s="46">
        <f>IF(A951="","",YEAR(A951)&amp;" Q"&amp;ROUNDUP(MONTH(A951)/3,0))</f>
        <v/>
      </c>
      <c r="C951" s="47" t="n"/>
      <c r="D951" s="47" t="n"/>
      <c r="E951" s="47" t="n"/>
      <c r="F951" s="47" t="n"/>
      <c r="G951" s="48" t="n"/>
      <c r="H951" s="49" t="n"/>
      <c r="I951" s="50">
        <f>IF(G951="","",ROUND(G951*H951,2))</f>
        <v/>
      </c>
      <c r="J951" s="50">
        <f>IF(G951="","",G951+N(I951))</f>
        <v/>
      </c>
      <c r="K951" s="45" t="n"/>
      <c r="L951" s="47" t="n"/>
      <c r="M951" s="48" t="n"/>
      <c r="N951" s="49" t="n"/>
      <c r="O951" s="50">
        <f>IF(M951="","",ROUND(M951*N951,2))</f>
        <v/>
      </c>
      <c r="P951" s="50">
        <f>IF(M951="","",M951+N(O951))</f>
        <v/>
      </c>
      <c r="Q951" s="45" t="n"/>
      <c r="R951" s="45" t="n"/>
      <c r="S951" s="51">
        <f>IF(L951="","",IF(COUNTIF(L$6:L951,L951)&gt;1,"",SUMIF(L$6:L$2000,L951,M$6:M$2000)-SUMIF(L$6:L$2000,L951,G$6:G$2000)))</f>
        <v/>
      </c>
      <c r="T951" s="46">
        <f>IF(AND(C951="",G951=""),"",IF(L951="","Nog factureren",IF(AND(G951&lt;&gt;"",OR(K951="",K951&gt;TODAY())),"Nog betalen",IF(OR(R951="",R951&gt;TODAY()),"Wacht op klant","Afgerond"))))</f>
        <v/>
      </c>
    </row>
    <row r="952">
      <c r="A952" s="45" t="n"/>
      <c r="B952" s="46">
        <f>IF(A952="","",YEAR(A952)&amp;" Q"&amp;ROUNDUP(MONTH(A952)/3,0))</f>
        <v/>
      </c>
      <c r="C952" s="47" t="n"/>
      <c r="D952" s="47" t="n"/>
      <c r="E952" s="47" t="n"/>
      <c r="F952" s="47" t="n"/>
      <c r="G952" s="48" t="n"/>
      <c r="H952" s="49" t="n"/>
      <c r="I952" s="50">
        <f>IF(G952="","",ROUND(G952*H952,2))</f>
        <v/>
      </c>
      <c r="J952" s="50">
        <f>IF(G952="","",G952+N(I952))</f>
        <v/>
      </c>
      <c r="K952" s="45" t="n"/>
      <c r="L952" s="47" t="n"/>
      <c r="M952" s="48" t="n"/>
      <c r="N952" s="49" t="n"/>
      <c r="O952" s="50">
        <f>IF(M952="","",ROUND(M952*N952,2))</f>
        <v/>
      </c>
      <c r="P952" s="50">
        <f>IF(M952="","",M952+N(O952))</f>
        <v/>
      </c>
      <c r="Q952" s="45" t="n"/>
      <c r="R952" s="45" t="n"/>
      <c r="S952" s="51">
        <f>IF(L952="","",IF(COUNTIF(L$6:L952,L952)&gt;1,"",SUMIF(L$6:L$2000,L952,M$6:M$2000)-SUMIF(L$6:L$2000,L952,G$6:G$2000)))</f>
        <v/>
      </c>
      <c r="T952" s="46">
        <f>IF(AND(C952="",G952=""),"",IF(L952="","Nog factureren",IF(AND(G952&lt;&gt;"",OR(K952="",K952&gt;TODAY())),"Nog betalen",IF(OR(R952="",R952&gt;TODAY()),"Wacht op klant","Afgerond"))))</f>
        <v/>
      </c>
    </row>
    <row r="953">
      <c r="A953" s="45" t="n"/>
      <c r="B953" s="46">
        <f>IF(A953="","",YEAR(A953)&amp;" Q"&amp;ROUNDUP(MONTH(A953)/3,0))</f>
        <v/>
      </c>
      <c r="C953" s="47" t="n"/>
      <c r="D953" s="47" t="n"/>
      <c r="E953" s="47" t="n"/>
      <c r="F953" s="47" t="n"/>
      <c r="G953" s="48" t="n"/>
      <c r="H953" s="49" t="n"/>
      <c r="I953" s="50">
        <f>IF(G953="","",ROUND(G953*H953,2))</f>
        <v/>
      </c>
      <c r="J953" s="50">
        <f>IF(G953="","",G953+N(I953))</f>
        <v/>
      </c>
      <c r="K953" s="45" t="n"/>
      <c r="L953" s="47" t="n"/>
      <c r="M953" s="48" t="n"/>
      <c r="N953" s="49" t="n"/>
      <c r="O953" s="50">
        <f>IF(M953="","",ROUND(M953*N953,2))</f>
        <v/>
      </c>
      <c r="P953" s="50">
        <f>IF(M953="","",M953+N(O953))</f>
        <v/>
      </c>
      <c r="Q953" s="45" t="n"/>
      <c r="R953" s="45" t="n"/>
      <c r="S953" s="51">
        <f>IF(L953="","",IF(COUNTIF(L$6:L953,L953)&gt;1,"",SUMIF(L$6:L$2000,L953,M$6:M$2000)-SUMIF(L$6:L$2000,L953,G$6:G$2000)))</f>
        <v/>
      </c>
      <c r="T953" s="46">
        <f>IF(AND(C953="",G953=""),"",IF(L953="","Nog factureren",IF(AND(G953&lt;&gt;"",OR(K953="",K953&gt;TODAY())),"Nog betalen",IF(OR(R953="",R953&gt;TODAY()),"Wacht op klant","Afgerond"))))</f>
        <v/>
      </c>
    </row>
    <row r="954">
      <c r="A954" s="45" t="n"/>
      <c r="B954" s="46">
        <f>IF(A954="","",YEAR(A954)&amp;" Q"&amp;ROUNDUP(MONTH(A954)/3,0))</f>
        <v/>
      </c>
      <c r="C954" s="47" t="n"/>
      <c r="D954" s="47" t="n"/>
      <c r="E954" s="47" t="n"/>
      <c r="F954" s="47" t="n"/>
      <c r="G954" s="48" t="n"/>
      <c r="H954" s="49" t="n"/>
      <c r="I954" s="50">
        <f>IF(G954="","",ROUND(G954*H954,2))</f>
        <v/>
      </c>
      <c r="J954" s="50">
        <f>IF(G954="","",G954+N(I954))</f>
        <v/>
      </c>
      <c r="K954" s="45" t="n"/>
      <c r="L954" s="47" t="n"/>
      <c r="M954" s="48" t="n"/>
      <c r="N954" s="49" t="n"/>
      <c r="O954" s="50">
        <f>IF(M954="","",ROUND(M954*N954,2))</f>
        <v/>
      </c>
      <c r="P954" s="50">
        <f>IF(M954="","",M954+N(O954))</f>
        <v/>
      </c>
      <c r="Q954" s="45" t="n"/>
      <c r="R954" s="45" t="n"/>
      <c r="S954" s="51">
        <f>IF(L954="","",IF(COUNTIF(L$6:L954,L954)&gt;1,"",SUMIF(L$6:L$2000,L954,M$6:M$2000)-SUMIF(L$6:L$2000,L954,G$6:G$2000)))</f>
        <v/>
      </c>
      <c r="T954" s="46">
        <f>IF(AND(C954="",G954=""),"",IF(L954="","Nog factureren",IF(AND(G954&lt;&gt;"",OR(K954="",K954&gt;TODAY())),"Nog betalen",IF(OR(R954="",R954&gt;TODAY()),"Wacht op klant","Afgerond"))))</f>
        <v/>
      </c>
    </row>
    <row r="955">
      <c r="A955" s="45" t="n"/>
      <c r="B955" s="46">
        <f>IF(A955="","",YEAR(A955)&amp;" Q"&amp;ROUNDUP(MONTH(A955)/3,0))</f>
        <v/>
      </c>
      <c r="C955" s="47" t="n"/>
      <c r="D955" s="47" t="n"/>
      <c r="E955" s="47" t="n"/>
      <c r="F955" s="47" t="n"/>
      <c r="G955" s="48" t="n"/>
      <c r="H955" s="49" t="n"/>
      <c r="I955" s="50">
        <f>IF(G955="","",ROUND(G955*H955,2))</f>
        <v/>
      </c>
      <c r="J955" s="50">
        <f>IF(G955="","",G955+N(I955))</f>
        <v/>
      </c>
      <c r="K955" s="45" t="n"/>
      <c r="L955" s="47" t="n"/>
      <c r="M955" s="48" t="n"/>
      <c r="N955" s="49" t="n"/>
      <c r="O955" s="50">
        <f>IF(M955="","",ROUND(M955*N955,2))</f>
        <v/>
      </c>
      <c r="P955" s="50">
        <f>IF(M955="","",M955+N(O955))</f>
        <v/>
      </c>
      <c r="Q955" s="45" t="n"/>
      <c r="R955" s="45" t="n"/>
      <c r="S955" s="51">
        <f>IF(L955="","",IF(COUNTIF(L$6:L955,L955)&gt;1,"",SUMIF(L$6:L$2000,L955,M$6:M$2000)-SUMIF(L$6:L$2000,L955,G$6:G$2000)))</f>
        <v/>
      </c>
      <c r="T955" s="46">
        <f>IF(AND(C955="",G955=""),"",IF(L955="","Nog factureren",IF(AND(G955&lt;&gt;"",OR(K955="",K955&gt;TODAY())),"Nog betalen",IF(OR(R955="",R955&gt;TODAY()),"Wacht op klant","Afgerond"))))</f>
        <v/>
      </c>
    </row>
    <row r="956">
      <c r="A956" s="45" t="n"/>
      <c r="B956" s="46">
        <f>IF(A956="","",YEAR(A956)&amp;" Q"&amp;ROUNDUP(MONTH(A956)/3,0))</f>
        <v/>
      </c>
      <c r="C956" s="47" t="n"/>
      <c r="D956" s="47" t="n"/>
      <c r="E956" s="47" t="n"/>
      <c r="F956" s="47" t="n"/>
      <c r="G956" s="48" t="n"/>
      <c r="H956" s="49" t="n"/>
      <c r="I956" s="50">
        <f>IF(G956="","",ROUND(G956*H956,2))</f>
        <v/>
      </c>
      <c r="J956" s="50">
        <f>IF(G956="","",G956+N(I956))</f>
        <v/>
      </c>
      <c r="K956" s="45" t="n"/>
      <c r="L956" s="47" t="n"/>
      <c r="M956" s="48" t="n"/>
      <c r="N956" s="49" t="n"/>
      <c r="O956" s="50">
        <f>IF(M956="","",ROUND(M956*N956,2))</f>
        <v/>
      </c>
      <c r="P956" s="50">
        <f>IF(M956="","",M956+N(O956))</f>
        <v/>
      </c>
      <c r="Q956" s="45" t="n"/>
      <c r="R956" s="45" t="n"/>
      <c r="S956" s="51">
        <f>IF(L956="","",IF(COUNTIF(L$6:L956,L956)&gt;1,"",SUMIF(L$6:L$2000,L956,M$6:M$2000)-SUMIF(L$6:L$2000,L956,G$6:G$2000)))</f>
        <v/>
      </c>
      <c r="T956" s="46">
        <f>IF(AND(C956="",G956=""),"",IF(L956="","Nog factureren",IF(AND(G956&lt;&gt;"",OR(K956="",K956&gt;TODAY())),"Nog betalen",IF(OR(R956="",R956&gt;TODAY()),"Wacht op klant","Afgerond"))))</f>
        <v/>
      </c>
    </row>
    <row r="957">
      <c r="A957" s="45" t="n"/>
      <c r="B957" s="46">
        <f>IF(A957="","",YEAR(A957)&amp;" Q"&amp;ROUNDUP(MONTH(A957)/3,0))</f>
        <v/>
      </c>
      <c r="C957" s="47" t="n"/>
      <c r="D957" s="47" t="n"/>
      <c r="E957" s="47" t="n"/>
      <c r="F957" s="47" t="n"/>
      <c r="G957" s="48" t="n"/>
      <c r="H957" s="49" t="n"/>
      <c r="I957" s="50">
        <f>IF(G957="","",ROUND(G957*H957,2))</f>
        <v/>
      </c>
      <c r="J957" s="50">
        <f>IF(G957="","",G957+N(I957))</f>
        <v/>
      </c>
      <c r="K957" s="45" t="n"/>
      <c r="L957" s="47" t="n"/>
      <c r="M957" s="48" t="n"/>
      <c r="N957" s="49" t="n"/>
      <c r="O957" s="50">
        <f>IF(M957="","",ROUND(M957*N957,2))</f>
        <v/>
      </c>
      <c r="P957" s="50">
        <f>IF(M957="","",M957+N(O957))</f>
        <v/>
      </c>
      <c r="Q957" s="45" t="n"/>
      <c r="R957" s="45" t="n"/>
      <c r="S957" s="51">
        <f>IF(L957="","",IF(COUNTIF(L$6:L957,L957)&gt;1,"",SUMIF(L$6:L$2000,L957,M$6:M$2000)-SUMIF(L$6:L$2000,L957,G$6:G$2000)))</f>
        <v/>
      </c>
      <c r="T957" s="46">
        <f>IF(AND(C957="",G957=""),"",IF(L957="","Nog factureren",IF(AND(G957&lt;&gt;"",OR(K957="",K957&gt;TODAY())),"Nog betalen",IF(OR(R957="",R957&gt;TODAY()),"Wacht op klant","Afgerond"))))</f>
        <v/>
      </c>
    </row>
    <row r="958">
      <c r="A958" s="45" t="n"/>
      <c r="B958" s="46">
        <f>IF(A958="","",YEAR(A958)&amp;" Q"&amp;ROUNDUP(MONTH(A958)/3,0))</f>
        <v/>
      </c>
      <c r="C958" s="47" t="n"/>
      <c r="D958" s="47" t="n"/>
      <c r="E958" s="47" t="n"/>
      <c r="F958" s="47" t="n"/>
      <c r="G958" s="48" t="n"/>
      <c r="H958" s="49" t="n"/>
      <c r="I958" s="50">
        <f>IF(G958="","",ROUND(G958*H958,2))</f>
        <v/>
      </c>
      <c r="J958" s="50">
        <f>IF(G958="","",G958+N(I958))</f>
        <v/>
      </c>
      <c r="K958" s="45" t="n"/>
      <c r="L958" s="47" t="n"/>
      <c r="M958" s="48" t="n"/>
      <c r="N958" s="49" t="n"/>
      <c r="O958" s="50">
        <f>IF(M958="","",ROUND(M958*N958,2))</f>
        <v/>
      </c>
      <c r="P958" s="50">
        <f>IF(M958="","",M958+N(O958))</f>
        <v/>
      </c>
      <c r="Q958" s="45" t="n"/>
      <c r="R958" s="45" t="n"/>
      <c r="S958" s="51">
        <f>IF(L958="","",IF(COUNTIF(L$6:L958,L958)&gt;1,"",SUMIF(L$6:L$2000,L958,M$6:M$2000)-SUMIF(L$6:L$2000,L958,G$6:G$2000)))</f>
        <v/>
      </c>
      <c r="T958" s="46">
        <f>IF(AND(C958="",G958=""),"",IF(L958="","Nog factureren",IF(AND(G958&lt;&gt;"",OR(K958="",K958&gt;TODAY())),"Nog betalen",IF(OR(R958="",R958&gt;TODAY()),"Wacht op klant","Afgerond"))))</f>
        <v/>
      </c>
    </row>
    <row r="959">
      <c r="A959" s="45" t="n"/>
      <c r="B959" s="46">
        <f>IF(A959="","",YEAR(A959)&amp;" Q"&amp;ROUNDUP(MONTH(A959)/3,0))</f>
        <v/>
      </c>
      <c r="C959" s="47" t="n"/>
      <c r="D959" s="47" t="n"/>
      <c r="E959" s="47" t="n"/>
      <c r="F959" s="47" t="n"/>
      <c r="G959" s="48" t="n"/>
      <c r="H959" s="49" t="n"/>
      <c r="I959" s="50">
        <f>IF(G959="","",ROUND(G959*H959,2))</f>
        <v/>
      </c>
      <c r="J959" s="50">
        <f>IF(G959="","",G959+N(I959))</f>
        <v/>
      </c>
      <c r="K959" s="45" t="n"/>
      <c r="L959" s="47" t="n"/>
      <c r="M959" s="48" t="n"/>
      <c r="N959" s="49" t="n"/>
      <c r="O959" s="50">
        <f>IF(M959="","",ROUND(M959*N959,2))</f>
        <v/>
      </c>
      <c r="P959" s="50">
        <f>IF(M959="","",M959+N(O959))</f>
        <v/>
      </c>
      <c r="Q959" s="45" t="n"/>
      <c r="R959" s="45" t="n"/>
      <c r="S959" s="51">
        <f>IF(L959="","",IF(COUNTIF(L$6:L959,L959)&gt;1,"",SUMIF(L$6:L$2000,L959,M$6:M$2000)-SUMIF(L$6:L$2000,L959,G$6:G$2000)))</f>
        <v/>
      </c>
      <c r="T959" s="46">
        <f>IF(AND(C959="",G959=""),"",IF(L959="","Nog factureren",IF(AND(G959&lt;&gt;"",OR(K959="",K959&gt;TODAY())),"Nog betalen",IF(OR(R959="",R959&gt;TODAY()),"Wacht op klant","Afgerond"))))</f>
        <v/>
      </c>
    </row>
    <row r="960">
      <c r="A960" s="45" t="n"/>
      <c r="B960" s="46">
        <f>IF(A960="","",YEAR(A960)&amp;" Q"&amp;ROUNDUP(MONTH(A960)/3,0))</f>
        <v/>
      </c>
      <c r="C960" s="47" t="n"/>
      <c r="D960" s="47" t="n"/>
      <c r="E960" s="47" t="n"/>
      <c r="F960" s="47" t="n"/>
      <c r="G960" s="48" t="n"/>
      <c r="H960" s="49" t="n"/>
      <c r="I960" s="50">
        <f>IF(G960="","",ROUND(G960*H960,2))</f>
        <v/>
      </c>
      <c r="J960" s="50">
        <f>IF(G960="","",G960+N(I960))</f>
        <v/>
      </c>
      <c r="K960" s="45" t="n"/>
      <c r="L960" s="47" t="n"/>
      <c r="M960" s="48" t="n"/>
      <c r="N960" s="49" t="n"/>
      <c r="O960" s="50">
        <f>IF(M960="","",ROUND(M960*N960,2))</f>
        <v/>
      </c>
      <c r="P960" s="50">
        <f>IF(M960="","",M960+N(O960))</f>
        <v/>
      </c>
      <c r="Q960" s="45" t="n"/>
      <c r="R960" s="45" t="n"/>
      <c r="S960" s="51">
        <f>IF(L960="","",IF(COUNTIF(L$6:L960,L960)&gt;1,"",SUMIF(L$6:L$2000,L960,M$6:M$2000)-SUMIF(L$6:L$2000,L960,G$6:G$2000)))</f>
        <v/>
      </c>
      <c r="T960" s="46">
        <f>IF(AND(C960="",G960=""),"",IF(L960="","Nog factureren",IF(AND(G960&lt;&gt;"",OR(K960="",K960&gt;TODAY())),"Nog betalen",IF(OR(R960="",R960&gt;TODAY()),"Wacht op klant","Afgerond"))))</f>
        <v/>
      </c>
    </row>
    <row r="961">
      <c r="A961" s="45" t="n"/>
      <c r="B961" s="46">
        <f>IF(A961="","",YEAR(A961)&amp;" Q"&amp;ROUNDUP(MONTH(A961)/3,0))</f>
        <v/>
      </c>
      <c r="C961" s="47" t="n"/>
      <c r="D961" s="47" t="n"/>
      <c r="E961" s="47" t="n"/>
      <c r="F961" s="47" t="n"/>
      <c r="G961" s="48" t="n"/>
      <c r="H961" s="49" t="n"/>
      <c r="I961" s="50">
        <f>IF(G961="","",ROUND(G961*H961,2))</f>
        <v/>
      </c>
      <c r="J961" s="50">
        <f>IF(G961="","",G961+N(I961))</f>
        <v/>
      </c>
      <c r="K961" s="45" t="n"/>
      <c r="L961" s="47" t="n"/>
      <c r="M961" s="48" t="n"/>
      <c r="N961" s="49" t="n"/>
      <c r="O961" s="50">
        <f>IF(M961="","",ROUND(M961*N961,2))</f>
        <v/>
      </c>
      <c r="P961" s="50">
        <f>IF(M961="","",M961+N(O961))</f>
        <v/>
      </c>
      <c r="Q961" s="45" t="n"/>
      <c r="R961" s="45" t="n"/>
      <c r="S961" s="51">
        <f>IF(L961="","",IF(COUNTIF(L$6:L961,L961)&gt;1,"",SUMIF(L$6:L$2000,L961,M$6:M$2000)-SUMIF(L$6:L$2000,L961,G$6:G$2000)))</f>
        <v/>
      </c>
      <c r="T961" s="46">
        <f>IF(AND(C961="",G961=""),"",IF(L961="","Nog factureren",IF(AND(G961&lt;&gt;"",OR(K961="",K961&gt;TODAY())),"Nog betalen",IF(OR(R961="",R961&gt;TODAY()),"Wacht op klant","Afgerond"))))</f>
        <v/>
      </c>
    </row>
    <row r="962">
      <c r="A962" s="45" t="n"/>
      <c r="B962" s="46">
        <f>IF(A962="","",YEAR(A962)&amp;" Q"&amp;ROUNDUP(MONTH(A962)/3,0))</f>
        <v/>
      </c>
      <c r="C962" s="47" t="n"/>
      <c r="D962" s="47" t="n"/>
      <c r="E962" s="47" t="n"/>
      <c r="F962" s="47" t="n"/>
      <c r="G962" s="48" t="n"/>
      <c r="H962" s="49" t="n"/>
      <c r="I962" s="50">
        <f>IF(G962="","",ROUND(G962*H962,2))</f>
        <v/>
      </c>
      <c r="J962" s="50">
        <f>IF(G962="","",G962+N(I962))</f>
        <v/>
      </c>
      <c r="K962" s="45" t="n"/>
      <c r="L962" s="47" t="n"/>
      <c r="M962" s="48" t="n"/>
      <c r="N962" s="49" t="n"/>
      <c r="O962" s="50">
        <f>IF(M962="","",ROUND(M962*N962,2))</f>
        <v/>
      </c>
      <c r="P962" s="50">
        <f>IF(M962="","",M962+N(O962))</f>
        <v/>
      </c>
      <c r="Q962" s="45" t="n"/>
      <c r="R962" s="45" t="n"/>
      <c r="S962" s="51">
        <f>IF(L962="","",IF(COUNTIF(L$6:L962,L962)&gt;1,"",SUMIF(L$6:L$2000,L962,M$6:M$2000)-SUMIF(L$6:L$2000,L962,G$6:G$2000)))</f>
        <v/>
      </c>
      <c r="T962" s="46">
        <f>IF(AND(C962="",G962=""),"",IF(L962="","Nog factureren",IF(AND(G962&lt;&gt;"",OR(K962="",K962&gt;TODAY())),"Nog betalen",IF(OR(R962="",R962&gt;TODAY()),"Wacht op klant","Afgerond"))))</f>
        <v/>
      </c>
    </row>
    <row r="963">
      <c r="A963" s="45" t="n"/>
      <c r="B963" s="46">
        <f>IF(A963="","",YEAR(A963)&amp;" Q"&amp;ROUNDUP(MONTH(A963)/3,0))</f>
        <v/>
      </c>
      <c r="C963" s="47" t="n"/>
      <c r="D963" s="47" t="n"/>
      <c r="E963" s="47" t="n"/>
      <c r="F963" s="47" t="n"/>
      <c r="G963" s="48" t="n"/>
      <c r="H963" s="49" t="n"/>
      <c r="I963" s="50">
        <f>IF(G963="","",ROUND(G963*H963,2))</f>
        <v/>
      </c>
      <c r="J963" s="50">
        <f>IF(G963="","",G963+N(I963))</f>
        <v/>
      </c>
      <c r="K963" s="45" t="n"/>
      <c r="L963" s="47" t="n"/>
      <c r="M963" s="48" t="n"/>
      <c r="N963" s="49" t="n"/>
      <c r="O963" s="50">
        <f>IF(M963="","",ROUND(M963*N963,2))</f>
        <v/>
      </c>
      <c r="P963" s="50">
        <f>IF(M963="","",M963+N(O963))</f>
        <v/>
      </c>
      <c r="Q963" s="45" t="n"/>
      <c r="R963" s="45" t="n"/>
      <c r="S963" s="51">
        <f>IF(L963="","",IF(COUNTIF(L$6:L963,L963)&gt;1,"",SUMIF(L$6:L$2000,L963,M$6:M$2000)-SUMIF(L$6:L$2000,L963,G$6:G$2000)))</f>
        <v/>
      </c>
      <c r="T963" s="46">
        <f>IF(AND(C963="",G963=""),"",IF(L963="","Nog factureren",IF(AND(G963&lt;&gt;"",OR(K963="",K963&gt;TODAY())),"Nog betalen",IF(OR(R963="",R963&gt;TODAY()),"Wacht op klant","Afgerond"))))</f>
        <v/>
      </c>
    </row>
    <row r="964">
      <c r="A964" s="45" t="n"/>
      <c r="B964" s="46">
        <f>IF(A964="","",YEAR(A964)&amp;" Q"&amp;ROUNDUP(MONTH(A964)/3,0))</f>
        <v/>
      </c>
      <c r="C964" s="47" t="n"/>
      <c r="D964" s="47" t="n"/>
      <c r="E964" s="47" t="n"/>
      <c r="F964" s="47" t="n"/>
      <c r="G964" s="48" t="n"/>
      <c r="H964" s="49" t="n"/>
      <c r="I964" s="50">
        <f>IF(G964="","",ROUND(G964*H964,2))</f>
        <v/>
      </c>
      <c r="J964" s="50">
        <f>IF(G964="","",G964+N(I964))</f>
        <v/>
      </c>
      <c r="K964" s="45" t="n"/>
      <c r="L964" s="47" t="n"/>
      <c r="M964" s="48" t="n"/>
      <c r="N964" s="49" t="n"/>
      <c r="O964" s="50">
        <f>IF(M964="","",ROUND(M964*N964,2))</f>
        <v/>
      </c>
      <c r="P964" s="50">
        <f>IF(M964="","",M964+N(O964))</f>
        <v/>
      </c>
      <c r="Q964" s="45" t="n"/>
      <c r="R964" s="45" t="n"/>
      <c r="S964" s="51">
        <f>IF(L964="","",IF(COUNTIF(L$6:L964,L964)&gt;1,"",SUMIF(L$6:L$2000,L964,M$6:M$2000)-SUMIF(L$6:L$2000,L964,G$6:G$2000)))</f>
        <v/>
      </c>
      <c r="T964" s="46">
        <f>IF(AND(C964="",G964=""),"",IF(L964="","Nog factureren",IF(AND(G964&lt;&gt;"",OR(K964="",K964&gt;TODAY())),"Nog betalen",IF(OR(R964="",R964&gt;TODAY()),"Wacht op klant","Afgerond"))))</f>
        <v/>
      </c>
    </row>
    <row r="965">
      <c r="A965" s="45" t="n"/>
      <c r="B965" s="46">
        <f>IF(A965="","",YEAR(A965)&amp;" Q"&amp;ROUNDUP(MONTH(A965)/3,0))</f>
        <v/>
      </c>
      <c r="C965" s="47" t="n"/>
      <c r="D965" s="47" t="n"/>
      <c r="E965" s="47" t="n"/>
      <c r="F965" s="47" t="n"/>
      <c r="G965" s="48" t="n"/>
      <c r="H965" s="49" t="n"/>
      <c r="I965" s="50">
        <f>IF(G965="","",ROUND(G965*H965,2))</f>
        <v/>
      </c>
      <c r="J965" s="50">
        <f>IF(G965="","",G965+N(I965))</f>
        <v/>
      </c>
      <c r="K965" s="45" t="n"/>
      <c r="L965" s="47" t="n"/>
      <c r="M965" s="48" t="n"/>
      <c r="N965" s="49" t="n"/>
      <c r="O965" s="50">
        <f>IF(M965="","",ROUND(M965*N965,2))</f>
        <v/>
      </c>
      <c r="P965" s="50">
        <f>IF(M965="","",M965+N(O965))</f>
        <v/>
      </c>
      <c r="Q965" s="45" t="n"/>
      <c r="R965" s="45" t="n"/>
      <c r="S965" s="51">
        <f>IF(L965="","",IF(COUNTIF(L$6:L965,L965)&gt;1,"",SUMIF(L$6:L$2000,L965,M$6:M$2000)-SUMIF(L$6:L$2000,L965,G$6:G$2000)))</f>
        <v/>
      </c>
      <c r="T965" s="46">
        <f>IF(AND(C965="",G965=""),"",IF(L965="","Nog factureren",IF(AND(G965&lt;&gt;"",OR(K965="",K965&gt;TODAY())),"Nog betalen",IF(OR(R965="",R965&gt;TODAY()),"Wacht op klant","Afgerond"))))</f>
        <v/>
      </c>
    </row>
    <row r="966">
      <c r="A966" s="45" t="n"/>
      <c r="B966" s="46">
        <f>IF(A966="","",YEAR(A966)&amp;" Q"&amp;ROUNDUP(MONTH(A966)/3,0))</f>
        <v/>
      </c>
      <c r="C966" s="47" t="n"/>
      <c r="D966" s="47" t="n"/>
      <c r="E966" s="47" t="n"/>
      <c r="F966" s="47" t="n"/>
      <c r="G966" s="48" t="n"/>
      <c r="H966" s="49" t="n"/>
      <c r="I966" s="50">
        <f>IF(G966="","",ROUND(G966*H966,2))</f>
        <v/>
      </c>
      <c r="J966" s="50">
        <f>IF(G966="","",G966+N(I966))</f>
        <v/>
      </c>
      <c r="K966" s="45" t="n"/>
      <c r="L966" s="47" t="n"/>
      <c r="M966" s="48" t="n"/>
      <c r="N966" s="49" t="n"/>
      <c r="O966" s="50">
        <f>IF(M966="","",ROUND(M966*N966,2))</f>
        <v/>
      </c>
      <c r="P966" s="50">
        <f>IF(M966="","",M966+N(O966))</f>
        <v/>
      </c>
      <c r="Q966" s="45" t="n"/>
      <c r="R966" s="45" t="n"/>
      <c r="S966" s="51">
        <f>IF(L966="","",IF(COUNTIF(L$6:L966,L966)&gt;1,"",SUMIF(L$6:L$2000,L966,M$6:M$2000)-SUMIF(L$6:L$2000,L966,G$6:G$2000)))</f>
        <v/>
      </c>
      <c r="T966" s="46">
        <f>IF(AND(C966="",G966=""),"",IF(L966="","Nog factureren",IF(AND(G966&lt;&gt;"",OR(K966="",K966&gt;TODAY())),"Nog betalen",IF(OR(R966="",R966&gt;TODAY()),"Wacht op klant","Afgerond"))))</f>
        <v/>
      </c>
    </row>
    <row r="967">
      <c r="A967" s="45" t="n"/>
      <c r="B967" s="46">
        <f>IF(A967="","",YEAR(A967)&amp;" Q"&amp;ROUNDUP(MONTH(A967)/3,0))</f>
        <v/>
      </c>
      <c r="C967" s="47" t="n"/>
      <c r="D967" s="47" t="n"/>
      <c r="E967" s="47" t="n"/>
      <c r="F967" s="47" t="n"/>
      <c r="G967" s="48" t="n"/>
      <c r="H967" s="49" t="n"/>
      <c r="I967" s="50">
        <f>IF(G967="","",ROUND(G967*H967,2))</f>
        <v/>
      </c>
      <c r="J967" s="50">
        <f>IF(G967="","",G967+N(I967))</f>
        <v/>
      </c>
      <c r="K967" s="45" t="n"/>
      <c r="L967" s="47" t="n"/>
      <c r="M967" s="48" t="n"/>
      <c r="N967" s="49" t="n"/>
      <c r="O967" s="50">
        <f>IF(M967="","",ROUND(M967*N967,2))</f>
        <v/>
      </c>
      <c r="P967" s="50">
        <f>IF(M967="","",M967+N(O967))</f>
        <v/>
      </c>
      <c r="Q967" s="45" t="n"/>
      <c r="R967" s="45" t="n"/>
      <c r="S967" s="51">
        <f>IF(L967="","",IF(COUNTIF(L$6:L967,L967)&gt;1,"",SUMIF(L$6:L$2000,L967,M$6:M$2000)-SUMIF(L$6:L$2000,L967,G$6:G$2000)))</f>
        <v/>
      </c>
      <c r="T967" s="46">
        <f>IF(AND(C967="",G967=""),"",IF(L967="","Nog factureren",IF(AND(G967&lt;&gt;"",OR(K967="",K967&gt;TODAY())),"Nog betalen",IF(OR(R967="",R967&gt;TODAY()),"Wacht op klant","Afgerond"))))</f>
        <v/>
      </c>
    </row>
    <row r="968">
      <c r="A968" s="45" t="n"/>
      <c r="B968" s="46">
        <f>IF(A968="","",YEAR(A968)&amp;" Q"&amp;ROUNDUP(MONTH(A968)/3,0))</f>
        <v/>
      </c>
      <c r="C968" s="47" t="n"/>
      <c r="D968" s="47" t="n"/>
      <c r="E968" s="47" t="n"/>
      <c r="F968" s="47" t="n"/>
      <c r="G968" s="48" t="n"/>
      <c r="H968" s="49" t="n"/>
      <c r="I968" s="50">
        <f>IF(G968="","",ROUND(G968*H968,2))</f>
        <v/>
      </c>
      <c r="J968" s="50">
        <f>IF(G968="","",G968+N(I968))</f>
        <v/>
      </c>
      <c r="K968" s="45" t="n"/>
      <c r="L968" s="47" t="n"/>
      <c r="M968" s="48" t="n"/>
      <c r="N968" s="49" t="n"/>
      <c r="O968" s="50">
        <f>IF(M968="","",ROUND(M968*N968,2))</f>
        <v/>
      </c>
      <c r="P968" s="50">
        <f>IF(M968="","",M968+N(O968))</f>
        <v/>
      </c>
      <c r="Q968" s="45" t="n"/>
      <c r="R968" s="45" t="n"/>
      <c r="S968" s="51">
        <f>IF(L968="","",IF(COUNTIF(L$6:L968,L968)&gt;1,"",SUMIF(L$6:L$2000,L968,M$6:M$2000)-SUMIF(L$6:L$2000,L968,G$6:G$2000)))</f>
        <v/>
      </c>
      <c r="T968" s="46">
        <f>IF(AND(C968="",G968=""),"",IF(L968="","Nog factureren",IF(AND(G968&lt;&gt;"",OR(K968="",K968&gt;TODAY())),"Nog betalen",IF(OR(R968="",R968&gt;TODAY()),"Wacht op klant","Afgerond"))))</f>
        <v/>
      </c>
    </row>
    <row r="969">
      <c r="A969" s="45" t="n"/>
      <c r="B969" s="46">
        <f>IF(A969="","",YEAR(A969)&amp;" Q"&amp;ROUNDUP(MONTH(A969)/3,0))</f>
        <v/>
      </c>
      <c r="C969" s="47" t="n"/>
      <c r="D969" s="47" t="n"/>
      <c r="E969" s="47" t="n"/>
      <c r="F969" s="47" t="n"/>
      <c r="G969" s="48" t="n"/>
      <c r="H969" s="49" t="n"/>
      <c r="I969" s="50">
        <f>IF(G969="","",ROUND(G969*H969,2))</f>
        <v/>
      </c>
      <c r="J969" s="50">
        <f>IF(G969="","",G969+N(I969))</f>
        <v/>
      </c>
      <c r="K969" s="45" t="n"/>
      <c r="L969" s="47" t="n"/>
      <c r="M969" s="48" t="n"/>
      <c r="N969" s="49" t="n"/>
      <c r="O969" s="50">
        <f>IF(M969="","",ROUND(M969*N969,2))</f>
        <v/>
      </c>
      <c r="P969" s="50">
        <f>IF(M969="","",M969+N(O969))</f>
        <v/>
      </c>
      <c r="Q969" s="45" t="n"/>
      <c r="R969" s="45" t="n"/>
      <c r="S969" s="51">
        <f>IF(L969="","",IF(COUNTIF(L$6:L969,L969)&gt;1,"",SUMIF(L$6:L$2000,L969,M$6:M$2000)-SUMIF(L$6:L$2000,L969,G$6:G$2000)))</f>
        <v/>
      </c>
      <c r="T969" s="46">
        <f>IF(AND(C969="",G969=""),"",IF(L969="","Nog factureren",IF(AND(G969&lt;&gt;"",OR(K969="",K969&gt;TODAY())),"Nog betalen",IF(OR(R969="",R969&gt;TODAY()),"Wacht op klant","Afgerond"))))</f>
        <v/>
      </c>
    </row>
    <row r="970">
      <c r="A970" s="45" t="n"/>
      <c r="B970" s="46">
        <f>IF(A970="","",YEAR(A970)&amp;" Q"&amp;ROUNDUP(MONTH(A970)/3,0))</f>
        <v/>
      </c>
      <c r="C970" s="47" t="n"/>
      <c r="D970" s="47" t="n"/>
      <c r="E970" s="47" t="n"/>
      <c r="F970" s="47" t="n"/>
      <c r="G970" s="48" t="n"/>
      <c r="H970" s="49" t="n"/>
      <c r="I970" s="50">
        <f>IF(G970="","",ROUND(G970*H970,2))</f>
        <v/>
      </c>
      <c r="J970" s="50">
        <f>IF(G970="","",G970+N(I970))</f>
        <v/>
      </c>
      <c r="K970" s="45" t="n"/>
      <c r="L970" s="47" t="n"/>
      <c r="M970" s="48" t="n"/>
      <c r="N970" s="49" t="n"/>
      <c r="O970" s="50">
        <f>IF(M970="","",ROUND(M970*N970,2))</f>
        <v/>
      </c>
      <c r="P970" s="50">
        <f>IF(M970="","",M970+N(O970))</f>
        <v/>
      </c>
      <c r="Q970" s="45" t="n"/>
      <c r="R970" s="45" t="n"/>
      <c r="S970" s="51">
        <f>IF(L970="","",IF(COUNTIF(L$6:L970,L970)&gt;1,"",SUMIF(L$6:L$2000,L970,M$6:M$2000)-SUMIF(L$6:L$2000,L970,G$6:G$2000)))</f>
        <v/>
      </c>
      <c r="T970" s="46">
        <f>IF(AND(C970="",G970=""),"",IF(L970="","Nog factureren",IF(AND(G970&lt;&gt;"",OR(K970="",K970&gt;TODAY())),"Nog betalen",IF(OR(R970="",R970&gt;TODAY()),"Wacht op klant","Afgerond"))))</f>
        <v/>
      </c>
    </row>
    <row r="971">
      <c r="A971" s="45" t="n"/>
      <c r="B971" s="46">
        <f>IF(A971="","",YEAR(A971)&amp;" Q"&amp;ROUNDUP(MONTH(A971)/3,0))</f>
        <v/>
      </c>
      <c r="C971" s="47" t="n"/>
      <c r="D971" s="47" t="n"/>
      <c r="E971" s="47" t="n"/>
      <c r="F971" s="47" t="n"/>
      <c r="G971" s="48" t="n"/>
      <c r="H971" s="49" t="n"/>
      <c r="I971" s="50">
        <f>IF(G971="","",ROUND(G971*H971,2))</f>
        <v/>
      </c>
      <c r="J971" s="50">
        <f>IF(G971="","",G971+N(I971))</f>
        <v/>
      </c>
      <c r="K971" s="45" t="n"/>
      <c r="L971" s="47" t="n"/>
      <c r="M971" s="48" t="n"/>
      <c r="N971" s="49" t="n"/>
      <c r="O971" s="50">
        <f>IF(M971="","",ROUND(M971*N971,2))</f>
        <v/>
      </c>
      <c r="P971" s="50">
        <f>IF(M971="","",M971+N(O971))</f>
        <v/>
      </c>
      <c r="Q971" s="45" t="n"/>
      <c r="R971" s="45" t="n"/>
      <c r="S971" s="51">
        <f>IF(L971="","",IF(COUNTIF(L$6:L971,L971)&gt;1,"",SUMIF(L$6:L$2000,L971,M$6:M$2000)-SUMIF(L$6:L$2000,L971,G$6:G$2000)))</f>
        <v/>
      </c>
      <c r="T971" s="46">
        <f>IF(AND(C971="",G971=""),"",IF(L971="","Nog factureren",IF(AND(G971&lt;&gt;"",OR(K971="",K971&gt;TODAY())),"Nog betalen",IF(OR(R971="",R971&gt;TODAY()),"Wacht op klant","Afgerond"))))</f>
        <v/>
      </c>
    </row>
    <row r="972">
      <c r="A972" s="45" t="n"/>
      <c r="B972" s="46">
        <f>IF(A972="","",YEAR(A972)&amp;" Q"&amp;ROUNDUP(MONTH(A972)/3,0))</f>
        <v/>
      </c>
      <c r="C972" s="47" t="n"/>
      <c r="D972" s="47" t="n"/>
      <c r="E972" s="47" t="n"/>
      <c r="F972" s="47" t="n"/>
      <c r="G972" s="48" t="n"/>
      <c r="H972" s="49" t="n"/>
      <c r="I972" s="50">
        <f>IF(G972="","",ROUND(G972*H972,2))</f>
        <v/>
      </c>
      <c r="J972" s="50">
        <f>IF(G972="","",G972+N(I972))</f>
        <v/>
      </c>
      <c r="K972" s="45" t="n"/>
      <c r="L972" s="47" t="n"/>
      <c r="M972" s="48" t="n"/>
      <c r="N972" s="49" t="n"/>
      <c r="O972" s="50">
        <f>IF(M972="","",ROUND(M972*N972,2))</f>
        <v/>
      </c>
      <c r="P972" s="50">
        <f>IF(M972="","",M972+N(O972))</f>
        <v/>
      </c>
      <c r="Q972" s="45" t="n"/>
      <c r="R972" s="45" t="n"/>
      <c r="S972" s="51">
        <f>IF(L972="","",IF(COUNTIF(L$6:L972,L972)&gt;1,"",SUMIF(L$6:L$2000,L972,M$6:M$2000)-SUMIF(L$6:L$2000,L972,G$6:G$2000)))</f>
        <v/>
      </c>
      <c r="T972" s="46">
        <f>IF(AND(C972="",G972=""),"",IF(L972="","Nog factureren",IF(AND(G972&lt;&gt;"",OR(K972="",K972&gt;TODAY())),"Nog betalen",IF(OR(R972="",R972&gt;TODAY()),"Wacht op klant","Afgerond"))))</f>
        <v/>
      </c>
    </row>
    <row r="973">
      <c r="A973" s="45" t="n"/>
      <c r="B973" s="46">
        <f>IF(A973="","",YEAR(A973)&amp;" Q"&amp;ROUNDUP(MONTH(A973)/3,0))</f>
        <v/>
      </c>
      <c r="C973" s="47" t="n"/>
      <c r="D973" s="47" t="n"/>
      <c r="E973" s="47" t="n"/>
      <c r="F973" s="47" t="n"/>
      <c r="G973" s="48" t="n"/>
      <c r="H973" s="49" t="n"/>
      <c r="I973" s="50">
        <f>IF(G973="","",ROUND(G973*H973,2))</f>
        <v/>
      </c>
      <c r="J973" s="50">
        <f>IF(G973="","",G973+N(I973))</f>
        <v/>
      </c>
      <c r="K973" s="45" t="n"/>
      <c r="L973" s="47" t="n"/>
      <c r="M973" s="48" t="n"/>
      <c r="N973" s="49" t="n"/>
      <c r="O973" s="50">
        <f>IF(M973="","",ROUND(M973*N973,2))</f>
        <v/>
      </c>
      <c r="P973" s="50">
        <f>IF(M973="","",M973+N(O973))</f>
        <v/>
      </c>
      <c r="Q973" s="45" t="n"/>
      <c r="R973" s="45" t="n"/>
      <c r="S973" s="51">
        <f>IF(L973="","",IF(COUNTIF(L$6:L973,L973)&gt;1,"",SUMIF(L$6:L$2000,L973,M$6:M$2000)-SUMIF(L$6:L$2000,L973,G$6:G$2000)))</f>
        <v/>
      </c>
      <c r="T973" s="46">
        <f>IF(AND(C973="",G973=""),"",IF(L973="","Nog factureren",IF(AND(G973&lt;&gt;"",OR(K973="",K973&gt;TODAY())),"Nog betalen",IF(OR(R973="",R973&gt;TODAY()),"Wacht op klant","Afgerond"))))</f>
        <v/>
      </c>
    </row>
    <row r="974">
      <c r="A974" s="45" t="n"/>
      <c r="B974" s="46">
        <f>IF(A974="","",YEAR(A974)&amp;" Q"&amp;ROUNDUP(MONTH(A974)/3,0))</f>
        <v/>
      </c>
      <c r="C974" s="47" t="n"/>
      <c r="D974" s="47" t="n"/>
      <c r="E974" s="47" t="n"/>
      <c r="F974" s="47" t="n"/>
      <c r="G974" s="48" t="n"/>
      <c r="H974" s="49" t="n"/>
      <c r="I974" s="50">
        <f>IF(G974="","",ROUND(G974*H974,2))</f>
        <v/>
      </c>
      <c r="J974" s="50">
        <f>IF(G974="","",G974+N(I974))</f>
        <v/>
      </c>
      <c r="K974" s="45" t="n"/>
      <c r="L974" s="47" t="n"/>
      <c r="M974" s="48" t="n"/>
      <c r="N974" s="49" t="n"/>
      <c r="O974" s="50">
        <f>IF(M974="","",ROUND(M974*N974,2))</f>
        <v/>
      </c>
      <c r="P974" s="50">
        <f>IF(M974="","",M974+N(O974))</f>
        <v/>
      </c>
      <c r="Q974" s="45" t="n"/>
      <c r="R974" s="45" t="n"/>
      <c r="S974" s="51">
        <f>IF(L974="","",IF(COUNTIF(L$6:L974,L974)&gt;1,"",SUMIF(L$6:L$2000,L974,M$6:M$2000)-SUMIF(L$6:L$2000,L974,G$6:G$2000)))</f>
        <v/>
      </c>
      <c r="T974" s="46">
        <f>IF(AND(C974="",G974=""),"",IF(L974="","Nog factureren",IF(AND(G974&lt;&gt;"",OR(K974="",K974&gt;TODAY())),"Nog betalen",IF(OR(R974="",R974&gt;TODAY()),"Wacht op klant","Afgerond"))))</f>
        <v/>
      </c>
    </row>
    <row r="975">
      <c r="A975" s="45" t="n"/>
      <c r="B975" s="46">
        <f>IF(A975="","",YEAR(A975)&amp;" Q"&amp;ROUNDUP(MONTH(A975)/3,0))</f>
        <v/>
      </c>
      <c r="C975" s="47" t="n"/>
      <c r="D975" s="47" t="n"/>
      <c r="E975" s="47" t="n"/>
      <c r="F975" s="47" t="n"/>
      <c r="G975" s="48" t="n"/>
      <c r="H975" s="49" t="n"/>
      <c r="I975" s="50">
        <f>IF(G975="","",ROUND(G975*H975,2))</f>
        <v/>
      </c>
      <c r="J975" s="50">
        <f>IF(G975="","",G975+N(I975))</f>
        <v/>
      </c>
      <c r="K975" s="45" t="n"/>
      <c r="L975" s="47" t="n"/>
      <c r="M975" s="48" t="n"/>
      <c r="N975" s="49" t="n"/>
      <c r="O975" s="50">
        <f>IF(M975="","",ROUND(M975*N975,2))</f>
        <v/>
      </c>
      <c r="P975" s="50">
        <f>IF(M975="","",M975+N(O975))</f>
        <v/>
      </c>
      <c r="Q975" s="45" t="n"/>
      <c r="R975" s="45" t="n"/>
      <c r="S975" s="51">
        <f>IF(L975="","",IF(COUNTIF(L$6:L975,L975)&gt;1,"",SUMIF(L$6:L$2000,L975,M$6:M$2000)-SUMIF(L$6:L$2000,L975,G$6:G$2000)))</f>
        <v/>
      </c>
      <c r="T975" s="46">
        <f>IF(AND(C975="",G975=""),"",IF(L975="","Nog factureren",IF(AND(G975&lt;&gt;"",OR(K975="",K975&gt;TODAY())),"Nog betalen",IF(OR(R975="",R975&gt;TODAY()),"Wacht op klant","Afgerond"))))</f>
        <v/>
      </c>
    </row>
    <row r="976">
      <c r="A976" s="45" t="n"/>
      <c r="B976" s="46">
        <f>IF(A976="","",YEAR(A976)&amp;" Q"&amp;ROUNDUP(MONTH(A976)/3,0))</f>
        <v/>
      </c>
      <c r="C976" s="47" t="n"/>
      <c r="D976" s="47" t="n"/>
      <c r="E976" s="47" t="n"/>
      <c r="F976" s="47" t="n"/>
      <c r="G976" s="48" t="n"/>
      <c r="H976" s="49" t="n"/>
      <c r="I976" s="50">
        <f>IF(G976="","",ROUND(G976*H976,2))</f>
        <v/>
      </c>
      <c r="J976" s="50">
        <f>IF(G976="","",G976+N(I976))</f>
        <v/>
      </c>
      <c r="K976" s="45" t="n"/>
      <c r="L976" s="47" t="n"/>
      <c r="M976" s="48" t="n"/>
      <c r="N976" s="49" t="n"/>
      <c r="O976" s="50">
        <f>IF(M976="","",ROUND(M976*N976,2))</f>
        <v/>
      </c>
      <c r="P976" s="50">
        <f>IF(M976="","",M976+N(O976))</f>
        <v/>
      </c>
      <c r="Q976" s="45" t="n"/>
      <c r="R976" s="45" t="n"/>
      <c r="S976" s="51">
        <f>IF(L976="","",IF(COUNTIF(L$6:L976,L976)&gt;1,"",SUMIF(L$6:L$2000,L976,M$6:M$2000)-SUMIF(L$6:L$2000,L976,G$6:G$2000)))</f>
        <v/>
      </c>
      <c r="T976" s="46">
        <f>IF(AND(C976="",G976=""),"",IF(L976="","Nog factureren",IF(AND(G976&lt;&gt;"",OR(K976="",K976&gt;TODAY())),"Nog betalen",IF(OR(R976="",R976&gt;TODAY()),"Wacht op klant","Afgerond"))))</f>
        <v/>
      </c>
    </row>
    <row r="977">
      <c r="A977" s="45" t="n"/>
      <c r="B977" s="46">
        <f>IF(A977="","",YEAR(A977)&amp;" Q"&amp;ROUNDUP(MONTH(A977)/3,0))</f>
        <v/>
      </c>
      <c r="C977" s="47" t="n"/>
      <c r="D977" s="47" t="n"/>
      <c r="E977" s="47" t="n"/>
      <c r="F977" s="47" t="n"/>
      <c r="G977" s="48" t="n"/>
      <c r="H977" s="49" t="n"/>
      <c r="I977" s="50">
        <f>IF(G977="","",ROUND(G977*H977,2))</f>
        <v/>
      </c>
      <c r="J977" s="50">
        <f>IF(G977="","",G977+N(I977))</f>
        <v/>
      </c>
      <c r="K977" s="45" t="n"/>
      <c r="L977" s="47" t="n"/>
      <c r="M977" s="48" t="n"/>
      <c r="N977" s="49" t="n"/>
      <c r="O977" s="50">
        <f>IF(M977="","",ROUND(M977*N977,2))</f>
        <v/>
      </c>
      <c r="P977" s="50">
        <f>IF(M977="","",M977+N(O977))</f>
        <v/>
      </c>
      <c r="Q977" s="45" t="n"/>
      <c r="R977" s="45" t="n"/>
      <c r="S977" s="51">
        <f>IF(L977="","",IF(COUNTIF(L$6:L977,L977)&gt;1,"",SUMIF(L$6:L$2000,L977,M$6:M$2000)-SUMIF(L$6:L$2000,L977,G$6:G$2000)))</f>
        <v/>
      </c>
      <c r="T977" s="46">
        <f>IF(AND(C977="",G977=""),"",IF(L977="","Nog factureren",IF(AND(G977&lt;&gt;"",OR(K977="",K977&gt;TODAY())),"Nog betalen",IF(OR(R977="",R977&gt;TODAY()),"Wacht op klant","Afgerond"))))</f>
        <v/>
      </c>
    </row>
    <row r="978">
      <c r="A978" s="45" t="n"/>
      <c r="B978" s="46">
        <f>IF(A978="","",YEAR(A978)&amp;" Q"&amp;ROUNDUP(MONTH(A978)/3,0))</f>
        <v/>
      </c>
      <c r="C978" s="47" t="n"/>
      <c r="D978" s="47" t="n"/>
      <c r="E978" s="47" t="n"/>
      <c r="F978" s="47" t="n"/>
      <c r="G978" s="48" t="n"/>
      <c r="H978" s="49" t="n"/>
      <c r="I978" s="50">
        <f>IF(G978="","",ROUND(G978*H978,2))</f>
        <v/>
      </c>
      <c r="J978" s="50">
        <f>IF(G978="","",G978+N(I978))</f>
        <v/>
      </c>
      <c r="K978" s="45" t="n"/>
      <c r="L978" s="47" t="n"/>
      <c r="M978" s="48" t="n"/>
      <c r="N978" s="49" t="n"/>
      <c r="O978" s="50">
        <f>IF(M978="","",ROUND(M978*N978,2))</f>
        <v/>
      </c>
      <c r="P978" s="50">
        <f>IF(M978="","",M978+N(O978))</f>
        <v/>
      </c>
      <c r="Q978" s="45" t="n"/>
      <c r="R978" s="45" t="n"/>
      <c r="S978" s="51">
        <f>IF(L978="","",IF(COUNTIF(L$6:L978,L978)&gt;1,"",SUMIF(L$6:L$2000,L978,M$6:M$2000)-SUMIF(L$6:L$2000,L978,G$6:G$2000)))</f>
        <v/>
      </c>
      <c r="T978" s="46">
        <f>IF(AND(C978="",G978=""),"",IF(L978="","Nog factureren",IF(AND(G978&lt;&gt;"",OR(K978="",K978&gt;TODAY())),"Nog betalen",IF(OR(R978="",R978&gt;TODAY()),"Wacht op klant","Afgerond"))))</f>
        <v/>
      </c>
    </row>
    <row r="979">
      <c r="A979" s="45" t="n"/>
      <c r="B979" s="46">
        <f>IF(A979="","",YEAR(A979)&amp;" Q"&amp;ROUNDUP(MONTH(A979)/3,0))</f>
        <v/>
      </c>
      <c r="C979" s="47" t="n"/>
      <c r="D979" s="47" t="n"/>
      <c r="E979" s="47" t="n"/>
      <c r="F979" s="47" t="n"/>
      <c r="G979" s="48" t="n"/>
      <c r="H979" s="49" t="n"/>
      <c r="I979" s="50">
        <f>IF(G979="","",ROUND(G979*H979,2))</f>
        <v/>
      </c>
      <c r="J979" s="50">
        <f>IF(G979="","",G979+N(I979))</f>
        <v/>
      </c>
      <c r="K979" s="45" t="n"/>
      <c r="L979" s="47" t="n"/>
      <c r="M979" s="48" t="n"/>
      <c r="N979" s="49" t="n"/>
      <c r="O979" s="50">
        <f>IF(M979="","",ROUND(M979*N979,2))</f>
        <v/>
      </c>
      <c r="P979" s="50">
        <f>IF(M979="","",M979+N(O979))</f>
        <v/>
      </c>
      <c r="Q979" s="45" t="n"/>
      <c r="R979" s="45" t="n"/>
      <c r="S979" s="51">
        <f>IF(L979="","",IF(COUNTIF(L$6:L979,L979)&gt;1,"",SUMIF(L$6:L$2000,L979,M$6:M$2000)-SUMIF(L$6:L$2000,L979,G$6:G$2000)))</f>
        <v/>
      </c>
      <c r="T979" s="46">
        <f>IF(AND(C979="",G979=""),"",IF(L979="","Nog factureren",IF(AND(G979&lt;&gt;"",OR(K979="",K979&gt;TODAY())),"Nog betalen",IF(OR(R979="",R979&gt;TODAY()),"Wacht op klant","Afgerond"))))</f>
        <v/>
      </c>
    </row>
    <row r="980">
      <c r="A980" s="45" t="n"/>
      <c r="B980" s="46">
        <f>IF(A980="","",YEAR(A980)&amp;" Q"&amp;ROUNDUP(MONTH(A980)/3,0))</f>
        <v/>
      </c>
      <c r="C980" s="47" t="n"/>
      <c r="D980" s="47" t="n"/>
      <c r="E980" s="47" t="n"/>
      <c r="F980" s="47" t="n"/>
      <c r="G980" s="48" t="n"/>
      <c r="H980" s="49" t="n"/>
      <c r="I980" s="50">
        <f>IF(G980="","",ROUND(G980*H980,2))</f>
        <v/>
      </c>
      <c r="J980" s="50">
        <f>IF(G980="","",G980+N(I980))</f>
        <v/>
      </c>
      <c r="K980" s="45" t="n"/>
      <c r="L980" s="47" t="n"/>
      <c r="M980" s="48" t="n"/>
      <c r="N980" s="49" t="n"/>
      <c r="O980" s="50">
        <f>IF(M980="","",ROUND(M980*N980,2))</f>
        <v/>
      </c>
      <c r="P980" s="50">
        <f>IF(M980="","",M980+N(O980))</f>
        <v/>
      </c>
      <c r="Q980" s="45" t="n"/>
      <c r="R980" s="45" t="n"/>
      <c r="S980" s="51">
        <f>IF(L980="","",IF(COUNTIF(L$6:L980,L980)&gt;1,"",SUMIF(L$6:L$2000,L980,M$6:M$2000)-SUMIF(L$6:L$2000,L980,G$6:G$2000)))</f>
        <v/>
      </c>
      <c r="T980" s="46">
        <f>IF(AND(C980="",G980=""),"",IF(L980="","Nog factureren",IF(AND(G980&lt;&gt;"",OR(K980="",K980&gt;TODAY())),"Nog betalen",IF(OR(R980="",R980&gt;TODAY()),"Wacht op klant","Afgerond"))))</f>
        <v/>
      </c>
    </row>
    <row r="981">
      <c r="A981" s="45" t="n"/>
      <c r="B981" s="46">
        <f>IF(A981="","",YEAR(A981)&amp;" Q"&amp;ROUNDUP(MONTH(A981)/3,0))</f>
        <v/>
      </c>
      <c r="C981" s="47" t="n"/>
      <c r="D981" s="47" t="n"/>
      <c r="E981" s="47" t="n"/>
      <c r="F981" s="47" t="n"/>
      <c r="G981" s="48" t="n"/>
      <c r="H981" s="49" t="n"/>
      <c r="I981" s="50">
        <f>IF(G981="","",ROUND(G981*H981,2))</f>
        <v/>
      </c>
      <c r="J981" s="50">
        <f>IF(G981="","",G981+N(I981))</f>
        <v/>
      </c>
      <c r="K981" s="45" t="n"/>
      <c r="L981" s="47" t="n"/>
      <c r="M981" s="48" t="n"/>
      <c r="N981" s="49" t="n"/>
      <c r="O981" s="50">
        <f>IF(M981="","",ROUND(M981*N981,2))</f>
        <v/>
      </c>
      <c r="P981" s="50">
        <f>IF(M981="","",M981+N(O981))</f>
        <v/>
      </c>
      <c r="Q981" s="45" t="n"/>
      <c r="R981" s="45" t="n"/>
      <c r="S981" s="51">
        <f>IF(L981="","",IF(COUNTIF(L$6:L981,L981)&gt;1,"",SUMIF(L$6:L$2000,L981,M$6:M$2000)-SUMIF(L$6:L$2000,L981,G$6:G$2000)))</f>
        <v/>
      </c>
      <c r="T981" s="46">
        <f>IF(AND(C981="",G981=""),"",IF(L981="","Nog factureren",IF(AND(G981&lt;&gt;"",OR(K981="",K981&gt;TODAY())),"Nog betalen",IF(OR(R981="",R981&gt;TODAY()),"Wacht op klant","Afgerond"))))</f>
        <v/>
      </c>
    </row>
    <row r="982">
      <c r="A982" s="45" t="n"/>
      <c r="B982" s="46">
        <f>IF(A982="","",YEAR(A982)&amp;" Q"&amp;ROUNDUP(MONTH(A982)/3,0))</f>
        <v/>
      </c>
      <c r="C982" s="47" t="n"/>
      <c r="D982" s="47" t="n"/>
      <c r="E982" s="47" t="n"/>
      <c r="F982" s="47" t="n"/>
      <c r="G982" s="48" t="n"/>
      <c r="H982" s="49" t="n"/>
      <c r="I982" s="50">
        <f>IF(G982="","",ROUND(G982*H982,2))</f>
        <v/>
      </c>
      <c r="J982" s="50">
        <f>IF(G982="","",G982+N(I982))</f>
        <v/>
      </c>
      <c r="K982" s="45" t="n"/>
      <c r="L982" s="47" t="n"/>
      <c r="M982" s="48" t="n"/>
      <c r="N982" s="49" t="n"/>
      <c r="O982" s="50">
        <f>IF(M982="","",ROUND(M982*N982,2))</f>
        <v/>
      </c>
      <c r="P982" s="50">
        <f>IF(M982="","",M982+N(O982))</f>
        <v/>
      </c>
      <c r="Q982" s="45" t="n"/>
      <c r="R982" s="45" t="n"/>
      <c r="S982" s="51">
        <f>IF(L982="","",IF(COUNTIF(L$6:L982,L982)&gt;1,"",SUMIF(L$6:L$2000,L982,M$6:M$2000)-SUMIF(L$6:L$2000,L982,G$6:G$2000)))</f>
        <v/>
      </c>
      <c r="T982" s="46">
        <f>IF(AND(C982="",G982=""),"",IF(L982="","Nog factureren",IF(AND(G982&lt;&gt;"",OR(K982="",K982&gt;TODAY())),"Nog betalen",IF(OR(R982="",R982&gt;TODAY()),"Wacht op klant","Afgerond"))))</f>
        <v/>
      </c>
    </row>
    <row r="983">
      <c r="A983" s="45" t="n"/>
      <c r="B983" s="46">
        <f>IF(A983="","",YEAR(A983)&amp;" Q"&amp;ROUNDUP(MONTH(A983)/3,0))</f>
        <v/>
      </c>
      <c r="C983" s="47" t="n"/>
      <c r="D983" s="47" t="n"/>
      <c r="E983" s="47" t="n"/>
      <c r="F983" s="47" t="n"/>
      <c r="G983" s="48" t="n"/>
      <c r="H983" s="49" t="n"/>
      <c r="I983" s="50">
        <f>IF(G983="","",ROUND(G983*H983,2))</f>
        <v/>
      </c>
      <c r="J983" s="50">
        <f>IF(G983="","",G983+N(I983))</f>
        <v/>
      </c>
      <c r="K983" s="45" t="n"/>
      <c r="L983" s="47" t="n"/>
      <c r="M983" s="48" t="n"/>
      <c r="N983" s="49" t="n"/>
      <c r="O983" s="50">
        <f>IF(M983="","",ROUND(M983*N983,2))</f>
        <v/>
      </c>
      <c r="P983" s="50">
        <f>IF(M983="","",M983+N(O983))</f>
        <v/>
      </c>
      <c r="Q983" s="45" t="n"/>
      <c r="R983" s="45" t="n"/>
      <c r="S983" s="51">
        <f>IF(L983="","",IF(COUNTIF(L$6:L983,L983)&gt;1,"",SUMIF(L$6:L$2000,L983,M$6:M$2000)-SUMIF(L$6:L$2000,L983,G$6:G$2000)))</f>
        <v/>
      </c>
      <c r="T983" s="46">
        <f>IF(AND(C983="",G983=""),"",IF(L983="","Nog factureren",IF(AND(G983&lt;&gt;"",OR(K983="",K983&gt;TODAY())),"Nog betalen",IF(OR(R983="",R983&gt;TODAY()),"Wacht op klant","Afgerond"))))</f>
        <v/>
      </c>
    </row>
    <row r="984">
      <c r="A984" s="45" t="n"/>
      <c r="B984" s="46">
        <f>IF(A984="","",YEAR(A984)&amp;" Q"&amp;ROUNDUP(MONTH(A984)/3,0))</f>
        <v/>
      </c>
      <c r="C984" s="47" t="n"/>
      <c r="D984" s="47" t="n"/>
      <c r="E984" s="47" t="n"/>
      <c r="F984" s="47" t="n"/>
      <c r="G984" s="48" t="n"/>
      <c r="H984" s="49" t="n"/>
      <c r="I984" s="50">
        <f>IF(G984="","",ROUND(G984*H984,2))</f>
        <v/>
      </c>
      <c r="J984" s="50">
        <f>IF(G984="","",G984+N(I984))</f>
        <v/>
      </c>
      <c r="K984" s="45" t="n"/>
      <c r="L984" s="47" t="n"/>
      <c r="M984" s="48" t="n"/>
      <c r="N984" s="49" t="n"/>
      <c r="O984" s="50">
        <f>IF(M984="","",ROUND(M984*N984,2))</f>
        <v/>
      </c>
      <c r="P984" s="50">
        <f>IF(M984="","",M984+N(O984))</f>
        <v/>
      </c>
      <c r="Q984" s="45" t="n"/>
      <c r="R984" s="45" t="n"/>
      <c r="S984" s="51">
        <f>IF(L984="","",IF(COUNTIF(L$6:L984,L984)&gt;1,"",SUMIF(L$6:L$2000,L984,M$6:M$2000)-SUMIF(L$6:L$2000,L984,G$6:G$2000)))</f>
        <v/>
      </c>
      <c r="T984" s="46">
        <f>IF(AND(C984="",G984=""),"",IF(L984="","Nog factureren",IF(AND(G984&lt;&gt;"",OR(K984="",K984&gt;TODAY())),"Nog betalen",IF(OR(R984="",R984&gt;TODAY()),"Wacht op klant","Afgerond"))))</f>
        <v/>
      </c>
    </row>
    <row r="985">
      <c r="A985" s="45" t="n"/>
      <c r="B985" s="46">
        <f>IF(A985="","",YEAR(A985)&amp;" Q"&amp;ROUNDUP(MONTH(A985)/3,0))</f>
        <v/>
      </c>
      <c r="C985" s="47" t="n"/>
      <c r="D985" s="47" t="n"/>
      <c r="E985" s="47" t="n"/>
      <c r="F985" s="47" t="n"/>
      <c r="G985" s="48" t="n"/>
      <c r="H985" s="49" t="n"/>
      <c r="I985" s="50">
        <f>IF(G985="","",ROUND(G985*H985,2))</f>
        <v/>
      </c>
      <c r="J985" s="50">
        <f>IF(G985="","",G985+N(I985))</f>
        <v/>
      </c>
      <c r="K985" s="45" t="n"/>
      <c r="L985" s="47" t="n"/>
      <c r="M985" s="48" t="n"/>
      <c r="N985" s="49" t="n"/>
      <c r="O985" s="50">
        <f>IF(M985="","",ROUND(M985*N985,2))</f>
        <v/>
      </c>
      <c r="P985" s="50">
        <f>IF(M985="","",M985+N(O985))</f>
        <v/>
      </c>
      <c r="Q985" s="45" t="n"/>
      <c r="R985" s="45" t="n"/>
      <c r="S985" s="51">
        <f>IF(L985="","",IF(COUNTIF(L$6:L985,L985)&gt;1,"",SUMIF(L$6:L$2000,L985,M$6:M$2000)-SUMIF(L$6:L$2000,L985,G$6:G$2000)))</f>
        <v/>
      </c>
      <c r="T985" s="46">
        <f>IF(AND(C985="",G985=""),"",IF(L985="","Nog factureren",IF(AND(G985&lt;&gt;"",OR(K985="",K985&gt;TODAY())),"Nog betalen",IF(OR(R985="",R985&gt;TODAY()),"Wacht op klant","Afgerond"))))</f>
        <v/>
      </c>
    </row>
    <row r="986">
      <c r="A986" s="45" t="n"/>
      <c r="B986" s="46">
        <f>IF(A986="","",YEAR(A986)&amp;" Q"&amp;ROUNDUP(MONTH(A986)/3,0))</f>
        <v/>
      </c>
      <c r="C986" s="47" t="n"/>
      <c r="D986" s="47" t="n"/>
      <c r="E986" s="47" t="n"/>
      <c r="F986" s="47" t="n"/>
      <c r="G986" s="48" t="n"/>
      <c r="H986" s="49" t="n"/>
      <c r="I986" s="50">
        <f>IF(G986="","",ROUND(G986*H986,2))</f>
        <v/>
      </c>
      <c r="J986" s="50">
        <f>IF(G986="","",G986+N(I986))</f>
        <v/>
      </c>
      <c r="K986" s="45" t="n"/>
      <c r="L986" s="47" t="n"/>
      <c r="M986" s="48" t="n"/>
      <c r="N986" s="49" t="n"/>
      <c r="O986" s="50">
        <f>IF(M986="","",ROUND(M986*N986,2))</f>
        <v/>
      </c>
      <c r="P986" s="50">
        <f>IF(M986="","",M986+N(O986))</f>
        <v/>
      </c>
      <c r="Q986" s="45" t="n"/>
      <c r="R986" s="45" t="n"/>
      <c r="S986" s="51">
        <f>IF(L986="","",IF(COUNTIF(L$6:L986,L986)&gt;1,"",SUMIF(L$6:L$2000,L986,M$6:M$2000)-SUMIF(L$6:L$2000,L986,G$6:G$2000)))</f>
        <v/>
      </c>
      <c r="T986" s="46">
        <f>IF(AND(C986="",G986=""),"",IF(L986="","Nog factureren",IF(AND(G986&lt;&gt;"",OR(K986="",K986&gt;TODAY())),"Nog betalen",IF(OR(R986="",R986&gt;TODAY()),"Wacht op klant","Afgerond"))))</f>
        <v/>
      </c>
    </row>
    <row r="987">
      <c r="A987" s="45" t="n"/>
      <c r="B987" s="46">
        <f>IF(A987="","",YEAR(A987)&amp;" Q"&amp;ROUNDUP(MONTH(A987)/3,0))</f>
        <v/>
      </c>
      <c r="C987" s="47" t="n"/>
      <c r="D987" s="47" t="n"/>
      <c r="E987" s="47" t="n"/>
      <c r="F987" s="47" t="n"/>
      <c r="G987" s="48" t="n"/>
      <c r="H987" s="49" t="n"/>
      <c r="I987" s="50">
        <f>IF(G987="","",ROUND(G987*H987,2))</f>
        <v/>
      </c>
      <c r="J987" s="50">
        <f>IF(G987="","",G987+N(I987))</f>
        <v/>
      </c>
      <c r="K987" s="45" t="n"/>
      <c r="L987" s="47" t="n"/>
      <c r="M987" s="48" t="n"/>
      <c r="N987" s="49" t="n"/>
      <c r="O987" s="50">
        <f>IF(M987="","",ROUND(M987*N987,2))</f>
        <v/>
      </c>
      <c r="P987" s="50">
        <f>IF(M987="","",M987+N(O987))</f>
        <v/>
      </c>
      <c r="Q987" s="45" t="n"/>
      <c r="R987" s="45" t="n"/>
      <c r="S987" s="51">
        <f>IF(L987="","",IF(COUNTIF(L$6:L987,L987)&gt;1,"",SUMIF(L$6:L$2000,L987,M$6:M$2000)-SUMIF(L$6:L$2000,L987,G$6:G$2000)))</f>
        <v/>
      </c>
      <c r="T987" s="46">
        <f>IF(AND(C987="",G987=""),"",IF(L987="","Nog factureren",IF(AND(G987&lt;&gt;"",OR(K987="",K987&gt;TODAY())),"Nog betalen",IF(OR(R987="",R987&gt;TODAY()),"Wacht op klant","Afgerond"))))</f>
        <v/>
      </c>
    </row>
    <row r="988">
      <c r="A988" s="45" t="n"/>
      <c r="B988" s="46">
        <f>IF(A988="","",YEAR(A988)&amp;" Q"&amp;ROUNDUP(MONTH(A988)/3,0))</f>
        <v/>
      </c>
      <c r="C988" s="47" t="n"/>
      <c r="D988" s="47" t="n"/>
      <c r="E988" s="47" t="n"/>
      <c r="F988" s="47" t="n"/>
      <c r="G988" s="48" t="n"/>
      <c r="H988" s="49" t="n"/>
      <c r="I988" s="50">
        <f>IF(G988="","",ROUND(G988*H988,2))</f>
        <v/>
      </c>
      <c r="J988" s="50">
        <f>IF(G988="","",G988+N(I988))</f>
        <v/>
      </c>
      <c r="K988" s="45" t="n"/>
      <c r="L988" s="47" t="n"/>
      <c r="M988" s="48" t="n"/>
      <c r="N988" s="49" t="n"/>
      <c r="O988" s="50">
        <f>IF(M988="","",ROUND(M988*N988,2))</f>
        <v/>
      </c>
      <c r="P988" s="50">
        <f>IF(M988="","",M988+N(O988))</f>
        <v/>
      </c>
      <c r="Q988" s="45" t="n"/>
      <c r="R988" s="45" t="n"/>
      <c r="S988" s="51">
        <f>IF(L988="","",IF(COUNTIF(L$6:L988,L988)&gt;1,"",SUMIF(L$6:L$2000,L988,M$6:M$2000)-SUMIF(L$6:L$2000,L988,G$6:G$2000)))</f>
        <v/>
      </c>
      <c r="T988" s="46">
        <f>IF(AND(C988="",G988=""),"",IF(L988="","Nog factureren",IF(AND(G988&lt;&gt;"",OR(K988="",K988&gt;TODAY())),"Nog betalen",IF(OR(R988="",R988&gt;TODAY()),"Wacht op klant","Afgerond"))))</f>
        <v/>
      </c>
    </row>
    <row r="989">
      <c r="A989" s="45" t="n"/>
      <c r="B989" s="46">
        <f>IF(A989="","",YEAR(A989)&amp;" Q"&amp;ROUNDUP(MONTH(A989)/3,0))</f>
        <v/>
      </c>
      <c r="C989" s="47" t="n"/>
      <c r="D989" s="47" t="n"/>
      <c r="E989" s="47" t="n"/>
      <c r="F989" s="47" t="n"/>
      <c r="G989" s="48" t="n"/>
      <c r="H989" s="49" t="n"/>
      <c r="I989" s="50">
        <f>IF(G989="","",ROUND(G989*H989,2))</f>
        <v/>
      </c>
      <c r="J989" s="50">
        <f>IF(G989="","",G989+N(I989))</f>
        <v/>
      </c>
      <c r="K989" s="45" t="n"/>
      <c r="L989" s="47" t="n"/>
      <c r="M989" s="48" t="n"/>
      <c r="N989" s="49" t="n"/>
      <c r="O989" s="50">
        <f>IF(M989="","",ROUND(M989*N989,2))</f>
        <v/>
      </c>
      <c r="P989" s="50">
        <f>IF(M989="","",M989+N(O989))</f>
        <v/>
      </c>
      <c r="Q989" s="45" t="n"/>
      <c r="R989" s="45" t="n"/>
      <c r="S989" s="51">
        <f>IF(L989="","",IF(COUNTIF(L$6:L989,L989)&gt;1,"",SUMIF(L$6:L$2000,L989,M$6:M$2000)-SUMIF(L$6:L$2000,L989,G$6:G$2000)))</f>
        <v/>
      </c>
      <c r="T989" s="46">
        <f>IF(AND(C989="",G989=""),"",IF(L989="","Nog factureren",IF(AND(G989&lt;&gt;"",OR(K989="",K989&gt;TODAY())),"Nog betalen",IF(OR(R989="",R989&gt;TODAY()),"Wacht op klant","Afgerond"))))</f>
        <v/>
      </c>
    </row>
    <row r="990">
      <c r="A990" s="45" t="n"/>
      <c r="B990" s="46">
        <f>IF(A990="","",YEAR(A990)&amp;" Q"&amp;ROUNDUP(MONTH(A990)/3,0))</f>
        <v/>
      </c>
      <c r="C990" s="47" t="n"/>
      <c r="D990" s="47" t="n"/>
      <c r="E990" s="47" t="n"/>
      <c r="F990" s="47" t="n"/>
      <c r="G990" s="48" t="n"/>
      <c r="H990" s="49" t="n"/>
      <c r="I990" s="50">
        <f>IF(G990="","",ROUND(G990*H990,2))</f>
        <v/>
      </c>
      <c r="J990" s="50">
        <f>IF(G990="","",G990+N(I990))</f>
        <v/>
      </c>
      <c r="K990" s="45" t="n"/>
      <c r="L990" s="47" t="n"/>
      <c r="M990" s="48" t="n"/>
      <c r="N990" s="49" t="n"/>
      <c r="O990" s="50">
        <f>IF(M990="","",ROUND(M990*N990,2))</f>
        <v/>
      </c>
      <c r="P990" s="50">
        <f>IF(M990="","",M990+N(O990))</f>
        <v/>
      </c>
      <c r="Q990" s="45" t="n"/>
      <c r="R990" s="45" t="n"/>
      <c r="S990" s="51">
        <f>IF(L990="","",IF(COUNTIF(L$6:L990,L990)&gt;1,"",SUMIF(L$6:L$2000,L990,M$6:M$2000)-SUMIF(L$6:L$2000,L990,G$6:G$2000)))</f>
        <v/>
      </c>
      <c r="T990" s="46">
        <f>IF(AND(C990="",G990=""),"",IF(L990="","Nog factureren",IF(AND(G990&lt;&gt;"",OR(K990="",K990&gt;TODAY())),"Nog betalen",IF(OR(R990="",R990&gt;TODAY()),"Wacht op klant","Afgerond"))))</f>
        <v/>
      </c>
    </row>
    <row r="991">
      <c r="A991" s="45" t="n"/>
      <c r="B991" s="46">
        <f>IF(A991="","",YEAR(A991)&amp;" Q"&amp;ROUNDUP(MONTH(A991)/3,0))</f>
        <v/>
      </c>
      <c r="C991" s="47" t="n"/>
      <c r="D991" s="47" t="n"/>
      <c r="E991" s="47" t="n"/>
      <c r="F991" s="47" t="n"/>
      <c r="G991" s="48" t="n"/>
      <c r="H991" s="49" t="n"/>
      <c r="I991" s="50">
        <f>IF(G991="","",ROUND(G991*H991,2))</f>
        <v/>
      </c>
      <c r="J991" s="50">
        <f>IF(G991="","",G991+N(I991))</f>
        <v/>
      </c>
      <c r="K991" s="45" t="n"/>
      <c r="L991" s="47" t="n"/>
      <c r="M991" s="48" t="n"/>
      <c r="N991" s="49" t="n"/>
      <c r="O991" s="50">
        <f>IF(M991="","",ROUND(M991*N991,2))</f>
        <v/>
      </c>
      <c r="P991" s="50">
        <f>IF(M991="","",M991+N(O991))</f>
        <v/>
      </c>
      <c r="Q991" s="45" t="n"/>
      <c r="R991" s="45" t="n"/>
      <c r="S991" s="51">
        <f>IF(L991="","",IF(COUNTIF(L$6:L991,L991)&gt;1,"",SUMIF(L$6:L$2000,L991,M$6:M$2000)-SUMIF(L$6:L$2000,L991,G$6:G$2000)))</f>
        <v/>
      </c>
      <c r="T991" s="46">
        <f>IF(AND(C991="",G991=""),"",IF(L991="","Nog factureren",IF(AND(G991&lt;&gt;"",OR(K991="",K991&gt;TODAY())),"Nog betalen",IF(OR(R991="",R991&gt;TODAY()),"Wacht op klant","Afgerond"))))</f>
        <v/>
      </c>
    </row>
    <row r="992">
      <c r="A992" s="45" t="n"/>
      <c r="B992" s="46">
        <f>IF(A992="","",YEAR(A992)&amp;" Q"&amp;ROUNDUP(MONTH(A992)/3,0))</f>
        <v/>
      </c>
      <c r="C992" s="47" t="n"/>
      <c r="D992" s="47" t="n"/>
      <c r="E992" s="47" t="n"/>
      <c r="F992" s="47" t="n"/>
      <c r="G992" s="48" t="n"/>
      <c r="H992" s="49" t="n"/>
      <c r="I992" s="50">
        <f>IF(G992="","",ROUND(G992*H992,2))</f>
        <v/>
      </c>
      <c r="J992" s="50">
        <f>IF(G992="","",G992+N(I992))</f>
        <v/>
      </c>
      <c r="K992" s="45" t="n"/>
      <c r="L992" s="47" t="n"/>
      <c r="M992" s="48" t="n"/>
      <c r="N992" s="49" t="n"/>
      <c r="O992" s="50">
        <f>IF(M992="","",ROUND(M992*N992,2))</f>
        <v/>
      </c>
      <c r="P992" s="50">
        <f>IF(M992="","",M992+N(O992))</f>
        <v/>
      </c>
      <c r="Q992" s="45" t="n"/>
      <c r="R992" s="45" t="n"/>
      <c r="S992" s="51">
        <f>IF(L992="","",IF(COUNTIF(L$6:L992,L992)&gt;1,"",SUMIF(L$6:L$2000,L992,M$6:M$2000)-SUMIF(L$6:L$2000,L992,G$6:G$2000)))</f>
        <v/>
      </c>
      <c r="T992" s="46">
        <f>IF(AND(C992="",G992=""),"",IF(L992="","Nog factureren",IF(AND(G992&lt;&gt;"",OR(K992="",K992&gt;TODAY())),"Nog betalen",IF(OR(R992="",R992&gt;TODAY()),"Wacht op klant","Afgerond"))))</f>
        <v/>
      </c>
    </row>
    <row r="993">
      <c r="A993" s="45" t="n"/>
      <c r="B993" s="46">
        <f>IF(A993="","",YEAR(A993)&amp;" Q"&amp;ROUNDUP(MONTH(A993)/3,0))</f>
        <v/>
      </c>
      <c r="C993" s="47" t="n"/>
      <c r="D993" s="47" t="n"/>
      <c r="E993" s="47" t="n"/>
      <c r="F993" s="47" t="n"/>
      <c r="G993" s="48" t="n"/>
      <c r="H993" s="49" t="n"/>
      <c r="I993" s="50">
        <f>IF(G993="","",ROUND(G993*H993,2))</f>
        <v/>
      </c>
      <c r="J993" s="50">
        <f>IF(G993="","",G993+N(I993))</f>
        <v/>
      </c>
      <c r="K993" s="45" t="n"/>
      <c r="L993" s="47" t="n"/>
      <c r="M993" s="48" t="n"/>
      <c r="N993" s="49" t="n"/>
      <c r="O993" s="50">
        <f>IF(M993="","",ROUND(M993*N993,2))</f>
        <v/>
      </c>
      <c r="P993" s="50">
        <f>IF(M993="","",M993+N(O993))</f>
        <v/>
      </c>
      <c r="Q993" s="45" t="n"/>
      <c r="R993" s="45" t="n"/>
      <c r="S993" s="51">
        <f>IF(L993="","",IF(COUNTIF(L$6:L993,L993)&gt;1,"",SUMIF(L$6:L$2000,L993,M$6:M$2000)-SUMIF(L$6:L$2000,L993,G$6:G$2000)))</f>
        <v/>
      </c>
      <c r="T993" s="46">
        <f>IF(AND(C993="",G993=""),"",IF(L993="","Nog factureren",IF(AND(G993&lt;&gt;"",OR(K993="",K993&gt;TODAY())),"Nog betalen",IF(OR(R993="",R993&gt;TODAY()),"Wacht op klant","Afgerond"))))</f>
        <v/>
      </c>
    </row>
    <row r="994">
      <c r="A994" s="45" t="n"/>
      <c r="B994" s="46">
        <f>IF(A994="","",YEAR(A994)&amp;" Q"&amp;ROUNDUP(MONTH(A994)/3,0))</f>
        <v/>
      </c>
      <c r="C994" s="47" t="n"/>
      <c r="D994" s="47" t="n"/>
      <c r="E994" s="47" t="n"/>
      <c r="F994" s="47" t="n"/>
      <c r="G994" s="48" t="n"/>
      <c r="H994" s="49" t="n"/>
      <c r="I994" s="50">
        <f>IF(G994="","",ROUND(G994*H994,2))</f>
        <v/>
      </c>
      <c r="J994" s="50">
        <f>IF(G994="","",G994+N(I994))</f>
        <v/>
      </c>
      <c r="K994" s="45" t="n"/>
      <c r="L994" s="47" t="n"/>
      <c r="M994" s="48" t="n"/>
      <c r="N994" s="49" t="n"/>
      <c r="O994" s="50">
        <f>IF(M994="","",ROUND(M994*N994,2))</f>
        <v/>
      </c>
      <c r="P994" s="50">
        <f>IF(M994="","",M994+N(O994))</f>
        <v/>
      </c>
      <c r="Q994" s="45" t="n"/>
      <c r="R994" s="45" t="n"/>
      <c r="S994" s="51">
        <f>IF(L994="","",IF(COUNTIF(L$6:L994,L994)&gt;1,"",SUMIF(L$6:L$2000,L994,M$6:M$2000)-SUMIF(L$6:L$2000,L994,G$6:G$2000)))</f>
        <v/>
      </c>
      <c r="T994" s="46">
        <f>IF(AND(C994="",G994=""),"",IF(L994="","Nog factureren",IF(AND(G994&lt;&gt;"",OR(K994="",K994&gt;TODAY())),"Nog betalen",IF(OR(R994="",R994&gt;TODAY()),"Wacht op klant","Afgerond"))))</f>
        <v/>
      </c>
    </row>
    <row r="995">
      <c r="A995" s="45" t="n"/>
      <c r="B995" s="46">
        <f>IF(A995="","",YEAR(A995)&amp;" Q"&amp;ROUNDUP(MONTH(A995)/3,0))</f>
        <v/>
      </c>
      <c r="C995" s="47" t="n"/>
      <c r="D995" s="47" t="n"/>
      <c r="E995" s="47" t="n"/>
      <c r="F995" s="47" t="n"/>
      <c r="G995" s="48" t="n"/>
      <c r="H995" s="49" t="n"/>
      <c r="I995" s="50">
        <f>IF(G995="","",ROUND(G995*H995,2))</f>
        <v/>
      </c>
      <c r="J995" s="50">
        <f>IF(G995="","",G995+N(I995))</f>
        <v/>
      </c>
      <c r="K995" s="45" t="n"/>
      <c r="L995" s="47" t="n"/>
      <c r="M995" s="48" t="n"/>
      <c r="N995" s="49" t="n"/>
      <c r="O995" s="50">
        <f>IF(M995="","",ROUND(M995*N995,2))</f>
        <v/>
      </c>
      <c r="P995" s="50">
        <f>IF(M995="","",M995+N(O995))</f>
        <v/>
      </c>
      <c r="Q995" s="45" t="n"/>
      <c r="R995" s="45" t="n"/>
      <c r="S995" s="51">
        <f>IF(L995="","",IF(COUNTIF(L$6:L995,L995)&gt;1,"",SUMIF(L$6:L$2000,L995,M$6:M$2000)-SUMIF(L$6:L$2000,L995,G$6:G$2000)))</f>
        <v/>
      </c>
      <c r="T995" s="46">
        <f>IF(AND(C995="",G995=""),"",IF(L995="","Nog factureren",IF(AND(G995&lt;&gt;"",OR(K995="",K995&gt;TODAY())),"Nog betalen",IF(OR(R995="",R995&gt;TODAY()),"Wacht op klant","Afgerond"))))</f>
        <v/>
      </c>
    </row>
    <row r="996">
      <c r="A996" s="45" t="n"/>
      <c r="B996" s="46">
        <f>IF(A996="","",YEAR(A996)&amp;" Q"&amp;ROUNDUP(MONTH(A996)/3,0))</f>
        <v/>
      </c>
      <c r="C996" s="47" t="n"/>
      <c r="D996" s="47" t="n"/>
      <c r="E996" s="47" t="n"/>
      <c r="F996" s="47" t="n"/>
      <c r="G996" s="48" t="n"/>
      <c r="H996" s="49" t="n"/>
      <c r="I996" s="50">
        <f>IF(G996="","",ROUND(G996*H996,2))</f>
        <v/>
      </c>
      <c r="J996" s="50">
        <f>IF(G996="","",G996+N(I996))</f>
        <v/>
      </c>
      <c r="K996" s="45" t="n"/>
      <c r="L996" s="47" t="n"/>
      <c r="M996" s="48" t="n"/>
      <c r="N996" s="49" t="n"/>
      <c r="O996" s="50">
        <f>IF(M996="","",ROUND(M996*N996,2))</f>
        <v/>
      </c>
      <c r="P996" s="50">
        <f>IF(M996="","",M996+N(O996))</f>
        <v/>
      </c>
      <c r="Q996" s="45" t="n"/>
      <c r="R996" s="45" t="n"/>
      <c r="S996" s="51">
        <f>IF(L996="","",IF(COUNTIF(L$6:L996,L996)&gt;1,"",SUMIF(L$6:L$2000,L996,M$6:M$2000)-SUMIF(L$6:L$2000,L996,G$6:G$2000)))</f>
        <v/>
      </c>
      <c r="T996" s="46">
        <f>IF(AND(C996="",G996=""),"",IF(L996="","Nog factureren",IF(AND(G996&lt;&gt;"",OR(K996="",K996&gt;TODAY())),"Nog betalen",IF(OR(R996="",R996&gt;TODAY()),"Wacht op klant","Afgerond"))))</f>
        <v/>
      </c>
    </row>
    <row r="997">
      <c r="A997" s="45" t="n"/>
      <c r="B997" s="46">
        <f>IF(A997="","",YEAR(A997)&amp;" Q"&amp;ROUNDUP(MONTH(A997)/3,0))</f>
        <v/>
      </c>
      <c r="C997" s="47" t="n"/>
      <c r="D997" s="47" t="n"/>
      <c r="E997" s="47" t="n"/>
      <c r="F997" s="47" t="n"/>
      <c r="G997" s="48" t="n"/>
      <c r="H997" s="49" t="n"/>
      <c r="I997" s="50">
        <f>IF(G997="","",ROUND(G997*H997,2))</f>
        <v/>
      </c>
      <c r="J997" s="50">
        <f>IF(G997="","",G997+N(I997))</f>
        <v/>
      </c>
      <c r="K997" s="45" t="n"/>
      <c r="L997" s="47" t="n"/>
      <c r="M997" s="48" t="n"/>
      <c r="N997" s="49" t="n"/>
      <c r="O997" s="50">
        <f>IF(M997="","",ROUND(M997*N997,2))</f>
        <v/>
      </c>
      <c r="P997" s="50">
        <f>IF(M997="","",M997+N(O997))</f>
        <v/>
      </c>
      <c r="Q997" s="45" t="n"/>
      <c r="R997" s="45" t="n"/>
      <c r="S997" s="51">
        <f>IF(L997="","",IF(COUNTIF(L$6:L997,L997)&gt;1,"",SUMIF(L$6:L$2000,L997,M$6:M$2000)-SUMIF(L$6:L$2000,L997,G$6:G$2000)))</f>
        <v/>
      </c>
      <c r="T997" s="46">
        <f>IF(AND(C997="",G997=""),"",IF(L997="","Nog factureren",IF(AND(G997&lt;&gt;"",OR(K997="",K997&gt;TODAY())),"Nog betalen",IF(OR(R997="",R997&gt;TODAY()),"Wacht op klant","Afgerond"))))</f>
        <v/>
      </c>
    </row>
    <row r="998">
      <c r="A998" s="45" t="n"/>
      <c r="B998" s="46">
        <f>IF(A998="","",YEAR(A998)&amp;" Q"&amp;ROUNDUP(MONTH(A998)/3,0))</f>
        <v/>
      </c>
      <c r="C998" s="47" t="n"/>
      <c r="D998" s="47" t="n"/>
      <c r="E998" s="47" t="n"/>
      <c r="F998" s="47" t="n"/>
      <c r="G998" s="48" t="n"/>
      <c r="H998" s="49" t="n"/>
      <c r="I998" s="50">
        <f>IF(G998="","",ROUND(G998*H998,2))</f>
        <v/>
      </c>
      <c r="J998" s="50">
        <f>IF(G998="","",G998+N(I998))</f>
        <v/>
      </c>
      <c r="K998" s="45" t="n"/>
      <c r="L998" s="47" t="n"/>
      <c r="M998" s="48" t="n"/>
      <c r="N998" s="49" t="n"/>
      <c r="O998" s="50">
        <f>IF(M998="","",ROUND(M998*N998,2))</f>
        <v/>
      </c>
      <c r="P998" s="50">
        <f>IF(M998="","",M998+N(O998))</f>
        <v/>
      </c>
      <c r="Q998" s="45" t="n"/>
      <c r="R998" s="45" t="n"/>
      <c r="S998" s="51">
        <f>IF(L998="","",IF(COUNTIF(L$6:L998,L998)&gt;1,"",SUMIF(L$6:L$2000,L998,M$6:M$2000)-SUMIF(L$6:L$2000,L998,G$6:G$2000)))</f>
        <v/>
      </c>
      <c r="T998" s="46">
        <f>IF(AND(C998="",G998=""),"",IF(L998="","Nog factureren",IF(AND(G998&lt;&gt;"",OR(K998="",K998&gt;TODAY())),"Nog betalen",IF(OR(R998="",R998&gt;TODAY()),"Wacht op klant","Afgerond"))))</f>
        <v/>
      </c>
    </row>
    <row r="999">
      <c r="A999" s="45" t="n"/>
      <c r="B999" s="46">
        <f>IF(A999="","",YEAR(A999)&amp;" Q"&amp;ROUNDUP(MONTH(A999)/3,0))</f>
        <v/>
      </c>
      <c r="C999" s="47" t="n"/>
      <c r="D999" s="47" t="n"/>
      <c r="E999" s="47" t="n"/>
      <c r="F999" s="47" t="n"/>
      <c r="G999" s="48" t="n"/>
      <c r="H999" s="49" t="n"/>
      <c r="I999" s="50">
        <f>IF(G999="","",ROUND(G999*H999,2))</f>
        <v/>
      </c>
      <c r="J999" s="50">
        <f>IF(G999="","",G999+N(I999))</f>
        <v/>
      </c>
      <c r="K999" s="45" t="n"/>
      <c r="L999" s="47" t="n"/>
      <c r="M999" s="48" t="n"/>
      <c r="N999" s="49" t="n"/>
      <c r="O999" s="50">
        <f>IF(M999="","",ROUND(M999*N999,2))</f>
        <v/>
      </c>
      <c r="P999" s="50">
        <f>IF(M999="","",M999+N(O999))</f>
        <v/>
      </c>
      <c r="Q999" s="45" t="n"/>
      <c r="R999" s="45" t="n"/>
      <c r="S999" s="51">
        <f>IF(L999="","",IF(COUNTIF(L$6:L999,L999)&gt;1,"",SUMIF(L$6:L$2000,L999,M$6:M$2000)-SUMIF(L$6:L$2000,L999,G$6:G$2000)))</f>
        <v/>
      </c>
      <c r="T999" s="46">
        <f>IF(AND(C999="",G999=""),"",IF(L999="","Nog factureren",IF(AND(G999&lt;&gt;"",OR(K999="",K999&gt;TODAY())),"Nog betalen",IF(OR(R999="",R999&gt;TODAY()),"Wacht op klant","Afgerond"))))</f>
        <v/>
      </c>
    </row>
    <row r="1000">
      <c r="A1000" s="45" t="n"/>
      <c r="B1000" s="46">
        <f>IF(A1000="","",YEAR(A1000)&amp;" Q"&amp;ROUNDUP(MONTH(A1000)/3,0))</f>
        <v/>
      </c>
      <c r="C1000" s="47" t="n"/>
      <c r="D1000" s="47" t="n"/>
      <c r="E1000" s="47" t="n"/>
      <c r="F1000" s="47" t="n"/>
      <c r="G1000" s="48" t="n"/>
      <c r="H1000" s="49" t="n"/>
      <c r="I1000" s="50">
        <f>IF(G1000="","",ROUND(G1000*H1000,2))</f>
        <v/>
      </c>
      <c r="J1000" s="50">
        <f>IF(G1000="","",G1000+N(I1000))</f>
        <v/>
      </c>
      <c r="K1000" s="45" t="n"/>
      <c r="L1000" s="47" t="n"/>
      <c r="M1000" s="48" t="n"/>
      <c r="N1000" s="49" t="n"/>
      <c r="O1000" s="50">
        <f>IF(M1000="","",ROUND(M1000*N1000,2))</f>
        <v/>
      </c>
      <c r="P1000" s="50">
        <f>IF(M1000="","",M1000+N(O1000))</f>
        <v/>
      </c>
      <c r="Q1000" s="45" t="n"/>
      <c r="R1000" s="45" t="n"/>
      <c r="S1000" s="51">
        <f>IF(L1000="","",IF(COUNTIF(L$6:L1000,L1000)&gt;1,"",SUMIF(L$6:L$2000,L1000,M$6:M$2000)-SUMIF(L$6:L$2000,L1000,G$6:G$2000)))</f>
        <v/>
      </c>
      <c r="T1000" s="46">
        <f>IF(AND(C1000="",G1000=""),"",IF(L1000="","Nog factureren",IF(AND(G1000&lt;&gt;"",OR(K1000="",K1000&gt;TODAY())),"Nog betalen",IF(OR(R1000="",R1000&gt;TODAY()),"Wacht op klant","Afgerond"))))</f>
        <v/>
      </c>
    </row>
    <row r="1001">
      <c r="A1001" s="45" t="n"/>
      <c r="B1001" s="46">
        <f>IF(A1001="","",YEAR(A1001)&amp;" Q"&amp;ROUNDUP(MONTH(A1001)/3,0))</f>
        <v/>
      </c>
      <c r="C1001" s="47" t="n"/>
      <c r="D1001" s="47" t="n"/>
      <c r="E1001" s="47" t="n"/>
      <c r="F1001" s="47" t="n"/>
      <c r="G1001" s="48" t="n"/>
      <c r="H1001" s="49" t="n"/>
      <c r="I1001" s="50">
        <f>IF(G1001="","",ROUND(G1001*H1001,2))</f>
        <v/>
      </c>
      <c r="J1001" s="50">
        <f>IF(G1001="","",G1001+N(I1001))</f>
        <v/>
      </c>
      <c r="K1001" s="45" t="n"/>
      <c r="L1001" s="47" t="n"/>
      <c r="M1001" s="48" t="n"/>
      <c r="N1001" s="49" t="n"/>
      <c r="O1001" s="50">
        <f>IF(M1001="","",ROUND(M1001*N1001,2))</f>
        <v/>
      </c>
      <c r="P1001" s="50">
        <f>IF(M1001="","",M1001+N(O1001))</f>
        <v/>
      </c>
      <c r="Q1001" s="45" t="n"/>
      <c r="R1001" s="45" t="n"/>
      <c r="S1001" s="51">
        <f>IF(L1001="","",IF(COUNTIF(L$6:L1001,L1001)&gt;1,"",SUMIF(L$6:L$2000,L1001,M$6:M$2000)-SUMIF(L$6:L$2000,L1001,G$6:G$2000)))</f>
        <v/>
      </c>
      <c r="T1001" s="46">
        <f>IF(AND(C1001="",G1001=""),"",IF(L1001="","Nog factureren",IF(AND(G1001&lt;&gt;"",OR(K1001="",K1001&gt;TODAY())),"Nog betalen",IF(OR(R1001="",R1001&gt;TODAY()),"Wacht op klant","Afgerond"))))</f>
        <v/>
      </c>
    </row>
    <row r="1002">
      <c r="A1002" s="45" t="n"/>
      <c r="B1002" s="46">
        <f>IF(A1002="","",YEAR(A1002)&amp;" Q"&amp;ROUNDUP(MONTH(A1002)/3,0))</f>
        <v/>
      </c>
      <c r="C1002" s="47" t="n"/>
      <c r="D1002" s="47" t="n"/>
      <c r="E1002" s="47" t="n"/>
      <c r="F1002" s="47" t="n"/>
      <c r="G1002" s="48" t="n"/>
      <c r="H1002" s="49" t="n"/>
      <c r="I1002" s="50">
        <f>IF(G1002="","",ROUND(G1002*H1002,2))</f>
        <v/>
      </c>
      <c r="J1002" s="50">
        <f>IF(G1002="","",G1002+N(I1002))</f>
        <v/>
      </c>
      <c r="K1002" s="45" t="n"/>
      <c r="L1002" s="47" t="n"/>
      <c r="M1002" s="48" t="n"/>
      <c r="N1002" s="49" t="n"/>
      <c r="O1002" s="50">
        <f>IF(M1002="","",ROUND(M1002*N1002,2))</f>
        <v/>
      </c>
      <c r="P1002" s="50">
        <f>IF(M1002="","",M1002+N(O1002))</f>
        <v/>
      </c>
      <c r="Q1002" s="45" t="n"/>
      <c r="R1002" s="45" t="n"/>
      <c r="S1002" s="51">
        <f>IF(L1002="","",IF(COUNTIF(L$6:L1002,L1002)&gt;1,"",SUMIF(L$6:L$2000,L1002,M$6:M$2000)-SUMIF(L$6:L$2000,L1002,G$6:G$2000)))</f>
        <v/>
      </c>
      <c r="T1002" s="46">
        <f>IF(AND(C1002="",G1002=""),"",IF(L1002="","Nog factureren",IF(AND(G1002&lt;&gt;"",OR(K1002="",K1002&gt;TODAY())),"Nog betalen",IF(OR(R1002="",R1002&gt;TODAY()),"Wacht op klant","Afgerond"))))</f>
        <v/>
      </c>
    </row>
    <row r="1003">
      <c r="A1003" s="45" t="n"/>
      <c r="B1003" s="46">
        <f>IF(A1003="","",YEAR(A1003)&amp;" Q"&amp;ROUNDUP(MONTH(A1003)/3,0))</f>
        <v/>
      </c>
      <c r="C1003" s="47" t="n"/>
      <c r="D1003" s="47" t="n"/>
      <c r="E1003" s="47" t="n"/>
      <c r="F1003" s="47" t="n"/>
      <c r="G1003" s="48" t="n"/>
      <c r="H1003" s="49" t="n"/>
      <c r="I1003" s="50">
        <f>IF(G1003="","",ROUND(G1003*H1003,2))</f>
        <v/>
      </c>
      <c r="J1003" s="50">
        <f>IF(G1003="","",G1003+N(I1003))</f>
        <v/>
      </c>
      <c r="K1003" s="45" t="n"/>
      <c r="L1003" s="47" t="n"/>
      <c r="M1003" s="48" t="n"/>
      <c r="N1003" s="49" t="n"/>
      <c r="O1003" s="50">
        <f>IF(M1003="","",ROUND(M1003*N1003,2))</f>
        <v/>
      </c>
      <c r="P1003" s="50">
        <f>IF(M1003="","",M1003+N(O1003))</f>
        <v/>
      </c>
      <c r="Q1003" s="45" t="n"/>
      <c r="R1003" s="45" t="n"/>
      <c r="S1003" s="51">
        <f>IF(L1003="","",IF(COUNTIF(L$6:L1003,L1003)&gt;1,"",SUMIF(L$6:L$2000,L1003,M$6:M$2000)-SUMIF(L$6:L$2000,L1003,G$6:G$2000)))</f>
        <v/>
      </c>
      <c r="T1003" s="46">
        <f>IF(AND(C1003="",G1003=""),"",IF(L1003="","Nog factureren",IF(AND(G1003&lt;&gt;"",OR(K1003="",K1003&gt;TODAY())),"Nog betalen",IF(OR(R1003="",R1003&gt;TODAY()),"Wacht op klant","Afgerond"))))</f>
        <v/>
      </c>
    </row>
    <row r="1004">
      <c r="A1004" s="45" t="n"/>
      <c r="B1004" s="46">
        <f>IF(A1004="","",YEAR(A1004)&amp;" Q"&amp;ROUNDUP(MONTH(A1004)/3,0))</f>
        <v/>
      </c>
      <c r="C1004" s="47" t="n"/>
      <c r="D1004" s="47" t="n"/>
      <c r="E1004" s="47" t="n"/>
      <c r="F1004" s="47" t="n"/>
      <c r="G1004" s="48" t="n"/>
      <c r="H1004" s="49" t="n"/>
      <c r="I1004" s="50">
        <f>IF(G1004="","",ROUND(G1004*H1004,2))</f>
        <v/>
      </c>
      <c r="J1004" s="50">
        <f>IF(G1004="","",G1004+N(I1004))</f>
        <v/>
      </c>
      <c r="K1004" s="45" t="n"/>
      <c r="L1004" s="47" t="n"/>
      <c r="M1004" s="48" t="n"/>
      <c r="N1004" s="49" t="n"/>
      <c r="O1004" s="50">
        <f>IF(M1004="","",ROUND(M1004*N1004,2))</f>
        <v/>
      </c>
      <c r="P1004" s="50">
        <f>IF(M1004="","",M1004+N(O1004))</f>
        <v/>
      </c>
      <c r="Q1004" s="45" t="n"/>
      <c r="R1004" s="45" t="n"/>
      <c r="S1004" s="51">
        <f>IF(L1004="","",IF(COUNTIF(L$6:L1004,L1004)&gt;1,"",SUMIF(L$6:L$2000,L1004,M$6:M$2000)-SUMIF(L$6:L$2000,L1004,G$6:G$2000)))</f>
        <v/>
      </c>
      <c r="T1004" s="46">
        <f>IF(AND(C1004="",G1004=""),"",IF(L1004="","Nog factureren",IF(AND(G1004&lt;&gt;"",OR(K1004="",K1004&gt;TODAY())),"Nog betalen",IF(OR(R1004="",R1004&gt;TODAY()),"Wacht op klant","Afgerond"))))</f>
        <v/>
      </c>
    </row>
    <row r="1005">
      <c r="A1005" s="45" t="n"/>
      <c r="B1005" s="46">
        <f>IF(A1005="","",YEAR(A1005)&amp;" Q"&amp;ROUNDUP(MONTH(A1005)/3,0))</f>
        <v/>
      </c>
      <c r="C1005" s="47" t="n"/>
      <c r="D1005" s="47" t="n"/>
      <c r="E1005" s="47" t="n"/>
      <c r="F1005" s="47" t="n"/>
      <c r="G1005" s="48" t="n"/>
      <c r="H1005" s="49" t="n"/>
      <c r="I1005" s="50">
        <f>IF(G1005="","",ROUND(G1005*H1005,2))</f>
        <v/>
      </c>
      <c r="J1005" s="50">
        <f>IF(G1005="","",G1005+N(I1005))</f>
        <v/>
      </c>
      <c r="K1005" s="45" t="n"/>
      <c r="L1005" s="47" t="n"/>
      <c r="M1005" s="48" t="n"/>
      <c r="N1005" s="49" t="n"/>
      <c r="O1005" s="50">
        <f>IF(M1005="","",ROUND(M1005*N1005,2))</f>
        <v/>
      </c>
      <c r="P1005" s="50">
        <f>IF(M1005="","",M1005+N(O1005))</f>
        <v/>
      </c>
      <c r="Q1005" s="45" t="n"/>
      <c r="R1005" s="45" t="n"/>
      <c r="S1005" s="51">
        <f>IF(L1005="","",IF(COUNTIF(L$6:L1005,L1005)&gt;1,"",SUMIF(L$6:L$2000,L1005,M$6:M$2000)-SUMIF(L$6:L$2000,L1005,G$6:G$2000)))</f>
        <v/>
      </c>
      <c r="T1005" s="46">
        <f>IF(AND(C1005="",G1005=""),"",IF(L1005="","Nog factureren",IF(AND(G1005&lt;&gt;"",OR(K1005="",K1005&gt;TODAY())),"Nog betalen",IF(OR(R1005="",R1005&gt;TODAY()),"Wacht op klant","Afgerond"))))</f>
        <v/>
      </c>
    </row>
    <row r="1006">
      <c r="A1006" s="45" t="n"/>
      <c r="B1006" s="46">
        <f>IF(A1006="","",YEAR(A1006)&amp;" Q"&amp;ROUNDUP(MONTH(A1006)/3,0))</f>
        <v/>
      </c>
      <c r="C1006" s="47" t="n"/>
      <c r="D1006" s="47" t="n"/>
      <c r="E1006" s="47" t="n"/>
      <c r="F1006" s="47" t="n"/>
      <c r="G1006" s="48" t="n"/>
      <c r="H1006" s="49" t="n"/>
      <c r="I1006" s="50">
        <f>IF(G1006="","",ROUND(G1006*H1006,2))</f>
        <v/>
      </c>
      <c r="J1006" s="50">
        <f>IF(G1006="","",G1006+N(I1006))</f>
        <v/>
      </c>
      <c r="K1006" s="45" t="n"/>
      <c r="L1006" s="47" t="n"/>
      <c r="M1006" s="48" t="n"/>
      <c r="N1006" s="49" t="n"/>
      <c r="O1006" s="50">
        <f>IF(M1006="","",ROUND(M1006*N1006,2))</f>
        <v/>
      </c>
      <c r="P1006" s="50">
        <f>IF(M1006="","",M1006+N(O1006))</f>
        <v/>
      </c>
      <c r="Q1006" s="45" t="n"/>
      <c r="R1006" s="45" t="n"/>
      <c r="S1006" s="51">
        <f>IF(L1006="","",IF(COUNTIF(L$6:L1006,L1006)&gt;1,"",SUMIF(L$6:L$2000,L1006,M$6:M$2000)-SUMIF(L$6:L$2000,L1006,G$6:G$2000)))</f>
        <v/>
      </c>
      <c r="T1006" s="46">
        <f>IF(AND(C1006="",G1006=""),"",IF(L1006="","Nog factureren",IF(AND(G1006&lt;&gt;"",OR(K1006="",K1006&gt;TODAY())),"Nog betalen",IF(OR(R1006="",R1006&gt;TODAY()),"Wacht op klant","Afgerond"))))</f>
        <v/>
      </c>
    </row>
    <row r="1007">
      <c r="A1007" s="45" t="n"/>
      <c r="B1007" s="46">
        <f>IF(A1007="","",YEAR(A1007)&amp;" Q"&amp;ROUNDUP(MONTH(A1007)/3,0))</f>
        <v/>
      </c>
      <c r="C1007" s="47" t="n"/>
      <c r="D1007" s="47" t="n"/>
      <c r="E1007" s="47" t="n"/>
      <c r="F1007" s="47" t="n"/>
      <c r="G1007" s="48" t="n"/>
      <c r="H1007" s="49" t="n"/>
      <c r="I1007" s="50">
        <f>IF(G1007="","",ROUND(G1007*H1007,2))</f>
        <v/>
      </c>
      <c r="J1007" s="50">
        <f>IF(G1007="","",G1007+N(I1007))</f>
        <v/>
      </c>
      <c r="K1007" s="45" t="n"/>
      <c r="L1007" s="47" t="n"/>
      <c r="M1007" s="48" t="n"/>
      <c r="N1007" s="49" t="n"/>
      <c r="O1007" s="50">
        <f>IF(M1007="","",ROUND(M1007*N1007,2))</f>
        <v/>
      </c>
      <c r="P1007" s="50">
        <f>IF(M1007="","",M1007+N(O1007))</f>
        <v/>
      </c>
      <c r="Q1007" s="45" t="n"/>
      <c r="R1007" s="45" t="n"/>
      <c r="S1007" s="51">
        <f>IF(L1007="","",IF(COUNTIF(L$6:L1007,L1007)&gt;1,"",SUMIF(L$6:L$2000,L1007,M$6:M$2000)-SUMIF(L$6:L$2000,L1007,G$6:G$2000)))</f>
        <v/>
      </c>
      <c r="T1007" s="46">
        <f>IF(AND(C1007="",G1007=""),"",IF(L1007="","Nog factureren",IF(AND(G1007&lt;&gt;"",OR(K1007="",K1007&gt;TODAY())),"Nog betalen",IF(OR(R1007="",R1007&gt;TODAY()),"Wacht op klant","Afgerond"))))</f>
        <v/>
      </c>
    </row>
    <row r="1008">
      <c r="A1008" s="45" t="n"/>
      <c r="B1008" s="46">
        <f>IF(A1008="","",YEAR(A1008)&amp;" Q"&amp;ROUNDUP(MONTH(A1008)/3,0))</f>
        <v/>
      </c>
      <c r="C1008" s="47" t="n"/>
      <c r="D1008" s="47" t="n"/>
      <c r="E1008" s="47" t="n"/>
      <c r="F1008" s="47" t="n"/>
      <c r="G1008" s="48" t="n"/>
      <c r="H1008" s="49" t="n"/>
      <c r="I1008" s="50">
        <f>IF(G1008="","",ROUND(G1008*H1008,2))</f>
        <v/>
      </c>
      <c r="J1008" s="50">
        <f>IF(G1008="","",G1008+N(I1008))</f>
        <v/>
      </c>
      <c r="K1008" s="45" t="n"/>
      <c r="L1008" s="47" t="n"/>
      <c r="M1008" s="48" t="n"/>
      <c r="N1008" s="49" t="n"/>
      <c r="O1008" s="50">
        <f>IF(M1008="","",ROUND(M1008*N1008,2))</f>
        <v/>
      </c>
      <c r="P1008" s="50">
        <f>IF(M1008="","",M1008+N(O1008))</f>
        <v/>
      </c>
      <c r="Q1008" s="45" t="n"/>
      <c r="R1008" s="45" t="n"/>
      <c r="S1008" s="51">
        <f>IF(L1008="","",IF(COUNTIF(L$6:L1008,L1008)&gt;1,"",SUMIF(L$6:L$2000,L1008,M$6:M$2000)-SUMIF(L$6:L$2000,L1008,G$6:G$2000)))</f>
        <v/>
      </c>
      <c r="T1008" s="46">
        <f>IF(AND(C1008="",G1008=""),"",IF(L1008="","Nog factureren",IF(AND(G1008&lt;&gt;"",OR(K1008="",K1008&gt;TODAY())),"Nog betalen",IF(OR(R1008="",R1008&gt;TODAY()),"Wacht op klant","Afgerond"))))</f>
        <v/>
      </c>
    </row>
    <row r="1009">
      <c r="A1009" s="45" t="n"/>
      <c r="B1009" s="46">
        <f>IF(A1009="","",YEAR(A1009)&amp;" Q"&amp;ROUNDUP(MONTH(A1009)/3,0))</f>
        <v/>
      </c>
      <c r="C1009" s="47" t="n"/>
      <c r="D1009" s="47" t="n"/>
      <c r="E1009" s="47" t="n"/>
      <c r="F1009" s="47" t="n"/>
      <c r="G1009" s="48" t="n"/>
      <c r="H1009" s="49" t="n"/>
      <c r="I1009" s="50">
        <f>IF(G1009="","",ROUND(G1009*H1009,2))</f>
        <v/>
      </c>
      <c r="J1009" s="50">
        <f>IF(G1009="","",G1009+N(I1009))</f>
        <v/>
      </c>
      <c r="K1009" s="45" t="n"/>
      <c r="L1009" s="47" t="n"/>
      <c r="M1009" s="48" t="n"/>
      <c r="N1009" s="49" t="n"/>
      <c r="O1009" s="50">
        <f>IF(M1009="","",ROUND(M1009*N1009,2))</f>
        <v/>
      </c>
      <c r="P1009" s="50">
        <f>IF(M1009="","",M1009+N(O1009))</f>
        <v/>
      </c>
      <c r="Q1009" s="45" t="n"/>
      <c r="R1009" s="45" t="n"/>
      <c r="S1009" s="51">
        <f>IF(L1009="","",IF(COUNTIF(L$6:L1009,L1009)&gt;1,"",SUMIF(L$6:L$2000,L1009,M$6:M$2000)-SUMIF(L$6:L$2000,L1009,G$6:G$2000)))</f>
        <v/>
      </c>
      <c r="T1009" s="46">
        <f>IF(AND(C1009="",G1009=""),"",IF(L1009="","Nog factureren",IF(AND(G1009&lt;&gt;"",OR(K1009="",K1009&gt;TODAY())),"Nog betalen",IF(OR(R1009="",R1009&gt;TODAY()),"Wacht op klant","Afgerond"))))</f>
        <v/>
      </c>
    </row>
    <row r="1010">
      <c r="A1010" s="45" t="n"/>
      <c r="B1010" s="46">
        <f>IF(A1010="","",YEAR(A1010)&amp;" Q"&amp;ROUNDUP(MONTH(A1010)/3,0))</f>
        <v/>
      </c>
      <c r="C1010" s="47" t="n"/>
      <c r="D1010" s="47" t="n"/>
      <c r="E1010" s="47" t="n"/>
      <c r="F1010" s="47" t="n"/>
      <c r="G1010" s="48" t="n"/>
      <c r="H1010" s="49" t="n"/>
      <c r="I1010" s="50">
        <f>IF(G1010="","",ROUND(G1010*H1010,2))</f>
        <v/>
      </c>
      <c r="J1010" s="50">
        <f>IF(G1010="","",G1010+N(I1010))</f>
        <v/>
      </c>
      <c r="K1010" s="45" t="n"/>
      <c r="L1010" s="47" t="n"/>
      <c r="M1010" s="48" t="n"/>
      <c r="N1010" s="49" t="n"/>
      <c r="O1010" s="50">
        <f>IF(M1010="","",ROUND(M1010*N1010,2))</f>
        <v/>
      </c>
      <c r="P1010" s="50">
        <f>IF(M1010="","",M1010+N(O1010))</f>
        <v/>
      </c>
      <c r="Q1010" s="45" t="n"/>
      <c r="R1010" s="45" t="n"/>
      <c r="S1010" s="51">
        <f>IF(L1010="","",IF(COUNTIF(L$6:L1010,L1010)&gt;1,"",SUMIF(L$6:L$2000,L1010,M$6:M$2000)-SUMIF(L$6:L$2000,L1010,G$6:G$2000)))</f>
        <v/>
      </c>
      <c r="T1010" s="46">
        <f>IF(AND(C1010="",G1010=""),"",IF(L1010="","Nog factureren",IF(AND(G1010&lt;&gt;"",OR(K1010="",K1010&gt;TODAY())),"Nog betalen",IF(OR(R1010="",R1010&gt;TODAY()),"Wacht op klant","Afgerond"))))</f>
        <v/>
      </c>
    </row>
    <row r="1011">
      <c r="A1011" s="45" t="n"/>
      <c r="B1011" s="46">
        <f>IF(A1011="","",YEAR(A1011)&amp;" Q"&amp;ROUNDUP(MONTH(A1011)/3,0))</f>
        <v/>
      </c>
      <c r="C1011" s="47" t="n"/>
      <c r="D1011" s="47" t="n"/>
      <c r="E1011" s="47" t="n"/>
      <c r="F1011" s="47" t="n"/>
      <c r="G1011" s="48" t="n"/>
      <c r="H1011" s="49" t="n"/>
      <c r="I1011" s="50">
        <f>IF(G1011="","",ROUND(G1011*H1011,2))</f>
        <v/>
      </c>
      <c r="J1011" s="50">
        <f>IF(G1011="","",G1011+N(I1011))</f>
        <v/>
      </c>
      <c r="K1011" s="45" t="n"/>
      <c r="L1011" s="47" t="n"/>
      <c r="M1011" s="48" t="n"/>
      <c r="N1011" s="49" t="n"/>
      <c r="O1011" s="50">
        <f>IF(M1011="","",ROUND(M1011*N1011,2))</f>
        <v/>
      </c>
      <c r="P1011" s="50">
        <f>IF(M1011="","",M1011+N(O1011))</f>
        <v/>
      </c>
      <c r="Q1011" s="45" t="n"/>
      <c r="R1011" s="45" t="n"/>
      <c r="S1011" s="51">
        <f>IF(L1011="","",IF(COUNTIF(L$6:L1011,L1011)&gt;1,"",SUMIF(L$6:L$2000,L1011,M$6:M$2000)-SUMIF(L$6:L$2000,L1011,G$6:G$2000)))</f>
        <v/>
      </c>
      <c r="T1011" s="46">
        <f>IF(AND(C1011="",G1011=""),"",IF(L1011="","Nog factureren",IF(AND(G1011&lt;&gt;"",OR(K1011="",K1011&gt;TODAY())),"Nog betalen",IF(OR(R1011="",R1011&gt;TODAY()),"Wacht op klant","Afgerond"))))</f>
        <v/>
      </c>
    </row>
    <row r="1012">
      <c r="A1012" s="45" t="n"/>
      <c r="B1012" s="46">
        <f>IF(A1012="","",YEAR(A1012)&amp;" Q"&amp;ROUNDUP(MONTH(A1012)/3,0))</f>
        <v/>
      </c>
      <c r="C1012" s="47" t="n"/>
      <c r="D1012" s="47" t="n"/>
      <c r="E1012" s="47" t="n"/>
      <c r="F1012" s="47" t="n"/>
      <c r="G1012" s="48" t="n"/>
      <c r="H1012" s="49" t="n"/>
      <c r="I1012" s="50">
        <f>IF(G1012="","",ROUND(G1012*H1012,2))</f>
        <v/>
      </c>
      <c r="J1012" s="50">
        <f>IF(G1012="","",G1012+N(I1012))</f>
        <v/>
      </c>
      <c r="K1012" s="45" t="n"/>
      <c r="L1012" s="47" t="n"/>
      <c r="M1012" s="48" t="n"/>
      <c r="N1012" s="49" t="n"/>
      <c r="O1012" s="50">
        <f>IF(M1012="","",ROUND(M1012*N1012,2))</f>
        <v/>
      </c>
      <c r="P1012" s="50">
        <f>IF(M1012="","",M1012+N(O1012))</f>
        <v/>
      </c>
      <c r="Q1012" s="45" t="n"/>
      <c r="R1012" s="45" t="n"/>
      <c r="S1012" s="51">
        <f>IF(L1012="","",IF(COUNTIF(L$6:L1012,L1012)&gt;1,"",SUMIF(L$6:L$2000,L1012,M$6:M$2000)-SUMIF(L$6:L$2000,L1012,G$6:G$2000)))</f>
        <v/>
      </c>
      <c r="T1012" s="46">
        <f>IF(AND(C1012="",G1012=""),"",IF(L1012="","Nog factureren",IF(AND(G1012&lt;&gt;"",OR(K1012="",K1012&gt;TODAY())),"Nog betalen",IF(OR(R1012="",R1012&gt;TODAY()),"Wacht op klant","Afgerond"))))</f>
        <v/>
      </c>
    </row>
    <row r="1013">
      <c r="A1013" s="45" t="n"/>
      <c r="B1013" s="46">
        <f>IF(A1013="","",YEAR(A1013)&amp;" Q"&amp;ROUNDUP(MONTH(A1013)/3,0))</f>
        <v/>
      </c>
      <c r="C1013" s="47" t="n"/>
      <c r="D1013" s="47" t="n"/>
      <c r="E1013" s="47" t="n"/>
      <c r="F1013" s="47" t="n"/>
      <c r="G1013" s="48" t="n"/>
      <c r="H1013" s="49" t="n"/>
      <c r="I1013" s="50">
        <f>IF(G1013="","",ROUND(G1013*H1013,2))</f>
        <v/>
      </c>
      <c r="J1013" s="50">
        <f>IF(G1013="","",G1013+N(I1013))</f>
        <v/>
      </c>
      <c r="K1013" s="45" t="n"/>
      <c r="L1013" s="47" t="n"/>
      <c r="M1013" s="48" t="n"/>
      <c r="N1013" s="49" t="n"/>
      <c r="O1013" s="50">
        <f>IF(M1013="","",ROUND(M1013*N1013,2))</f>
        <v/>
      </c>
      <c r="P1013" s="50">
        <f>IF(M1013="","",M1013+N(O1013))</f>
        <v/>
      </c>
      <c r="Q1013" s="45" t="n"/>
      <c r="R1013" s="45" t="n"/>
      <c r="S1013" s="51">
        <f>IF(L1013="","",IF(COUNTIF(L$6:L1013,L1013)&gt;1,"",SUMIF(L$6:L$2000,L1013,M$6:M$2000)-SUMIF(L$6:L$2000,L1013,G$6:G$2000)))</f>
        <v/>
      </c>
      <c r="T1013" s="46">
        <f>IF(AND(C1013="",G1013=""),"",IF(L1013="","Nog factureren",IF(AND(G1013&lt;&gt;"",OR(K1013="",K1013&gt;TODAY())),"Nog betalen",IF(OR(R1013="",R1013&gt;TODAY()),"Wacht op klant","Afgerond"))))</f>
        <v/>
      </c>
    </row>
    <row r="1014">
      <c r="A1014" s="45" t="n"/>
      <c r="B1014" s="46">
        <f>IF(A1014="","",YEAR(A1014)&amp;" Q"&amp;ROUNDUP(MONTH(A1014)/3,0))</f>
        <v/>
      </c>
      <c r="C1014" s="47" t="n"/>
      <c r="D1014" s="47" t="n"/>
      <c r="E1014" s="47" t="n"/>
      <c r="F1014" s="47" t="n"/>
      <c r="G1014" s="48" t="n"/>
      <c r="H1014" s="49" t="n"/>
      <c r="I1014" s="50">
        <f>IF(G1014="","",ROUND(G1014*H1014,2))</f>
        <v/>
      </c>
      <c r="J1014" s="50">
        <f>IF(G1014="","",G1014+N(I1014))</f>
        <v/>
      </c>
      <c r="K1014" s="45" t="n"/>
      <c r="L1014" s="47" t="n"/>
      <c r="M1014" s="48" t="n"/>
      <c r="N1014" s="49" t="n"/>
      <c r="O1014" s="50">
        <f>IF(M1014="","",ROUND(M1014*N1014,2))</f>
        <v/>
      </c>
      <c r="P1014" s="50">
        <f>IF(M1014="","",M1014+N(O1014))</f>
        <v/>
      </c>
      <c r="Q1014" s="45" t="n"/>
      <c r="R1014" s="45" t="n"/>
      <c r="S1014" s="51">
        <f>IF(L1014="","",IF(COUNTIF(L$6:L1014,L1014)&gt;1,"",SUMIF(L$6:L$2000,L1014,M$6:M$2000)-SUMIF(L$6:L$2000,L1014,G$6:G$2000)))</f>
        <v/>
      </c>
      <c r="T1014" s="46">
        <f>IF(AND(C1014="",G1014=""),"",IF(L1014="","Nog factureren",IF(AND(G1014&lt;&gt;"",OR(K1014="",K1014&gt;TODAY())),"Nog betalen",IF(OR(R1014="",R1014&gt;TODAY()),"Wacht op klant","Afgerond"))))</f>
        <v/>
      </c>
    </row>
    <row r="1015">
      <c r="A1015" s="45" t="n"/>
      <c r="B1015" s="46">
        <f>IF(A1015="","",YEAR(A1015)&amp;" Q"&amp;ROUNDUP(MONTH(A1015)/3,0))</f>
        <v/>
      </c>
      <c r="C1015" s="47" t="n"/>
      <c r="D1015" s="47" t="n"/>
      <c r="E1015" s="47" t="n"/>
      <c r="F1015" s="47" t="n"/>
      <c r="G1015" s="48" t="n"/>
      <c r="H1015" s="49" t="n"/>
      <c r="I1015" s="50">
        <f>IF(G1015="","",ROUND(G1015*H1015,2))</f>
        <v/>
      </c>
      <c r="J1015" s="50">
        <f>IF(G1015="","",G1015+N(I1015))</f>
        <v/>
      </c>
      <c r="K1015" s="45" t="n"/>
      <c r="L1015" s="47" t="n"/>
      <c r="M1015" s="48" t="n"/>
      <c r="N1015" s="49" t="n"/>
      <c r="O1015" s="50">
        <f>IF(M1015="","",ROUND(M1015*N1015,2))</f>
        <v/>
      </c>
      <c r="P1015" s="50">
        <f>IF(M1015="","",M1015+N(O1015))</f>
        <v/>
      </c>
      <c r="Q1015" s="45" t="n"/>
      <c r="R1015" s="45" t="n"/>
      <c r="S1015" s="51">
        <f>IF(L1015="","",IF(COUNTIF(L$6:L1015,L1015)&gt;1,"",SUMIF(L$6:L$2000,L1015,M$6:M$2000)-SUMIF(L$6:L$2000,L1015,G$6:G$2000)))</f>
        <v/>
      </c>
      <c r="T1015" s="46">
        <f>IF(AND(C1015="",G1015=""),"",IF(L1015="","Nog factureren",IF(AND(G1015&lt;&gt;"",OR(K1015="",K1015&gt;TODAY())),"Nog betalen",IF(OR(R1015="",R1015&gt;TODAY()),"Wacht op klant","Afgerond"))))</f>
        <v/>
      </c>
    </row>
    <row r="1016">
      <c r="A1016" s="45" t="n"/>
      <c r="B1016" s="46">
        <f>IF(A1016="","",YEAR(A1016)&amp;" Q"&amp;ROUNDUP(MONTH(A1016)/3,0))</f>
        <v/>
      </c>
      <c r="C1016" s="47" t="n"/>
      <c r="D1016" s="47" t="n"/>
      <c r="E1016" s="47" t="n"/>
      <c r="F1016" s="47" t="n"/>
      <c r="G1016" s="48" t="n"/>
      <c r="H1016" s="49" t="n"/>
      <c r="I1016" s="50">
        <f>IF(G1016="","",ROUND(G1016*H1016,2))</f>
        <v/>
      </c>
      <c r="J1016" s="50">
        <f>IF(G1016="","",G1016+N(I1016))</f>
        <v/>
      </c>
      <c r="K1016" s="45" t="n"/>
      <c r="L1016" s="47" t="n"/>
      <c r="M1016" s="48" t="n"/>
      <c r="N1016" s="49" t="n"/>
      <c r="O1016" s="50">
        <f>IF(M1016="","",ROUND(M1016*N1016,2))</f>
        <v/>
      </c>
      <c r="P1016" s="50">
        <f>IF(M1016="","",M1016+N(O1016))</f>
        <v/>
      </c>
      <c r="Q1016" s="45" t="n"/>
      <c r="R1016" s="45" t="n"/>
      <c r="S1016" s="51">
        <f>IF(L1016="","",IF(COUNTIF(L$6:L1016,L1016)&gt;1,"",SUMIF(L$6:L$2000,L1016,M$6:M$2000)-SUMIF(L$6:L$2000,L1016,G$6:G$2000)))</f>
        <v/>
      </c>
      <c r="T1016" s="46">
        <f>IF(AND(C1016="",G1016=""),"",IF(L1016="","Nog factureren",IF(AND(G1016&lt;&gt;"",OR(K1016="",K1016&gt;TODAY())),"Nog betalen",IF(OR(R1016="",R1016&gt;TODAY()),"Wacht op klant","Afgerond"))))</f>
        <v/>
      </c>
    </row>
    <row r="1017">
      <c r="A1017" s="45" t="n"/>
      <c r="B1017" s="46">
        <f>IF(A1017="","",YEAR(A1017)&amp;" Q"&amp;ROUNDUP(MONTH(A1017)/3,0))</f>
        <v/>
      </c>
      <c r="C1017" s="47" t="n"/>
      <c r="D1017" s="47" t="n"/>
      <c r="E1017" s="47" t="n"/>
      <c r="F1017" s="47" t="n"/>
      <c r="G1017" s="48" t="n"/>
      <c r="H1017" s="49" t="n"/>
      <c r="I1017" s="50">
        <f>IF(G1017="","",ROUND(G1017*H1017,2))</f>
        <v/>
      </c>
      <c r="J1017" s="50">
        <f>IF(G1017="","",G1017+N(I1017))</f>
        <v/>
      </c>
      <c r="K1017" s="45" t="n"/>
      <c r="L1017" s="47" t="n"/>
      <c r="M1017" s="48" t="n"/>
      <c r="N1017" s="49" t="n"/>
      <c r="O1017" s="50">
        <f>IF(M1017="","",ROUND(M1017*N1017,2))</f>
        <v/>
      </c>
      <c r="P1017" s="50">
        <f>IF(M1017="","",M1017+N(O1017))</f>
        <v/>
      </c>
      <c r="Q1017" s="45" t="n"/>
      <c r="R1017" s="45" t="n"/>
      <c r="S1017" s="51">
        <f>IF(L1017="","",IF(COUNTIF(L$6:L1017,L1017)&gt;1,"",SUMIF(L$6:L$2000,L1017,M$6:M$2000)-SUMIF(L$6:L$2000,L1017,G$6:G$2000)))</f>
        <v/>
      </c>
      <c r="T1017" s="46">
        <f>IF(AND(C1017="",G1017=""),"",IF(L1017="","Nog factureren",IF(AND(G1017&lt;&gt;"",OR(K1017="",K1017&gt;TODAY())),"Nog betalen",IF(OR(R1017="",R1017&gt;TODAY()),"Wacht op klant","Afgerond"))))</f>
        <v/>
      </c>
    </row>
    <row r="1018">
      <c r="A1018" s="45" t="n"/>
      <c r="B1018" s="46">
        <f>IF(A1018="","",YEAR(A1018)&amp;" Q"&amp;ROUNDUP(MONTH(A1018)/3,0))</f>
        <v/>
      </c>
      <c r="C1018" s="47" t="n"/>
      <c r="D1018" s="47" t="n"/>
      <c r="E1018" s="47" t="n"/>
      <c r="F1018" s="47" t="n"/>
      <c r="G1018" s="48" t="n"/>
      <c r="H1018" s="49" t="n"/>
      <c r="I1018" s="50">
        <f>IF(G1018="","",ROUND(G1018*H1018,2))</f>
        <v/>
      </c>
      <c r="J1018" s="50">
        <f>IF(G1018="","",G1018+N(I1018))</f>
        <v/>
      </c>
      <c r="K1018" s="45" t="n"/>
      <c r="L1018" s="47" t="n"/>
      <c r="M1018" s="48" t="n"/>
      <c r="N1018" s="49" t="n"/>
      <c r="O1018" s="50">
        <f>IF(M1018="","",ROUND(M1018*N1018,2))</f>
        <v/>
      </c>
      <c r="P1018" s="50">
        <f>IF(M1018="","",M1018+N(O1018))</f>
        <v/>
      </c>
      <c r="Q1018" s="45" t="n"/>
      <c r="R1018" s="45" t="n"/>
      <c r="S1018" s="51">
        <f>IF(L1018="","",IF(COUNTIF(L$6:L1018,L1018)&gt;1,"",SUMIF(L$6:L$2000,L1018,M$6:M$2000)-SUMIF(L$6:L$2000,L1018,G$6:G$2000)))</f>
        <v/>
      </c>
      <c r="T1018" s="46">
        <f>IF(AND(C1018="",G1018=""),"",IF(L1018="","Nog factureren",IF(AND(G1018&lt;&gt;"",OR(K1018="",K1018&gt;TODAY())),"Nog betalen",IF(OR(R1018="",R1018&gt;TODAY()),"Wacht op klant","Afgerond"))))</f>
        <v/>
      </c>
    </row>
    <row r="1019">
      <c r="A1019" s="45" t="n"/>
      <c r="B1019" s="46">
        <f>IF(A1019="","",YEAR(A1019)&amp;" Q"&amp;ROUNDUP(MONTH(A1019)/3,0))</f>
        <v/>
      </c>
      <c r="C1019" s="47" t="n"/>
      <c r="D1019" s="47" t="n"/>
      <c r="E1019" s="47" t="n"/>
      <c r="F1019" s="47" t="n"/>
      <c r="G1019" s="48" t="n"/>
      <c r="H1019" s="49" t="n"/>
      <c r="I1019" s="50">
        <f>IF(G1019="","",ROUND(G1019*H1019,2))</f>
        <v/>
      </c>
      <c r="J1019" s="50">
        <f>IF(G1019="","",G1019+N(I1019))</f>
        <v/>
      </c>
      <c r="K1019" s="45" t="n"/>
      <c r="L1019" s="47" t="n"/>
      <c r="M1019" s="48" t="n"/>
      <c r="N1019" s="49" t="n"/>
      <c r="O1019" s="50">
        <f>IF(M1019="","",ROUND(M1019*N1019,2))</f>
        <v/>
      </c>
      <c r="P1019" s="50">
        <f>IF(M1019="","",M1019+N(O1019))</f>
        <v/>
      </c>
      <c r="Q1019" s="45" t="n"/>
      <c r="R1019" s="45" t="n"/>
      <c r="S1019" s="51">
        <f>IF(L1019="","",IF(COUNTIF(L$6:L1019,L1019)&gt;1,"",SUMIF(L$6:L$2000,L1019,M$6:M$2000)-SUMIF(L$6:L$2000,L1019,G$6:G$2000)))</f>
        <v/>
      </c>
      <c r="T1019" s="46">
        <f>IF(AND(C1019="",G1019=""),"",IF(L1019="","Nog factureren",IF(AND(G1019&lt;&gt;"",OR(K1019="",K1019&gt;TODAY())),"Nog betalen",IF(OR(R1019="",R1019&gt;TODAY()),"Wacht op klant","Afgerond"))))</f>
        <v/>
      </c>
    </row>
    <row r="1020">
      <c r="A1020" s="45" t="n"/>
      <c r="B1020" s="46">
        <f>IF(A1020="","",YEAR(A1020)&amp;" Q"&amp;ROUNDUP(MONTH(A1020)/3,0))</f>
        <v/>
      </c>
      <c r="C1020" s="47" t="n"/>
      <c r="D1020" s="47" t="n"/>
      <c r="E1020" s="47" t="n"/>
      <c r="F1020" s="47" t="n"/>
      <c r="G1020" s="48" t="n"/>
      <c r="H1020" s="49" t="n"/>
      <c r="I1020" s="50">
        <f>IF(G1020="","",ROUND(G1020*H1020,2))</f>
        <v/>
      </c>
      <c r="J1020" s="50">
        <f>IF(G1020="","",G1020+N(I1020))</f>
        <v/>
      </c>
      <c r="K1020" s="45" t="n"/>
      <c r="L1020" s="47" t="n"/>
      <c r="M1020" s="48" t="n"/>
      <c r="N1020" s="49" t="n"/>
      <c r="O1020" s="50">
        <f>IF(M1020="","",ROUND(M1020*N1020,2))</f>
        <v/>
      </c>
      <c r="P1020" s="50">
        <f>IF(M1020="","",M1020+N(O1020))</f>
        <v/>
      </c>
      <c r="Q1020" s="45" t="n"/>
      <c r="R1020" s="45" t="n"/>
      <c r="S1020" s="51">
        <f>IF(L1020="","",IF(COUNTIF(L$6:L1020,L1020)&gt;1,"",SUMIF(L$6:L$2000,L1020,M$6:M$2000)-SUMIF(L$6:L$2000,L1020,G$6:G$2000)))</f>
        <v/>
      </c>
      <c r="T1020" s="46">
        <f>IF(AND(C1020="",G1020=""),"",IF(L1020="","Nog factureren",IF(AND(G1020&lt;&gt;"",OR(K1020="",K1020&gt;TODAY())),"Nog betalen",IF(OR(R1020="",R1020&gt;TODAY()),"Wacht op klant","Afgerond"))))</f>
        <v/>
      </c>
    </row>
    <row r="1021">
      <c r="A1021" s="45" t="n"/>
      <c r="B1021" s="46">
        <f>IF(A1021="","",YEAR(A1021)&amp;" Q"&amp;ROUNDUP(MONTH(A1021)/3,0))</f>
        <v/>
      </c>
      <c r="C1021" s="47" t="n"/>
      <c r="D1021" s="47" t="n"/>
      <c r="E1021" s="47" t="n"/>
      <c r="F1021" s="47" t="n"/>
      <c r="G1021" s="48" t="n"/>
      <c r="H1021" s="49" t="n"/>
      <c r="I1021" s="50">
        <f>IF(G1021="","",ROUND(G1021*H1021,2))</f>
        <v/>
      </c>
      <c r="J1021" s="50">
        <f>IF(G1021="","",G1021+N(I1021))</f>
        <v/>
      </c>
      <c r="K1021" s="45" t="n"/>
      <c r="L1021" s="47" t="n"/>
      <c r="M1021" s="48" t="n"/>
      <c r="N1021" s="49" t="n"/>
      <c r="O1021" s="50">
        <f>IF(M1021="","",ROUND(M1021*N1021,2))</f>
        <v/>
      </c>
      <c r="P1021" s="50">
        <f>IF(M1021="","",M1021+N(O1021))</f>
        <v/>
      </c>
      <c r="Q1021" s="45" t="n"/>
      <c r="R1021" s="45" t="n"/>
      <c r="S1021" s="51">
        <f>IF(L1021="","",IF(COUNTIF(L$6:L1021,L1021)&gt;1,"",SUMIF(L$6:L$2000,L1021,M$6:M$2000)-SUMIF(L$6:L$2000,L1021,G$6:G$2000)))</f>
        <v/>
      </c>
      <c r="T1021" s="46">
        <f>IF(AND(C1021="",G1021=""),"",IF(L1021="","Nog factureren",IF(AND(G1021&lt;&gt;"",OR(K1021="",K1021&gt;TODAY())),"Nog betalen",IF(OR(R1021="",R1021&gt;TODAY()),"Wacht op klant","Afgerond"))))</f>
        <v/>
      </c>
    </row>
    <row r="1022">
      <c r="A1022" s="45" t="n"/>
      <c r="B1022" s="46">
        <f>IF(A1022="","",YEAR(A1022)&amp;" Q"&amp;ROUNDUP(MONTH(A1022)/3,0))</f>
        <v/>
      </c>
      <c r="C1022" s="47" t="n"/>
      <c r="D1022" s="47" t="n"/>
      <c r="E1022" s="47" t="n"/>
      <c r="F1022" s="47" t="n"/>
      <c r="G1022" s="48" t="n"/>
      <c r="H1022" s="49" t="n"/>
      <c r="I1022" s="50">
        <f>IF(G1022="","",ROUND(G1022*H1022,2))</f>
        <v/>
      </c>
      <c r="J1022" s="50">
        <f>IF(G1022="","",G1022+N(I1022))</f>
        <v/>
      </c>
      <c r="K1022" s="45" t="n"/>
      <c r="L1022" s="47" t="n"/>
      <c r="M1022" s="48" t="n"/>
      <c r="N1022" s="49" t="n"/>
      <c r="O1022" s="50">
        <f>IF(M1022="","",ROUND(M1022*N1022,2))</f>
        <v/>
      </c>
      <c r="P1022" s="50">
        <f>IF(M1022="","",M1022+N(O1022))</f>
        <v/>
      </c>
      <c r="Q1022" s="45" t="n"/>
      <c r="R1022" s="45" t="n"/>
      <c r="S1022" s="51">
        <f>IF(L1022="","",IF(COUNTIF(L$6:L1022,L1022)&gt;1,"",SUMIF(L$6:L$2000,L1022,M$6:M$2000)-SUMIF(L$6:L$2000,L1022,G$6:G$2000)))</f>
        <v/>
      </c>
      <c r="T1022" s="46">
        <f>IF(AND(C1022="",G1022=""),"",IF(L1022="","Nog factureren",IF(AND(G1022&lt;&gt;"",OR(K1022="",K1022&gt;TODAY())),"Nog betalen",IF(OR(R1022="",R1022&gt;TODAY()),"Wacht op klant","Afgerond"))))</f>
        <v/>
      </c>
    </row>
    <row r="1023">
      <c r="A1023" s="45" t="n"/>
      <c r="B1023" s="46">
        <f>IF(A1023="","",YEAR(A1023)&amp;" Q"&amp;ROUNDUP(MONTH(A1023)/3,0))</f>
        <v/>
      </c>
      <c r="C1023" s="47" t="n"/>
      <c r="D1023" s="47" t="n"/>
      <c r="E1023" s="47" t="n"/>
      <c r="F1023" s="47" t="n"/>
      <c r="G1023" s="48" t="n"/>
      <c r="H1023" s="49" t="n"/>
      <c r="I1023" s="50">
        <f>IF(G1023="","",ROUND(G1023*H1023,2))</f>
        <v/>
      </c>
      <c r="J1023" s="50">
        <f>IF(G1023="","",G1023+N(I1023))</f>
        <v/>
      </c>
      <c r="K1023" s="45" t="n"/>
      <c r="L1023" s="47" t="n"/>
      <c r="M1023" s="48" t="n"/>
      <c r="N1023" s="49" t="n"/>
      <c r="O1023" s="50">
        <f>IF(M1023="","",ROUND(M1023*N1023,2))</f>
        <v/>
      </c>
      <c r="P1023" s="50">
        <f>IF(M1023="","",M1023+N(O1023))</f>
        <v/>
      </c>
      <c r="Q1023" s="45" t="n"/>
      <c r="R1023" s="45" t="n"/>
      <c r="S1023" s="51">
        <f>IF(L1023="","",IF(COUNTIF(L$6:L1023,L1023)&gt;1,"",SUMIF(L$6:L$2000,L1023,M$6:M$2000)-SUMIF(L$6:L$2000,L1023,G$6:G$2000)))</f>
        <v/>
      </c>
      <c r="T1023" s="46">
        <f>IF(AND(C1023="",G1023=""),"",IF(L1023="","Nog factureren",IF(AND(G1023&lt;&gt;"",OR(K1023="",K1023&gt;TODAY())),"Nog betalen",IF(OR(R1023="",R1023&gt;TODAY()),"Wacht op klant","Afgerond"))))</f>
        <v/>
      </c>
    </row>
    <row r="1024">
      <c r="A1024" s="45" t="n"/>
      <c r="B1024" s="46">
        <f>IF(A1024="","",YEAR(A1024)&amp;" Q"&amp;ROUNDUP(MONTH(A1024)/3,0))</f>
        <v/>
      </c>
      <c r="C1024" s="47" t="n"/>
      <c r="D1024" s="47" t="n"/>
      <c r="E1024" s="47" t="n"/>
      <c r="F1024" s="47" t="n"/>
      <c r="G1024" s="48" t="n"/>
      <c r="H1024" s="49" t="n"/>
      <c r="I1024" s="50">
        <f>IF(G1024="","",ROUND(G1024*H1024,2))</f>
        <v/>
      </c>
      <c r="J1024" s="50">
        <f>IF(G1024="","",G1024+N(I1024))</f>
        <v/>
      </c>
      <c r="K1024" s="45" t="n"/>
      <c r="L1024" s="47" t="n"/>
      <c r="M1024" s="48" t="n"/>
      <c r="N1024" s="49" t="n"/>
      <c r="O1024" s="50">
        <f>IF(M1024="","",ROUND(M1024*N1024,2))</f>
        <v/>
      </c>
      <c r="P1024" s="50">
        <f>IF(M1024="","",M1024+N(O1024))</f>
        <v/>
      </c>
      <c r="Q1024" s="45" t="n"/>
      <c r="R1024" s="45" t="n"/>
      <c r="S1024" s="51">
        <f>IF(L1024="","",IF(COUNTIF(L$6:L1024,L1024)&gt;1,"",SUMIF(L$6:L$2000,L1024,M$6:M$2000)-SUMIF(L$6:L$2000,L1024,G$6:G$2000)))</f>
        <v/>
      </c>
      <c r="T1024" s="46">
        <f>IF(AND(C1024="",G1024=""),"",IF(L1024="","Nog factureren",IF(AND(G1024&lt;&gt;"",OR(K1024="",K1024&gt;TODAY())),"Nog betalen",IF(OR(R1024="",R1024&gt;TODAY()),"Wacht op klant","Afgerond"))))</f>
        <v/>
      </c>
    </row>
    <row r="1025">
      <c r="A1025" s="45" t="n"/>
      <c r="B1025" s="46">
        <f>IF(A1025="","",YEAR(A1025)&amp;" Q"&amp;ROUNDUP(MONTH(A1025)/3,0))</f>
        <v/>
      </c>
      <c r="C1025" s="47" t="n"/>
      <c r="D1025" s="47" t="n"/>
      <c r="E1025" s="47" t="n"/>
      <c r="F1025" s="47" t="n"/>
      <c r="G1025" s="48" t="n"/>
      <c r="H1025" s="49" t="n"/>
      <c r="I1025" s="50">
        <f>IF(G1025="","",ROUND(G1025*H1025,2))</f>
        <v/>
      </c>
      <c r="J1025" s="50">
        <f>IF(G1025="","",G1025+N(I1025))</f>
        <v/>
      </c>
      <c r="K1025" s="45" t="n"/>
      <c r="L1025" s="47" t="n"/>
      <c r="M1025" s="48" t="n"/>
      <c r="N1025" s="49" t="n"/>
      <c r="O1025" s="50">
        <f>IF(M1025="","",ROUND(M1025*N1025,2))</f>
        <v/>
      </c>
      <c r="P1025" s="50">
        <f>IF(M1025="","",M1025+N(O1025))</f>
        <v/>
      </c>
      <c r="Q1025" s="45" t="n"/>
      <c r="R1025" s="45" t="n"/>
      <c r="S1025" s="51">
        <f>IF(L1025="","",IF(COUNTIF(L$6:L1025,L1025)&gt;1,"",SUMIF(L$6:L$2000,L1025,M$6:M$2000)-SUMIF(L$6:L$2000,L1025,G$6:G$2000)))</f>
        <v/>
      </c>
      <c r="T1025" s="46">
        <f>IF(AND(C1025="",G1025=""),"",IF(L1025="","Nog factureren",IF(AND(G1025&lt;&gt;"",OR(K1025="",K1025&gt;TODAY())),"Nog betalen",IF(OR(R1025="",R1025&gt;TODAY()),"Wacht op klant","Afgerond"))))</f>
        <v/>
      </c>
    </row>
    <row r="1026">
      <c r="A1026" s="45" t="n"/>
      <c r="B1026" s="46">
        <f>IF(A1026="","",YEAR(A1026)&amp;" Q"&amp;ROUNDUP(MONTH(A1026)/3,0))</f>
        <v/>
      </c>
      <c r="C1026" s="47" t="n"/>
      <c r="D1026" s="47" t="n"/>
      <c r="E1026" s="47" t="n"/>
      <c r="F1026" s="47" t="n"/>
      <c r="G1026" s="48" t="n"/>
      <c r="H1026" s="49" t="n"/>
      <c r="I1026" s="50">
        <f>IF(G1026="","",ROUND(G1026*H1026,2))</f>
        <v/>
      </c>
      <c r="J1026" s="50">
        <f>IF(G1026="","",G1026+N(I1026))</f>
        <v/>
      </c>
      <c r="K1026" s="45" t="n"/>
      <c r="L1026" s="47" t="n"/>
      <c r="M1026" s="48" t="n"/>
      <c r="N1026" s="49" t="n"/>
      <c r="O1026" s="50">
        <f>IF(M1026="","",ROUND(M1026*N1026,2))</f>
        <v/>
      </c>
      <c r="P1026" s="50">
        <f>IF(M1026="","",M1026+N(O1026))</f>
        <v/>
      </c>
      <c r="Q1026" s="45" t="n"/>
      <c r="R1026" s="45" t="n"/>
      <c r="S1026" s="51">
        <f>IF(L1026="","",IF(COUNTIF(L$6:L1026,L1026)&gt;1,"",SUMIF(L$6:L$2000,L1026,M$6:M$2000)-SUMIF(L$6:L$2000,L1026,G$6:G$2000)))</f>
        <v/>
      </c>
      <c r="T1026" s="46">
        <f>IF(AND(C1026="",G1026=""),"",IF(L1026="","Nog factureren",IF(AND(G1026&lt;&gt;"",OR(K1026="",K1026&gt;TODAY())),"Nog betalen",IF(OR(R1026="",R1026&gt;TODAY()),"Wacht op klant","Afgerond"))))</f>
        <v/>
      </c>
    </row>
    <row r="1027">
      <c r="A1027" s="45" t="n"/>
      <c r="B1027" s="46">
        <f>IF(A1027="","",YEAR(A1027)&amp;" Q"&amp;ROUNDUP(MONTH(A1027)/3,0))</f>
        <v/>
      </c>
      <c r="C1027" s="47" t="n"/>
      <c r="D1027" s="47" t="n"/>
      <c r="E1027" s="47" t="n"/>
      <c r="F1027" s="47" t="n"/>
      <c r="G1027" s="48" t="n"/>
      <c r="H1027" s="49" t="n"/>
      <c r="I1027" s="50">
        <f>IF(G1027="","",ROUND(G1027*H1027,2))</f>
        <v/>
      </c>
      <c r="J1027" s="50">
        <f>IF(G1027="","",G1027+N(I1027))</f>
        <v/>
      </c>
      <c r="K1027" s="45" t="n"/>
      <c r="L1027" s="47" t="n"/>
      <c r="M1027" s="48" t="n"/>
      <c r="N1027" s="49" t="n"/>
      <c r="O1027" s="50">
        <f>IF(M1027="","",ROUND(M1027*N1027,2))</f>
        <v/>
      </c>
      <c r="P1027" s="50">
        <f>IF(M1027="","",M1027+N(O1027))</f>
        <v/>
      </c>
      <c r="Q1027" s="45" t="n"/>
      <c r="R1027" s="45" t="n"/>
      <c r="S1027" s="51">
        <f>IF(L1027="","",IF(COUNTIF(L$6:L1027,L1027)&gt;1,"",SUMIF(L$6:L$2000,L1027,M$6:M$2000)-SUMIF(L$6:L$2000,L1027,G$6:G$2000)))</f>
        <v/>
      </c>
      <c r="T1027" s="46">
        <f>IF(AND(C1027="",G1027=""),"",IF(L1027="","Nog factureren",IF(AND(G1027&lt;&gt;"",OR(K1027="",K1027&gt;TODAY())),"Nog betalen",IF(OR(R1027="",R1027&gt;TODAY()),"Wacht op klant","Afgerond"))))</f>
        <v/>
      </c>
    </row>
    <row r="1028">
      <c r="A1028" s="45" t="n"/>
      <c r="B1028" s="46">
        <f>IF(A1028="","",YEAR(A1028)&amp;" Q"&amp;ROUNDUP(MONTH(A1028)/3,0))</f>
        <v/>
      </c>
      <c r="C1028" s="47" t="n"/>
      <c r="D1028" s="47" t="n"/>
      <c r="E1028" s="47" t="n"/>
      <c r="F1028" s="47" t="n"/>
      <c r="G1028" s="48" t="n"/>
      <c r="H1028" s="49" t="n"/>
      <c r="I1028" s="50">
        <f>IF(G1028="","",ROUND(G1028*H1028,2))</f>
        <v/>
      </c>
      <c r="J1028" s="50">
        <f>IF(G1028="","",G1028+N(I1028))</f>
        <v/>
      </c>
      <c r="K1028" s="45" t="n"/>
      <c r="L1028" s="47" t="n"/>
      <c r="M1028" s="48" t="n"/>
      <c r="N1028" s="49" t="n"/>
      <c r="O1028" s="50">
        <f>IF(M1028="","",ROUND(M1028*N1028,2))</f>
        <v/>
      </c>
      <c r="P1028" s="50">
        <f>IF(M1028="","",M1028+N(O1028))</f>
        <v/>
      </c>
      <c r="Q1028" s="45" t="n"/>
      <c r="R1028" s="45" t="n"/>
      <c r="S1028" s="51">
        <f>IF(L1028="","",IF(COUNTIF(L$6:L1028,L1028)&gt;1,"",SUMIF(L$6:L$2000,L1028,M$6:M$2000)-SUMIF(L$6:L$2000,L1028,G$6:G$2000)))</f>
        <v/>
      </c>
      <c r="T1028" s="46">
        <f>IF(AND(C1028="",G1028=""),"",IF(L1028="","Nog factureren",IF(AND(G1028&lt;&gt;"",OR(K1028="",K1028&gt;TODAY())),"Nog betalen",IF(OR(R1028="",R1028&gt;TODAY()),"Wacht op klant","Afgerond"))))</f>
        <v/>
      </c>
    </row>
    <row r="1029">
      <c r="A1029" s="45" t="n"/>
      <c r="B1029" s="46">
        <f>IF(A1029="","",YEAR(A1029)&amp;" Q"&amp;ROUNDUP(MONTH(A1029)/3,0))</f>
        <v/>
      </c>
      <c r="C1029" s="47" t="n"/>
      <c r="D1029" s="47" t="n"/>
      <c r="E1029" s="47" t="n"/>
      <c r="F1029" s="47" t="n"/>
      <c r="G1029" s="48" t="n"/>
      <c r="H1029" s="49" t="n"/>
      <c r="I1029" s="50">
        <f>IF(G1029="","",ROUND(G1029*H1029,2))</f>
        <v/>
      </c>
      <c r="J1029" s="50">
        <f>IF(G1029="","",G1029+N(I1029))</f>
        <v/>
      </c>
      <c r="K1029" s="45" t="n"/>
      <c r="L1029" s="47" t="n"/>
      <c r="M1029" s="48" t="n"/>
      <c r="N1029" s="49" t="n"/>
      <c r="O1029" s="50">
        <f>IF(M1029="","",ROUND(M1029*N1029,2))</f>
        <v/>
      </c>
      <c r="P1029" s="50">
        <f>IF(M1029="","",M1029+N(O1029))</f>
        <v/>
      </c>
      <c r="Q1029" s="45" t="n"/>
      <c r="R1029" s="45" t="n"/>
      <c r="S1029" s="51">
        <f>IF(L1029="","",IF(COUNTIF(L$6:L1029,L1029)&gt;1,"",SUMIF(L$6:L$2000,L1029,M$6:M$2000)-SUMIF(L$6:L$2000,L1029,G$6:G$2000)))</f>
        <v/>
      </c>
      <c r="T1029" s="46">
        <f>IF(AND(C1029="",G1029=""),"",IF(L1029="","Nog factureren",IF(AND(G1029&lt;&gt;"",OR(K1029="",K1029&gt;TODAY())),"Nog betalen",IF(OR(R1029="",R1029&gt;TODAY()),"Wacht op klant","Afgerond"))))</f>
        <v/>
      </c>
    </row>
    <row r="1030">
      <c r="A1030" s="45" t="n"/>
      <c r="B1030" s="46">
        <f>IF(A1030="","",YEAR(A1030)&amp;" Q"&amp;ROUNDUP(MONTH(A1030)/3,0))</f>
        <v/>
      </c>
      <c r="C1030" s="47" t="n"/>
      <c r="D1030" s="47" t="n"/>
      <c r="E1030" s="47" t="n"/>
      <c r="F1030" s="47" t="n"/>
      <c r="G1030" s="48" t="n"/>
      <c r="H1030" s="49" t="n"/>
      <c r="I1030" s="50">
        <f>IF(G1030="","",ROUND(G1030*H1030,2))</f>
        <v/>
      </c>
      <c r="J1030" s="50">
        <f>IF(G1030="","",G1030+N(I1030))</f>
        <v/>
      </c>
      <c r="K1030" s="45" t="n"/>
      <c r="L1030" s="47" t="n"/>
      <c r="M1030" s="48" t="n"/>
      <c r="N1030" s="49" t="n"/>
      <c r="O1030" s="50">
        <f>IF(M1030="","",ROUND(M1030*N1030,2))</f>
        <v/>
      </c>
      <c r="P1030" s="50">
        <f>IF(M1030="","",M1030+N(O1030))</f>
        <v/>
      </c>
      <c r="Q1030" s="45" t="n"/>
      <c r="R1030" s="45" t="n"/>
      <c r="S1030" s="51">
        <f>IF(L1030="","",IF(COUNTIF(L$6:L1030,L1030)&gt;1,"",SUMIF(L$6:L$2000,L1030,M$6:M$2000)-SUMIF(L$6:L$2000,L1030,G$6:G$2000)))</f>
        <v/>
      </c>
      <c r="T1030" s="46">
        <f>IF(AND(C1030="",G1030=""),"",IF(L1030="","Nog factureren",IF(AND(G1030&lt;&gt;"",OR(K1030="",K1030&gt;TODAY())),"Nog betalen",IF(OR(R1030="",R1030&gt;TODAY()),"Wacht op klant","Afgerond"))))</f>
        <v/>
      </c>
    </row>
    <row r="1031">
      <c r="A1031" s="45" t="n"/>
      <c r="B1031" s="46">
        <f>IF(A1031="","",YEAR(A1031)&amp;" Q"&amp;ROUNDUP(MONTH(A1031)/3,0))</f>
        <v/>
      </c>
      <c r="C1031" s="47" t="n"/>
      <c r="D1031" s="47" t="n"/>
      <c r="E1031" s="47" t="n"/>
      <c r="F1031" s="47" t="n"/>
      <c r="G1031" s="48" t="n"/>
      <c r="H1031" s="49" t="n"/>
      <c r="I1031" s="50">
        <f>IF(G1031="","",ROUND(G1031*H1031,2))</f>
        <v/>
      </c>
      <c r="J1031" s="50">
        <f>IF(G1031="","",G1031+N(I1031))</f>
        <v/>
      </c>
      <c r="K1031" s="45" t="n"/>
      <c r="L1031" s="47" t="n"/>
      <c r="M1031" s="48" t="n"/>
      <c r="N1031" s="49" t="n"/>
      <c r="O1031" s="50">
        <f>IF(M1031="","",ROUND(M1031*N1031,2))</f>
        <v/>
      </c>
      <c r="P1031" s="50">
        <f>IF(M1031="","",M1031+N(O1031))</f>
        <v/>
      </c>
      <c r="Q1031" s="45" t="n"/>
      <c r="R1031" s="45" t="n"/>
      <c r="S1031" s="51">
        <f>IF(L1031="","",IF(COUNTIF(L$6:L1031,L1031)&gt;1,"",SUMIF(L$6:L$2000,L1031,M$6:M$2000)-SUMIF(L$6:L$2000,L1031,G$6:G$2000)))</f>
        <v/>
      </c>
      <c r="T1031" s="46">
        <f>IF(AND(C1031="",G1031=""),"",IF(L1031="","Nog factureren",IF(AND(G1031&lt;&gt;"",OR(K1031="",K1031&gt;TODAY())),"Nog betalen",IF(OR(R1031="",R1031&gt;TODAY()),"Wacht op klant","Afgerond"))))</f>
        <v/>
      </c>
    </row>
    <row r="1032">
      <c r="A1032" s="45" t="n"/>
      <c r="B1032" s="46">
        <f>IF(A1032="","",YEAR(A1032)&amp;" Q"&amp;ROUNDUP(MONTH(A1032)/3,0))</f>
        <v/>
      </c>
      <c r="C1032" s="47" t="n"/>
      <c r="D1032" s="47" t="n"/>
      <c r="E1032" s="47" t="n"/>
      <c r="F1032" s="47" t="n"/>
      <c r="G1032" s="48" t="n"/>
      <c r="H1032" s="49" t="n"/>
      <c r="I1032" s="50">
        <f>IF(G1032="","",ROUND(G1032*H1032,2))</f>
        <v/>
      </c>
      <c r="J1032" s="50">
        <f>IF(G1032="","",G1032+N(I1032))</f>
        <v/>
      </c>
      <c r="K1032" s="45" t="n"/>
      <c r="L1032" s="47" t="n"/>
      <c r="M1032" s="48" t="n"/>
      <c r="N1032" s="49" t="n"/>
      <c r="O1032" s="50">
        <f>IF(M1032="","",ROUND(M1032*N1032,2))</f>
        <v/>
      </c>
      <c r="P1032" s="50">
        <f>IF(M1032="","",M1032+N(O1032))</f>
        <v/>
      </c>
      <c r="Q1032" s="45" t="n"/>
      <c r="R1032" s="45" t="n"/>
      <c r="S1032" s="51">
        <f>IF(L1032="","",IF(COUNTIF(L$6:L1032,L1032)&gt;1,"",SUMIF(L$6:L$2000,L1032,M$6:M$2000)-SUMIF(L$6:L$2000,L1032,G$6:G$2000)))</f>
        <v/>
      </c>
      <c r="T1032" s="46">
        <f>IF(AND(C1032="",G1032=""),"",IF(L1032="","Nog factureren",IF(AND(G1032&lt;&gt;"",OR(K1032="",K1032&gt;TODAY())),"Nog betalen",IF(OR(R1032="",R1032&gt;TODAY()),"Wacht op klant","Afgerond"))))</f>
        <v/>
      </c>
    </row>
    <row r="1033">
      <c r="A1033" s="45" t="n"/>
      <c r="B1033" s="46">
        <f>IF(A1033="","",YEAR(A1033)&amp;" Q"&amp;ROUNDUP(MONTH(A1033)/3,0))</f>
        <v/>
      </c>
      <c r="C1033" s="47" t="n"/>
      <c r="D1033" s="47" t="n"/>
      <c r="E1033" s="47" t="n"/>
      <c r="F1033" s="47" t="n"/>
      <c r="G1033" s="48" t="n"/>
      <c r="H1033" s="49" t="n"/>
      <c r="I1033" s="50">
        <f>IF(G1033="","",ROUND(G1033*H1033,2))</f>
        <v/>
      </c>
      <c r="J1033" s="50">
        <f>IF(G1033="","",G1033+N(I1033))</f>
        <v/>
      </c>
      <c r="K1033" s="45" t="n"/>
      <c r="L1033" s="47" t="n"/>
      <c r="M1033" s="48" t="n"/>
      <c r="N1033" s="49" t="n"/>
      <c r="O1033" s="50">
        <f>IF(M1033="","",ROUND(M1033*N1033,2))</f>
        <v/>
      </c>
      <c r="P1033" s="50">
        <f>IF(M1033="","",M1033+N(O1033))</f>
        <v/>
      </c>
      <c r="Q1033" s="45" t="n"/>
      <c r="R1033" s="45" t="n"/>
      <c r="S1033" s="51">
        <f>IF(L1033="","",IF(COUNTIF(L$6:L1033,L1033)&gt;1,"",SUMIF(L$6:L$2000,L1033,M$6:M$2000)-SUMIF(L$6:L$2000,L1033,G$6:G$2000)))</f>
        <v/>
      </c>
      <c r="T1033" s="46">
        <f>IF(AND(C1033="",G1033=""),"",IF(L1033="","Nog factureren",IF(AND(G1033&lt;&gt;"",OR(K1033="",K1033&gt;TODAY())),"Nog betalen",IF(OR(R1033="",R1033&gt;TODAY()),"Wacht op klant","Afgerond"))))</f>
        <v/>
      </c>
    </row>
    <row r="1034">
      <c r="A1034" s="45" t="n"/>
      <c r="B1034" s="46">
        <f>IF(A1034="","",YEAR(A1034)&amp;" Q"&amp;ROUNDUP(MONTH(A1034)/3,0))</f>
        <v/>
      </c>
      <c r="C1034" s="47" t="n"/>
      <c r="D1034" s="47" t="n"/>
      <c r="E1034" s="47" t="n"/>
      <c r="F1034" s="47" t="n"/>
      <c r="G1034" s="48" t="n"/>
      <c r="H1034" s="49" t="n"/>
      <c r="I1034" s="50">
        <f>IF(G1034="","",ROUND(G1034*H1034,2))</f>
        <v/>
      </c>
      <c r="J1034" s="50">
        <f>IF(G1034="","",G1034+N(I1034))</f>
        <v/>
      </c>
      <c r="K1034" s="45" t="n"/>
      <c r="L1034" s="47" t="n"/>
      <c r="M1034" s="48" t="n"/>
      <c r="N1034" s="49" t="n"/>
      <c r="O1034" s="50">
        <f>IF(M1034="","",ROUND(M1034*N1034,2))</f>
        <v/>
      </c>
      <c r="P1034" s="50">
        <f>IF(M1034="","",M1034+N(O1034))</f>
        <v/>
      </c>
      <c r="Q1034" s="45" t="n"/>
      <c r="R1034" s="45" t="n"/>
      <c r="S1034" s="51">
        <f>IF(L1034="","",IF(COUNTIF(L$6:L1034,L1034)&gt;1,"",SUMIF(L$6:L$2000,L1034,M$6:M$2000)-SUMIF(L$6:L$2000,L1034,G$6:G$2000)))</f>
        <v/>
      </c>
      <c r="T1034" s="46">
        <f>IF(AND(C1034="",G1034=""),"",IF(L1034="","Nog factureren",IF(AND(G1034&lt;&gt;"",OR(K1034="",K1034&gt;TODAY())),"Nog betalen",IF(OR(R1034="",R1034&gt;TODAY()),"Wacht op klant","Afgerond"))))</f>
        <v/>
      </c>
    </row>
    <row r="1035">
      <c r="A1035" s="45" t="n"/>
      <c r="B1035" s="46">
        <f>IF(A1035="","",YEAR(A1035)&amp;" Q"&amp;ROUNDUP(MONTH(A1035)/3,0))</f>
        <v/>
      </c>
      <c r="C1035" s="47" t="n"/>
      <c r="D1035" s="47" t="n"/>
      <c r="E1035" s="47" t="n"/>
      <c r="F1035" s="47" t="n"/>
      <c r="G1035" s="48" t="n"/>
      <c r="H1035" s="49" t="n"/>
      <c r="I1035" s="50">
        <f>IF(G1035="","",ROUND(G1035*H1035,2))</f>
        <v/>
      </c>
      <c r="J1035" s="50">
        <f>IF(G1035="","",G1035+N(I1035))</f>
        <v/>
      </c>
      <c r="K1035" s="45" t="n"/>
      <c r="L1035" s="47" t="n"/>
      <c r="M1035" s="48" t="n"/>
      <c r="N1035" s="49" t="n"/>
      <c r="O1035" s="50">
        <f>IF(M1035="","",ROUND(M1035*N1035,2))</f>
        <v/>
      </c>
      <c r="P1035" s="50">
        <f>IF(M1035="","",M1035+N(O1035))</f>
        <v/>
      </c>
      <c r="Q1035" s="45" t="n"/>
      <c r="R1035" s="45" t="n"/>
      <c r="S1035" s="51">
        <f>IF(L1035="","",IF(COUNTIF(L$6:L1035,L1035)&gt;1,"",SUMIF(L$6:L$2000,L1035,M$6:M$2000)-SUMIF(L$6:L$2000,L1035,G$6:G$2000)))</f>
        <v/>
      </c>
      <c r="T1035" s="46">
        <f>IF(AND(C1035="",G1035=""),"",IF(L1035="","Nog factureren",IF(AND(G1035&lt;&gt;"",OR(K1035="",K1035&gt;TODAY())),"Nog betalen",IF(OR(R1035="",R1035&gt;TODAY()),"Wacht op klant","Afgerond"))))</f>
        <v/>
      </c>
    </row>
    <row r="1036">
      <c r="A1036" s="45" t="n"/>
      <c r="B1036" s="46">
        <f>IF(A1036="","",YEAR(A1036)&amp;" Q"&amp;ROUNDUP(MONTH(A1036)/3,0))</f>
        <v/>
      </c>
      <c r="C1036" s="47" t="n"/>
      <c r="D1036" s="47" t="n"/>
      <c r="E1036" s="47" t="n"/>
      <c r="F1036" s="47" t="n"/>
      <c r="G1036" s="48" t="n"/>
      <c r="H1036" s="49" t="n"/>
      <c r="I1036" s="50">
        <f>IF(G1036="","",ROUND(G1036*H1036,2))</f>
        <v/>
      </c>
      <c r="J1036" s="50">
        <f>IF(G1036="","",G1036+N(I1036))</f>
        <v/>
      </c>
      <c r="K1036" s="45" t="n"/>
      <c r="L1036" s="47" t="n"/>
      <c r="M1036" s="48" t="n"/>
      <c r="N1036" s="49" t="n"/>
      <c r="O1036" s="50">
        <f>IF(M1036="","",ROUND(M1036*N1036,2))</f>
        <v/>
      </c>
      <c r="P1036" s="50">
        <f>IF(M1036="","",M1036+N(O1036))</f>
        <v/>
      </c>
      <c r="Q1036" s="45" t="n"/>
      <c r="R1036" s="45" t="n"/>
      <c r="S1036" s="51">
        <f>IF(L1036="","",IF(COUNTIF(L$6:L1036,L1036)&gt;1,"",SUMIF(L$6:L$2000,L1036,M$6:M$2000)-SUMIF(L$6:L$2000,L1036,G$6:G$2000)))</f>
        <v/>
      </c>
      <c r="T1036" s="46">
        <f>IF(AND(C1036="",G1036=""),"",IF(L1036="","Nog factureren",IF(AND(G1036&lt;&gt;"",OR(K1036="",K1036&gt;TODAY())),"Nog betalen",IF(OR(R1036="",R1036&gt;TODAY()),"Wacht op klant","Afgerond"))))</f>
        <v/>
      </c>
    </row>
    <row r="1037">
      <c r="A1037" s="45" t="n"/>
      <c r="B1037" s="46">
        <f>IF(A1037="","",YEAR(A1037)&amp;" Q"&amp;ROUNDUP(MONTH(A1037)/3,0))</f>
        <v/>
      </c>
      <c r="C1037" s="47" t="n"/>
      <c r="D1037" s="47" t="n"/>
      <c r="E1037" s="47" t="n"/>
      <c r="F1037" s="47" t="n"/>
      <c r="G1037" s="48" t="n"/>
      <c r="H1037" s="49" t="n"/>
      <c r="I1037" s="50">
        <f>IF(G1037="","",ROUND(G1037*H1037,2))</f>
        <v/>
      </c>
      <c r="J1037" s="50">
        <f>IF(G1037="","",G1037+N(I1037))</f>
        <v/>
      </c>
      <c r="K1037" s="45" t="n"/>
      <c r="L1037" s="47" t="n"/>
      <c r="M1037" s="48" t="n"/>
      <c r="N1037" s="49" t="n"/>
      <c r="O1037" s="50">
        <f>IF(M1037="","",ROUND(M1037*N1037,2))</f>
        <v/>
      </c>
      <c r="P1037" s="50">
        <f>IF(M1037="","",M1037+N(O1037))</f>
        <v/>
      </c>
      <c r="Q1037" s="45" t="n"/>
      <c r="R1037" s="45" t="n"/>
      <c r="S1037" s="51">
        <f>IF(L1037="","",IF(COUNTIF(L$6:L1037,L1037)&gt;1,"",SUMIF(L$6:L$2000,L1037,M$6:M$2000)-SUMIF(L$6:L$2000,L1037,G$6:G$2000)))</f>
        <v/>
      </c>
      <c r="T1037" s="46">
        <f>IF(AND(C1037="",G1037=""),"",IF(L1037="","Nog factureren",IF(AND(G1037&lt;&gt;"",OR(K1037="",K1037&gt;TODAY())),"Nog betalen",IF(OR(R1037="",R1037&gt;TODAY()),"Wacht op klant","Afgerond"))))</f>
        <v/>
      </c>
    </row>
    <row r="1038">
      <c r="A1038" s="45" t="n"/>
      <c r="B1038" s="46">
        <f>IF(A1038="","",YEAR(A1038)&amp;" Q"&amp;ROUNDUP(MONTH(A1038)/3,0))</f>
        <v/>
      </c>
      <c r="C1038" s="47" t="n"/>
      <c r="D1038" s="47" t="n"/>
      <c r="E1038" s="47" t="n"/>
      <c r="F1038" s="47" t="n"/>
      <c r="G1038" s="48" t="n"/>
      <c r="H1038" s="49" t="n"/>
      <c r="I1038" s="50">
        <f>IF(G1038="","",ROUND(G1038*H1038,2))</f>
        <v/>
      </c>
      <c r="J1038" s="50">
        <f>IF(G1038="","",G1038+N(I1038))</f>
        <v/>
      </c>
      <c r="K1038" s="45" t="n"/>
      <c r="L1038" s="47" t="n"/>
      <c r="M1038" s="48" t="n"/>
      <c r="N1038" s="49" t="n"/>
      <c r="O1038" s="50">
        <f>IF(M1038="","",ROUND(M1038*N1038,2))</f>
        <v/>
      </c>
      <c r="P1038" s="50">
        <f>IF(M1038="","",M1038+N(O1038))</f>
        <v/>
      </c>
      <c r="Q1038" s="45" t="n"/>
      <c r="R1038" s="45" t="n"/>
      <c r="S1038" s="51">
        <f>IF(L1038="","",IF(COUNTIF(L$6:L1038,L1038)&gt;1,"",SUMIF(L$6:L$2000,L1038,M$6:M$2000)-SUMIF(L$6:L$2000,L1038,G$6:G$2000)))</f>
        <v/>
      </c>
      <c r="T1038" s="46">
        <f>IF(AND(C1038="",G1038=""),"",IF(L1038="","Nog factureren",IF(AND(G1038&lt;&gt;"",OR(K1038="",K1038&gt;TODAY())),"Nog betalen",IF(OR(R1038="",R1038&gt;TODAY()),"Wacht op klant","Afgerond"))))</f>
        <v/>
      </c>
    </row>
    <row r="1039">
      <c r="A1039" s="45" t="n"/>
      <c r="B1039" s="46">
        <f>IF(A1039="","",YEAR(A1039)&amp;" Q"&amp;ROUNDUP(MONTH(A1039)/3,0))</f>
        <v/>
      </c>
      <c r="C1039" s="47" t="n"/>
      <c r="D1039" s="47" t="n"/>
      <c r="E1039" s="47" t="n"/>
      <c r="F1039" s="47" t="n"/>
      <c r="G1039" s="48" t="n"/>
      <c r="H1039" s="49" t="n"/>
      <c r="I1039" s="50">
        <f>IF(G1039="","",ROUND(G1039*H1039,2))</f>
        <v/>
      </c>
      <c r="J1039" s="50">
        <f>IF(G1039="","",G1039+N(I1039))</f>
        <v/>
      </c>
      <c r="K1039" s="45" t="n"/>
      <c r="L1039" s="47" t="n"/>
      <c r="M1039" s="48" t="n"/>
      <c r="N1039" s="49" t="n"/>
      <c r="O1039" s="50">
        <f>IF(M1039="","",ROUND(M1039*N1039,2))</f>
        <v/>
      </c>
      <c r="P1039" s="50">
        <f>IF(M1039="","",M1039+N(O1039))</f>
        <v/>
      </c>
      <c r="Q1039" s="45" t="n"/>
      <c r="R1039" s="45" t="n"/>
      <c r="S1039" s="51">
        <f>IF(L1039="","",IF(COUNTIF(L$6:L1039,L1039)&gt;1,"",SUMIF(L$6:L$2000,L1039,M$6:M$2000)-SUMIF(L$6:L$2000,L1039,G$6:G$2000)))</f>
        <v/>
      </c>
      <c r="T1039" s="46">
        <f>IF(AND(C1039="",G1039=""),"",IF(L1039="","Nog factureren",IF(AND(G1039&lt;&gt;"",OR(K1039="",K1039&gt;TODAY())),"Nog betalen",IF(OR(R1039="",R1039&gt;TODAY()),"Wacht op klant","Afgerond"))))</f>
        <v/>
      </c>
    </row>
    <row r="1040">
      <c r="A1040" s="45" t="n"/>
      <c r="B1040" s="46">
        <f>IF(A1040="","",YEAR(A1040)&amp;" Q"&amp;ROUNDUP(MONTH(A1040)/3,0))</f>
        <v/>
      </c>
      <c r="C1040" s="47" t="n"/>
      <c r="D1040" s="47" t="n"/>
      <c r="E1040" s="47" t="n"/>
      <c r="F1040" s="47" t="n"/>
      <c r="G1040" s="48" t="n"/>
      <c r="H1040" s="49" t="n"/>
      <c r="I1040" s="50">
        <f>IF(G1040="","",ROUND(G1040*H1040,2))</f>
        <v/>
      </c>
      <c r="J1040" s="50">
        <f>IF(G1040="","",G1040+N(I1040))</f>
        <v/>
      </c>
      <c r="K1040" s="45" t="n"/>
      <c r="L1040" s="47" t="n"/>
      <c r="M1040" s="48" t="n"/>
      <c r="N1040" s="49" t="n"/>
      <c r="O1040" s="50">
        <f>IF(M1040="","",ROUND(M1040*N1040,2))</f>
        <v/>
      </c>
      <c r="P1040" s="50">
        <f>IF(M1040="","",M1040+N(O1040))</f>
        <v/>
      </c>
      <c r="Q1040" s="45" t="n"/>
      <c r="R1040" s="45" t="n"/>
      <c r="S1040" s="51">
        <f>IF(L1040="","",IF(COUNTIF(L$6:L1040,L1040)&gt;1,"",SUMIF(L$6:L$2000,L1040,M$6:M$2000)-SUMIF(L$6:L$2000,L1040,G$6:G$2000)))</f>
        <v/>
      </c>
      <c r="T1040" s="46">
        <f>IF(AND(C1040="",G1040=""),"",IF(L1040="","Nog factureren",IF(AND(G1040&lt;&gt;"",OR(K1040="",K1040&gt;TODAY())),"Nog betalen",IF(OR(R1040="",R1040&gt;TODAY()),"Wacht op klant","Afgerond"))))</f>
        <v/>
      </c>
    </row>
    <row r="1041">
      <c r="A1041" s="45" t="n"/>
      <c r="B1041" s="46">
        <f>IF(A1041="","",YEAR(A1041)&amp;" Q"&amp;ROUNDUP(MONTH(A1041)/3,0))</f>
        <v/>
      </c>
      <c r="C1041" s="47" t="n"/>
      <c r="D1041" s="47" t="n"/>
      <c r="E1041" s="47" t="n"/>
      <c r="F1041" s="47" t="n"/>
      <c r="G1041" s="48" t="n"/>
      <c r="H1041" s="49" t="n"/>
      <c r="I1041" s="50">
        <f>IF(G1041="","",ROUND(G1041*H1041,2))</f>
        <v/>
      </c>
      <c r="J1041" s="50">
        <f>IF(G1041="","",G1041+N(I1041))</f>
        <v/>
      </c>
      <c r="K1041" s="45" t="n"/>
      <c r="L1041" s="47" t="n"/>
      <c r="M1041" s="48" t="n"/>
      <c r="N1041" s="49" t="n"/>
      <c r="O1041" s="50">
        <f>IF(M1041="","",ROUND(M1041*N1041,2))</f>
        <v/>
      </c>
      <c r="P1041" s="50">
        <f>IF(M1041="","",M1041+N(O1041))</f>
        <v/>
      </c>
      <c r="Q1041" s="45" t="n"/>
      <c r="R1041" s="45" t="n"/>
      <c r="S1041" s="51">
        <f>IF(L1041="","",IF(COUNTIF(L$6:L1041,L1041)&gt;1,"",SUMIF(L$6:L$2000,L1041,M$6:M$2000)-SUMIF(L$6:L$2000,L1041,G$6:G$2000)))</f>
        <v/>
      </c>
      <c r="T1041" s="46">
        <f>IF(AND(C1041="",G1041=""),"",IF(L1041="","Nog factureren",IF(AND(G1041&lt;&gt;"",OR(K1041="",K1041&gt;TODAY())),"Nog betalen",IF(OR(R1041="",R1041&gt;TODAY()),"Wacht op klant","Afgerond"))))</f>
        <v/>
      </c>
    </row>
    <row r="1042">
      <c r="A1042" s="45" t="n"/>
      <c r="B1042" s="46">
        <f>IF(A1042="","",YEAR(A1042)&amp;" Q"&amp;ROUNDUP(MONTH(A1042)/3,0))</f>
        <v/>
      </c>
      <c r="C1042" s="47" t="n"/>
      <c r="D1042" s="47" t="n"/>
      <c r="E1042" s="47" t="n"/>
      <c r="F1042" s="47" t="n"/>
      <c r="G1042" s="48" t="n"/>
      <c r="H1042" s="49" t="n"/>
      <c r="I1042" s="50">
        <f>IF(G1042="","",ROUND(G1042*H1042,2))</f>
        <v/>
      </c>
      <c r="J1042" s="50">
        <f>IF(G1042="","",G1042+N(I1042))</f>
        <v/>
      </c>
      <c r="K1042" s="45" t="n"/>
      <c r="L1042" s="47" t="n"/>
      <c r="M1042" s="48" t="n"/>
      <c r="N1042" s="49" t="n"/>
      <c r="O1042" s="50">
        <f>IF(M1042="","",ROUND(M1042*N1042,2))</f>
        <v/>
      </c>
      <c r="P1042" s="50">
        <f>IF(M1042="","",M1042+N(O1042))</f>
        <v/>
      </c>
      <c r="Q1042" s="45" t="n"/>
      <c r="R1042" s="45" t="n"/>
      <c r="S1042" s="51">
        <f>IF(L1042="","",IF(COUNTIF(L$6:L1042,L1042)&gt;1,"",SUMIF(L$6:L$2000,L1042,M$6:M$2000)-SUMIF(L$6:L$2000,L1042,G$6:G$2000)))</f>
        <v/>
      </c>
      <c r="T1042" s="46">
        <f>IF(AND(C1042="",G1042=""),"",IF(L1042="","Nog factureren",IF(AND(G1042&lt;&gt;"",OR(K1042="",K1042&gt;TODAY())),"Nog betalen",IF(OR(R1042="",R1042&gt;TODAY()),"Wacht op klant","Afgerond"))))</f>
        <v/>
      </c>
    </row>
    <row r="1043">
      <c r="A1043" s="45" t="n"/>
      <c r="B1043" s="46">
        <f>IF(A1043="","",YEAR(A1043)&amp;" Q"&amp;ROUNDUP(MONTH(A1043)/3,0))</f>
        <v/>
      </c>
      <c r="C1043" s="47" t="n"/>
      <c r="D1043" s="47" t="n"/>
      <c r="E1043" s="47" t="n"/>
      <c r="F1043" s="47" t="n"/>
      <c r="G1043" s="48" t="n"/>
      <c r="H1043" s="49" t="n"/>
      <c r="I1043" s="50">
        <f>IF(G1043="","",ROUND(G1043*H1043,2))</f>
        <v/>
      </c>
      <c r="J1043" s="50">
        <f>IF(G1043="","",G1043+N(I1043))</f>
        <v/>
      </c>
      <c r="K1043" s="45" t="n"/>
      <c r="L1043" s="47" t="n"/>
      <c r="M1043" s="48" t="n"/>
      <c r="N1043" s="49" t="n"/>
      <c r="O1043" s="50">
        <f>IF(M1043="","",ROUND(M1043*N1043,2))</f>
        <v/>
      </c>
      <c r="P1043" s="50">
        <f>IF(M1043="","",M1043+N(O1043))</f>
        <v/>
      </c>
      <c r="Q1043" s="45" t="n"/>
      <c r="R1043" s="45" t="n"/>
      <c r="S1043" s="51">
        <f>IF(L1043="","",IF(COUNTIF(L$6:L1043,L1043)&gt;1,"",SUMIF(L$6:L$2000,L1043,M$6:M$2000)-SUMIF(L$6:L$2000,L1043,G$6:G$2000)))</f>
        <v/>
      </c>
      <c r="T1043" s="46">
        <f>IF(AND(C1043="",G1043=""),"",IF(L1043="","Nog factureren",IF(AND(G1043&lt;&gt;"",OR(K1043="",K1043&gt;TODAY())),"Nog betalen",IF(OR(R1043="",R1043&gt;TODAY()),"Wacht op klant","Afgerond"))))</f>
        <v/>
      </c>
    </row>
    <row r="1044">
      <c r="A1044" s="45" t="n"/>
      <c r="B1044" s="46">
        <f>IF(A1044="","",YEAR(A1044)&amp;" Q"&amp;ROUNDUP(MONTH(A1044)/3,0))</f>
        <v/>
      </c>
      <c r="C1044" s="47" t="n"/>
      <c r="D1044" s="47" t="n"/>
      <c r="E1044" s="47" t="n"/>
      <c r="F1044" s="47" t="n"/>
      <c r="G1044" s="48" t="n"/>
      <c r="H1044" s="49" t="n"/>
      <c r="I1044" s="50">
        <f>IF(G1044="","",ROUND(G1044*H1044,2))</f>
        <v/>
      </c>
      <c r="J1044" s="50">
        <f>IF(G1044="","",G1044+N(I1044))</f>
        <v/>
      </c>
      <c r="K1044" s="45" t="n"/>
      <c r="L1044" s="47" t="n"/>
      <c r="M1044" s="48" t="n"/>
      <c r="N1044" s="49" t="n"/>
      <c r="O1044" s="50">
        <f>IF(M1044="","",ROUND(M1044*N1044,2))</f>
        <v/>
      </c>
      <c r="P1044" s="50">
        <f>IF(M1044="","",M1044+N(O1044))</f>
        <v/>
      </c>
      <c r="Q1044" s="45" t="n"/>
      <c r="R1044" s="45" t="n"/>
      <c r="S1044" s="51">
        <f>IF(L1044="","",IF(COUNTIF(L$6:L1044,L1044)&gt;1,"",SUMIF(L$6:L$2000,L1044,M$6:M$2000)-SUMIF(L$6:L$2000,L1044,G$6:G$2000)))</f>
        <v/>
      </c>
      <c r="T1044" s="46">
        <f>IF(AND(C1044="",G1044=""),"",IF(L1044="","Nog factureren",IF(AND(G1044&lt;&gt;"",OR(K1044="",K1044&gt;TODAY())),"Nog betalen",IF(OR(R1044="",R1044&gt;TODAY()),"Wacht op klant","Afgerond"))))</f>
        <v/>
      </c>
    </row>
    <row r="1045">
      <c r="A1045" s="45" t="n"/>
      <c r="B1045" s="46">
        <f>IF(A1045="","",YEAR(A1045)&amp;" Q"&amp;ROUNDUP(MONTH(A1045)/3,0))</f>
        <v/>
      </c>
      <c r="C1045" s="47" t="n"/>
      <c r="D1045" s="47" t="n"/>
      <c r="E1045" s="47" t="n"/>
      <c r="F1045" s="47" t="n"/>
      <c r="G1045" s="48" t="n"/>
      <c r="H1045" s="49" t="n"/>
      <c r="I1045" s="50">
        <f>IF(G1045="","",ROUND(G1045*H1045,2))</f>
        <v/>
      </c>
      <c r="J1045" s="50">
        <f>IF(G1045="","",G1045+N(I1045))</f>
        <v/>
      </c>
      <c r="K1045" s="45" t="n"/>
      <c r="L1045" s="47" t="n"/>
      <c r="M1045" s="48" t="n"/>
      <c r="N1045" s="49" t="n"/>
      <c r="O1045" s="50">
        <f>IF(M1045="","",ROUND(M1045*N1045,2))</f>
        <v/>
      </c>
      <c r="P1045" s="50">
        <f>IF(M1045="","",M1045+N(O1045))</f>
        <v/>
      </c>
      <c r="Q1045" s="45" t="n"/>
      <c r="R1045" s="45" t="n"/>
      <c r="S1045" s="51">
        <f>IF(L1045="","",IF(COUNTIF(L$6:L1045,L1045)&gt;1,"",SUMIF(L$6:L$2000,L1045,M$6:M$2000)-SUMIF(L$6:L$2000,L1045,G$6:G$2000)))</f>
        <v/>
      </c>
      <c r="T1045" s="46">
        <f>IF(AND(C1045="",G1045=""),"",IF(L1045="","Nog factureren",IF(AND(G1045&lt;&gt;"",OR(K1045="",K1045&gt;TODAY())),"Nog betalen",IF(OR(R1045="",R1045&gt;TODAY()),"Wacht op klant","Afgerond"))))</f>
        <v/>
      </c>
    </row>
    <row r="1046">
      <c r="A1046" s="45" t="n"/>
      <c r="B1046" s="46">
        <f>IF(A1046="","",YEAR(A1046)&amp;" Q"&amp;ROUNDUP(MONTH(A1046)/3,0))</f>
        <v/>
      </c>
      <c r="C1046" s="47" t="n"/>
      <c r="D1046" s="47" t="n"/>
      <c r="E1046" s="47" t="n"/>
      <c r="F1046" s="47" t="n"/>
      <c r="G1046" s="48" t="n"/>
      <c r="H1046" s="49" t="n"/>
      <c r="I1046" s="50">
        <f>IF(G1046="","",ROUND(G1046*H1046,2))</f>
        <v/>
      </c>
      <c r="J1046" s="50">
        <f>IF(G1046="","",G1046+N(I1046))</f>
        <v/>
      </c>
      <c r="K1046" s="45" t="n"/>
      <c r="L1046" s="47" t="n"/>
      <c r="M1046" s="48" t="n"/>
      <c r="N1046" s="49" t="n"/>
      <c r="O1046" s="50">
        <f>IF(M1046="","",ROUND(M1046*N1046,2))</f>
        <v/>
      </c>
      <c r="P1046" s="50">
        <f>IF(M1046="","",M1046+N(O1046))</f>
        <v/>
      </c>
      <c r="Q1046" s="45" t="n"/>
      <c r="R1046" s="45" t="n"/>
      <c r="S1046" s="51">
        <f>IF(L1046="","",IF(COUNTIF(L$6:L1046,L1046)&gt;1,"",SUMIF(L$6:L$2000,L1046,M$6:M$2000)-SUMIF(L$6:L$2000,L1046,G$6:G$2000)))</f>
        <v/>
      </c>
      <c r="T1046" s="46">
        <f>IF(AND(C1046="",G1046=""),"",IF(L1046="","Nog factureren",IF(AND(G1046&lt;&gt;"",OR(K1046="",K1046&gt;TODAY())),"Nog betalen",IF(OR(R1046="",R1046&gt;TODAY()),"Wacht op klant","Afgerond"))))</f>
        <v/>
      </c>
    </row>
    <row r="1047">
      <c r="A1047" s="45" t="n"/>
      <c r="B1047" s="46">
        <f>IF(A1047="","",YEAR(A1047)&amp;" Q"&amp;ROUNDUP(MONTH(A1047)/3,0))</f>
        <v/>
      </c>
      <c r="C1047" s="47" t="n"/>
      <c r="D1047" s="47" t="n"/>
      <c r="E1047" s="47" t="n"/>
      <c r="F1047" s="47" t="n"/>
      <c r="G1047" s="48" t="n"/>
      <c r="H1047" s="49" t="n"/>
      <c r="I1047" s="50">
        <f>IF(G1047="","",ROUND(G1047*H1047,2))</f>
        <v/>
      </c>
      <c r="J1047" s="50">
        <f>IF(G1047="","",G1047+N(I1047))</f>
        <v/>
      </c>
      <c r="K1047" s="45" t="n"/>
      <c r="L1047" s="47" t="n"/>
      <c r="M1047" s="48" t="n"/>
      <c r="N1047" s="49" t="n"/>
      <c r="O1047" s="50">
        <f>IF(M1047="","",ROUND(M1047*N1047,2))</f>
        <v/>
      </c>
      <c r="P1047" s="50">
        <f>IF(M1047="","",M1047+N(O1047))</f>
        <v/>
      </c>
      <c r="Q1047" s="45" t="n"/>
      <c r="R1047" s="45" t="n"/>
      <c r="S1047" s="51">
        <f>IF(L1047="","",IF(COUNTIF(L$6:L1047,L1047)&gt;1,"",SUMIF(L$6:L$2000,L1047,M$6:M$2000)-SUMIF(L$6:L$2000,L1047,G$6:G$2000)))</f>
        <v/>
      </c>
      <c r="T1047" s="46">
        <f>IF(AND(C1047="",G1047=""),"",IF(L1047="","Nog factureren",IF(AND(G1047&lt;&gt;"",OR(K1047="",K1047&gt;TODAY())),"Nog betalen",IF(OR(R1047="",R1047&gt;TODAY()),"Wacht op klant","Afgerond"))))</f>
        <v/>
      </c>
    </row>
    <row r="1048">
      <c r="A1048" s="45" t="n"/>
      <c r="B1048" s="46">
        <f>IF(A1048="","",YEAR(A1048)&amp;" Q"&amp;ROUNDUP(MONTH(A1048)/3,0))</f>
        <v/>
      </c>
      <c r="C1048" s="47" t="n"/>
      <c r="D1048" s="47" t="n"/>
      <c r="E1048" s="47" t="n"/>
      <c r="F1048" s="47" t="n"/>
      <c r="G1048" s="48" t="n"/>
      <c r="H1048" s="49" t="n"/>
      <c r="I1048" s="50">
        <f>IF(G1048="","",ROUND(G1048*H1048,2))</f>
        <v/>
      </c>
      <c r="J1048" s="50">
        <f>IF(G1048="","",G1048+N(I1048))</f>
        <v/>
      </c>
      <c r="K1048" s="45" t="n"/>
      <c r="L1048" s="47" t="n"/>
      <c r="M1048" s="48" t="n"/>
      <c r="N1048" s="49" t="n"/>
      <c r="O1048" s="50">
        <f>IF(M1048="","",ROUND(M1048*N1048,2))</f>
        <v/>
      </c>
      <c r="P1048" s="50">
        <f>IF(M1048="","",M1048+N(O1048))</f>
        <v/>
      </c>
      <c r="Q1048" s="45" t="n"/>
      <c r="R1048" s="45" t="n"/>
      <c r="S1048" s="51">
        <f>IF(L1048="","",IF(COUNTIF(L$6:L1048,L1048)&gt;1,"",SUMIF(L$6:L$2000,L1048,M$6:M$2000)-SUMIF(L$6:L$2000,L1048,G$6:G$2000)))</f>
        <v/>
      </c>
      <c r="T1048" s="46">
        <f>IF(AND(C1048="",G1048=""),"",IF(L1048="","Nog factureren",IF(AND(G1048&lt;&gt;"",OR(K1048="",K1048&gt;TODAY())),"Nog betalen",IF(OR(R1048="",R1048&gt;TODAY()),"Wacht op klant","Afgerond"))))</f>
        <v/>
      </c>
    </row>
    <row r="1049">
      <c r="A1049" s="45" t="n"/>
      <c r="B1049" s="46">
        <f>IF(A1049="","",YEAR(A1049)&amp;" Q"&amp;ROUNDUP(MONTH(A1049)/3,0))</f>
        <v/>
      </c>
      <c r="C1049" s="47" t="n"/>
      <c r="D1049" s="47" t="n"/>
      <c r="E1049" s="47" t="n"/>
      <c r="F1049" s="47" t="n"/>
      <c r="G1049" s="48" t="n"/>
      <c r="H1049" s="49" t="n"/>
      <c r="I1049" s="50">
        <f>IF(G1049="","",ROUND(G1049*H1049,2))</f>
        <v/>
      </c>
      <c r="J1049" s="50">
        <f>IF(G1049="","",G1049+N(I1049))</f>
        <v/>
      </c>
      <c r="K1049" s="45" t="n"/>
      <c r="L1049" s="47" t="n"/>
      <c r="M1049" s="48" t="n"/>
      <c r="N1049" s="49" t="n"/>
      <c r="O1049" s="50">
        <f>IF(M1049="","",ROUND(M1049*N1049,2))</f>
        <v/>
      </c>
      <c r="P1049" s="50">
        <f>IF(M1049="","",M1049+N(O1049))</f>
        <v/>
      </c>
      <c r="Q1049" s="45" t="n"/>
      <c r="R1049" s="45" t="n"/>
      <c r="S1049" s="51">
        <f>IF(L1049="","",IF(COUNTIF(L$6:L1049,L1049)&gt;1,"",SUMIF(L$6:L$2000,L1049,M$6:M$2000)-SUMIF(L$6:L$2000,L1049,G$6:G$2000)))</f>
        <v/>
      </c>
      <c r="T1049" s="46">
        <f>IF(AND(C1049="",G1049=""),"",IF(L1049="","Nog factureren",IF(AND(G1049&lt;&gt;"",OR(K1049="",K1049&gt;TODAY())),"Nog betalen",IF(OR(R1049="",R1049&gt;TODAY()),"Wacht op klant","Afgerond"))))</f>
        <v/>
      </c>
    </row>
    <row r="1050">
      <c r="A1050" s="45" t="n"/>
      <c r="B1050" s="46">
        <f>IF(A1050="","",YEAR(A1050)&amp;" Q"&amp;ROUNDUP(MONTH(A1050)/3,0))</f>
        <v/>
      </c>
      <c r="C1050" s="47" t="n"/>
      <c r="D1050" s="47" t="n"/>
      <c r="E1050" s="47" t="n"/>
      <c r="F1050" s="47" t="n"/>
      <c r="G1050" s="48" t="n"/>
      <c r="H1050" s="49" t="n"/>
      <c r="I1050" s="50">
        <f>IF(G1050="","",ROUND(G1050*H1050,2))</f>
        <v/>
      </c>
      <c r="J1050" s="50">
        <f>IF(G1050="","",G1050+N(I1050))</f>
        <v/>
      </c>
      <c r="K1050" s="45" t="n"/>
      <c r="L1050" s="47" t="n"/>
      <c r="M1050" s="48" t="n"/>
      <c r="N1050" s="49" t="n"/>
      <c r="O1050" s="50">
        <f>IF(M1050="","",ROUND(M1050*N1050,2))</f>
        <v/>
      </c>
      <c r="P1050" s="50">
        <f>IF(M1050="","",M1050+N(O1050))</f>
        <v/>
      </c>
      <c r="Q1050" s="45" t="n"/>
      <c r="R1050" s="45" t="n"/>
      <c r="S1050" s="51">
        <f>IF(L1050="","",IF(COUNTIF(L$6:L1050,L1050)&gt;1,"",SUMIF(L$6:L$2000,L1050,M$6:M$2000)-SUMIF(L$6:L$2000,L1050,G$6:G$2000)))</f>
        <v/>
      </c>
      <c r="T1050" s="46">
        <f>IF(AND(C1050="",G1050=""),"",IF(L1050="","Nog factureren",IF(AND(G1050&lt;&gt;"",OR(K1050="",K1050&gt;TODAY())),"Nog betalen",IF(OR(R1050="",R1050&gt;TODAY()),"Wacht op klant","Afgerond"))))</f>
        <v/>
      </c>
    </row>
    <row r="1051">
      <c r="A1051" s="45" t="n"/>
      <c r="B1051" s="46">
        <f>IF(A1051="","",YEAR(A1051)&amp;" Q"&amp;ROUNDUP(MONTH(A1051)/3,0))</f>
        <v/>
      </c>
      <c r="C1051" s="47" t="n"/>
      <c r="D1051" s="47" t="n"/>
      <c r="E1051" s="47" t="n"/>
      <c r="F1051" s="47" t="n"/>
      <c r="G1051" s="48" t="n"/>
      <c r="H1051" s="49" t="n"/>
      <c r="I1051" s="50">
        <f>IF(G1051="","",ROUND(G1051*H1051,2))</f>
        <v/>
      </c>
      <c r="J1051" s="50">
        <f>IF(G1051="","",G1051+N(I1051))</f>
        <v/>
      </c>
      <c r="K1051" s="45" t="n"/>
      <c r="L1051" s="47" t="n"/>
      <c r="M1051" s="48" t="n"/>
      <c r="N1051" s="49" t="n"/>
      <c r="O1051" s="50">
        <f>IF(M1051="","",ROUND(M1051*N1051,2))</f>
        <v/>
      </c>
      <c r="P1051" s="50">
        <f>IF(M1051="","",M1051+N(O1051))</f>
        <v/>
      </c>
      <c r="Q1051" s="45" t="n"/>
      <c r="R1051" s="45" t="n"/>
      <c r="S1051" s="51">
        <f>IF(L1051="","",IF(COUNTIF(L$6:L1051,L1051)&gt;1,"",SUMIF(L$6:L$2000,L1051,M$6:M$2000)-SUMIF(L$6:L$2000,L1051,G$6:G$2000)))</f>
        <v/>
      </c>
      <c r="T1051" s="46">
        <f>IF(AND(C1051="",G1051=""),"",IF(L1051="","Nog factureren",IF(AND(G1051&lt;&gt;"",OR(K1051="",K1051&gt;TODAY())),"Nog betalen",IF(OR(R1051="",R1051&gt;TODAY()),"Wacht op klant","Afgerond"))))</f>
        <v/>
      </c>
    </row>
    <row r="1052">
      <c r="A1052" s="45" t="n"/>
      <c r="B1052" s="46">
        <f>IF(A1052="","",YEAR(A1052)&amp;" Q"&amp;ROUNDUP(MONTH(A1052)/3,0))</f>
        <v/>
      </c>
      <c r="C1052" s="47" t="n"/>
      <c r="D1052" s="47" t="n"/>
      <c r="E1052" s="47" t="n"/>
      <c r="F1052" s="47" t="n"/>
      <c r="G1052" s="48" t="n"/>
      <c r="H1052" s="49" t="n"/>
      <c r="I1052" s="50">
        <f>IF(G1052="","",ROUND(G1052*H1052,2))</f>
        <v/>
      </c>
      <c r="J1052" s="50">
        <f>IF(G1052="","",G1052+N(I1052))</f>
        <v/>
      </c>
      <c r="K1052" s="45" t="n"/>
      <c r="L1052" s="47" t="n"/>
      <c r="M1052" s="48" t="n"/>
      <c r="N1052" s="49" t="n"/>
      <c r="O1052" s="50">
        <f>IF(M1052="","",ROUND(M1052*N1052,2))</f>
        <v/>
      </c>
      <c r="P1052" s="50">
        <f>IF(M1052="","",M1052+N(O1052))</f>
        <v/>
      </c>
      <c r="Q1052" s="45" t="n"/>
      <c r="R1052" s="45" t="n"/>
      <c r="S1052" s="51">
        <f>IF(L1052="","",IF(COUNTIF(L$6:L1052,L1052)&gt;1,"",SUMIF(L$6:L$2000,L1052,M$6:M$2000)-SUMIF(L$6:L$2000,L1052,G$6:G$2000)))</f>
        <v/>
      </c>
      <c r="T1052" s="46">
        <f>IF(AND(C1052="",G1052=""),"",IF(L1052="","Nog factureren",IF(AND(G1052&lt;&gt;"",OR(K1052="",K1052&gt;TODAY())),"Nog betalen",IF(OR(R1052="",R1052&gt;TODAY()),"Wacht op klant","Afgerond"))))</f>
        <v/>
      </c>
    </row>
    <row r="1053">
      <c r="A1053" s="45" t="n"/>
      <c r="B1053" s="46">
        <f>IF(A1053="","",YEAR(A1053)&amp;" Q"&amp;ROUNDUP(MONTH(A1053)/3,0))</f>
        <v/>
      </c>
      <c r="C1053" s="47" t="n"/>
      <c r="D1053" s="47" t="n"/>
      <c r="E1053" s="47" t="n"/>
      <c r="F1053" s="47" t="n"/>
      <c r="G1053" s="48" t="n"/>
      <c r="H1053" s="49" t="n"/>
      <c r="I1053" s="50">
        <f>IF(G1053="","",ROUND(G1053*H1053,2))</f>
        <v/>
      </c>
      <c r="J1053" s="50">
        <f>IF(G1053="","",G1053+N(I1053))</f>
        <v/>
      </c>
      <c r="K1053" s="45" t="n"/>
      <c r="L1053" s="47" t="n"/>
      <c r="M1053" s="48" t="n"/>
      <c r="N1053" s="49" t="n"/>
      <c r="O1053" s="50">
        <f>IF(M1053="","",ROUND(M1053*N1053,2))</f>
        <v/>
      </c>
      <c r="P1053" s="50">
        <f>IF(M1053="","",M1053+N(O1053))</f>
        <v/>
      </c>
      <c r="Q1053" s="45" t="n"/>
      <c r="R1053" s="45" t="n"/>
      <c r="S1053" s="51">
        <f>IF(L1053="","",IF(COUNTIF(L$6:L1053,L1053)&gt;1,"",SUMIF(L$6:L$2000,L1053,M$6:M$2000)-SUMIF(L$6:L$2000,L1053,G$6:G$2000)))</f>
        <v/>
      </c>
      <c r="T1053" s="46">
        <f>IF(AND(C1053="",G1053=""),"",IF(L1053="","Nog factureren",IF(AND(G1053&lt;&gt;"",OR(K1053="",K1053&gt;TODAY())),"Nog betalen",IF(OR(R1053="",R1053&gt;TODAY()),"Wacht op klant","Afgerond"))))</f>
        <v/>
      </c>
    </row>
    <row r="1054">
      <c r="A1054" s="45" t="n"/>
      <c r="B1054" s="46">
        <f>IF(A1054="","",YEAR(A1054)&amp;" Q"&amp;ROUNDUP(MONTH(A1054)/3,0))</f>
        <v/>
      </c>
      <c r="C1054" s="47" t="n"/>
      <c r="D1054" s="47" t="n"/>
      <c r="E1054" s="47" t="n"/>
      <c r="F1054" s="47" t="n"/>
      <c r="G1054" s="48" t="n"/>
      <c r="H1054" s="49" t="n"/>
      <c r="I1054" s="50">
        <f>IF(G1054="","",ROUND(G1054*H1054,2))</f>
        <v/>
      </c>
      <c r="J1054" s="50">
        <f>IF(G1054="","",G1054+N(I1054))</f>
        <v/>
      </c>
      <c r="K1054" s="45" t="n"/>
      <c r="L1054" s="47" t="n"/>
      <c r="M1054" s="48" t="n"/>
      <c r="N1054" s="49" t="n"/>
      <c r="O1054" s="50">
        <f>IF(M1054="","",ROUND(M1054*N1054,2))</f>
        <v/>
      </c>
      <c r="P1054" s="50">
        <f>IF(M1054="","",M1054+N(O1054))</f>
        <v/>
      </c>
      <c r="Q1054" s="45" t="n"/>
      <c r="R1054" s="45" t="n"/>
      <c r="S1054" s="51">
        <f>IF(L1054="","",IF(COUNTIF(L$6:L1054,L1054)&gt;1,"",SUMIF(L$6:L$2000,L1054,M$6:M$2000)-SUMIF(L$6:L$2000,L1054,G$6:G$2000)))</f>
        <v/>
      </c>
      <c r="T1054" s="46">
        <f>IF(AND(C1054="",G1054=""),"",IF(L1054="","Nog factureren",IF(AND(G1054&lt;&gt;"",OR(K1054="",K1054&gt;TODAY())),"Nog betalen",IF(OR(R1054="",R1054&gt;TODAY()),"Wacht op klant","Afgerond"))))</f>
        <v/>
      </c>
    </row>
    <row r="1055">
      <c r="A1055" s="45" t="n"/>
      <c r="B1055" s="46">
        <f>IF(A1055="","",YEAR(A1055)&amp;" Q"&amp;ROUNDUP(MONTH(A1055)/3,0))</f>
        <v/>
      </c>
      <c r="C1055" s="47" t="n"/>
      <c r="D1055" s="47" t="n"/>
      <c r="E1055" s="47" t="n"/>
      <c r="F1055" s="47" t="n"/>
      <c r="G1055" s="48" t="n"/>
      <c r="H1055" s="49" t="n"/>
      <c r="I1055" s="50">
        <f>IF(G1055="","",ROUND(G1055*H1055,2))</f>
        <v/>
      </c>
      <c r="J1055" s="50">
        <f>IF(G1055="","",G1055+N(I1055))</f>
        <v/>
      </c>
      <c r="K1055" s="45" t="n"/>
      <c r="L1055" s="47" t="n"/>
      <c r="M1055" s="48" t="n"/>
      <c r="N1055" s="49" t="n"/>
      <c r="O1055" s="50">
        <f>IF(M1055="","",ROUND(M1055*N1055,2))</f>
        <v/>
      </c>
      <c r="P1055" s="50">
        <f>IF(M1055="","",M1055+N(O1055))</f>
        <v/>
      </c>
      <c r="Q1055" s="45" t="n"/>
      <c r="R1055" s="45" t="n"/>
      <c r="S1055" s="51">
        <f>IF(L1055="","",IF(COUNTIF(L$6:L1055,L1055)&gt;1,"",SUMIF(L$6:L$2000,L1055,M$6:M$2000)-SUMIF(L$6:L$2000,L1055,G$6:G$2000)))</f>
        <v/>
      </c>
      <c r="T1055" s="46">
        <f>IF(AND(C1055="",G1055=""),"",IF(L1055="","Nog factureren",IF(AND(G1055&lt;&gt;"",OR(K1055="",K1055&gt;TODAY())),"Nog betalen",IF(OR(R1055="",R1055&gt;TODAY()),"Wacht op klant","Afgerond"))))</f>
        <v/>
      </c>
    </row>
    <row r="1056">
      <c r="A1056" s="45" t="n"/>
      <c r="B1056" s="46">
        <f>IF(A1056="","",YEAR(A1056)&amp;" Q"&amp;ROUNDUP(MONTH(A1056)/3,0))</f>
        <v/>
      </c>
      <c r="C1056" s="47" t="n"/>
      <c r="D1056" s="47" t="n"/>
      <c r="E1056" s="47" t="n"/>
      <c r="F1056" s="47" t="n"/>
      <c r="G1056" s="48" t="n"/>
      <c r="H1056" s="49" t="n"/>
      <c r="I1056" s="50">
        <f>IF(G1056="","",ROUND(G1056*H1056,2))</f>
        <v/>
      </c>
      <c r="J1056" s="50">
        <f>IF(G1056="","",G1056+N(I1056))</f>
        <v/>
      </c>
      <c r="K1056" s="45" t="n"/>
      <c r="L1056" s="47" t="n"/>
      <c r="M1056" s="48" t="n"/>
      <c r="N1056" s="49" t="n"/>
      <c r="O1056" s="50">
        <f>IF(M1056="","",ROUND(M1056*N1056,2))</f>
        <v/>
      </c>
      <c r="P1056" s="50">
        <f>IF(M1056="","",M1056+N(O1056))</f>
        <v/>
      </c>
      <c r="Q1056" s="45" t="n"/>
      <c r="R1056" s="45" t="n"/>
      <c r="S1056" s="51">
        <f>IF(L1056="","",IF(COUNTIF(L$6:L1056,L1056)&gt;1,"",SUMIF(L$6:L$2000,L1056,M$6:M$2000)-SUMIF(L$6:L$2000,L1056,G$6:G$2000)))</f>
        <v/>
      </c>
      <c r="T1056" s="46">
        <f>IF(AND(C1056="",G1056=""),"",IF(L1056="","Nog factureren",IF(AND(G1056&lt;&gt;"",OR(K1056="",K1056&gt;TODAY())),"Nog betalen",IF(OR(R1056="",R1056&gt;TODAY()),"Wacht op klant","Afgerond"))))</f>
        <v/>
      </c>
    </row>
    <row r="1057">
      <c r="A1057" s="45" t="n"/>
      <c r="B1057" s="46">
        <f>IF(A1057="","",YEAR(A1057)&amp;" Q"&amp;ROUNDUP(MONTH(A1057)/3,0))</f>
        <v/>
      </c>
      <c r="C1057" s="47" t="n"/>
      <c r="D1057" s="47" t="n"/>
      <c r="E1057" s="47" t="n"/>
      <c r="F1057" s="47" t="n"/>
      <c r="G1057" s="48" t="n"/>
      <c r="H1057" s="49" t="n"/>
      <c r="I1057" s="50">
        <f>IF(G1057="","",ROUND(G1057*H1057,2))</f>
        <v/>
      </c>
      <c r="J1057" s="50">
        <f>IF(G1057="","",G1057+N(I1057))</f>
        <v/>
      </c>
      <c r="K1057" s="45" t="n"/>
      <c r="L1057" s="47" t="n"/>
      <c r="M1057" s="48" t="n"/>
      <c r="N1057" s="49" t="n"/>
      <c r="O1057" s="50">
        <f>IF(M1057="","",ROUND(M1057*N1057,2))</f>
        <v/>
      </c>
      <c r="P1057" s="50">
        <f>IF(M1057="","",M1057+N(O1057))</f>
        <v/>
      </c>
      <c r="Q1057" s="45" t="n"/>
      <c r="R1057" s="45" t="n"/>
      <c r="S1057" s="51">
        <f>IF(L1057="","",IF(COUNTIF(L$6:L1057,L1057)&gt;1,"",SUMIF(L$6:L$2000,L1057,M$6:M$2000)-SUMIF(L$6:L$2000,L1057,G$6:G$2000)))</f>
        <v/>
      </c>
      <c r="T1057" s="46">
        <f>IF(AND(C1057="",G1057=""),"",IF(L1057="","Nog factureren",IF(AND(G1057&lt;&gt;"",OR(K1057="",K1057&gt;TODAY())),"Nog betalen",IF(OR(R1057="",R1057&gt;TODAY()),"Wacht op klant","Afgerond"))))</f>
        <v/>
      </c>
    </row>
    <row r="1058">
      <c r="A1058" s="45" t="n"/>
      <c r="B1058" s="46">
        <f>IF(A1058="","",YEAR(A1058)&amp;" Q"&amp;ROUNDUP(MONTH(A1058)/3,0))</f>
        <v/>
      </c>
      <c r="C1058" s="47" t="n"/>
      <c r="D1058" s="47" t="n"/>
      <c r="E1058" s="47" t="n"/>
      <c r="F1058" s="47" t="n"/>
      <c r="G1058" s="48" t="n"/>
      <c r="H1058" s="49" t="n"/>
      <c r="I1058" s="50">
        <f>IF(G1058="","",ROUND(G1058*H1058,2))</f>
        <v/>
      </c>
      <c r="J1058" s="50">
        <f>IF(G1058="","",G1058+N(I1058))</f>
        <v/>
      </c>
      <c r="K1058" s="45" t="n"/>
      <c r="L1058" s="47" t="n"/>
      <c r="M1058" s="48" t="n"/>
      <c r="N1058" s="49" t="n"/>
      <c r="O1058" s="50">
        <f>IF(M1058="","",ROUND(M1058*N1058,2))</f>
        <v/>
      </c>
      <c r="P1058" s="50">
        <f>IF(M1058="","",M1058+N(O1058))</f>
        <v/>
      </c>
      <c r="Q1058" s="45" t="n"/>
      <c r="R1058" s="45" t="n"/>
      <c r="S1058" s="51">
        <f>IF(L1058="","",IF(COUNTIF(L$6:L1058,L1058)&gt;1,"",SUMIF(L$6:L$2000,L1058,M$6:M$2000)-SUMIF(L$6:L$2000,L1058,G$6:G$2000)))</f>
        <v/>
      </c>
      <c r="T1058" s="46">
        <f>IF(AND(C1058="",G1058=""),"",IF(L1058="","Nog factureren",IF(AND(G1058&lt;&gt;"",OR(K1058="",K1058&gt;TODAY())),"Nog betalen",IF(OR(R1058="",R1058&gt;TODAY()),"Wacht op klant","Afgerond"))))</f>
        <v/>
      </c>
    </row>
    <row r="1059">
      <c r="A1059" s="45" t="n"/>
      <c r="B1059" s="46">
        <f>IF(A1059="","",YEAR(A1059)&amp;" Q"&amp;ROUNDUP(MONTH(A1059)/3,0))</f>
        <v/>
      </c>
      <c r="C1059" s="47" t="n"/>
      <c r="D1059" s="47" t="n"/>
      <c r="E1059" s="47" t="n"/>
      <c r="F1059" s="47" t="n"/>
      <c r="G1059" s="48" t="n"/>
      <c r="H1059" s="49" t="n"/>
      <c r="I1059" s="50">
        <f>IF(G1059="","",ROUND(G1059*H1059,2))</f>
        <v/>
      </c>
      <c r="J1059" s="50">
        <f>IF(G1059="","",G1059+N(I1059))</f>
        <v/>
      </c>
      <c r="K1059" s="45" t="n"/>
      <c r="L1059" s="47" t="n"/>
      <c r="M1059" s="48" t="n"/>
      <c r="N1059" s="49" t="n"/>
      <c r="O1059" s="50">
        <f>IF(M1059="","",ROUND(M1059*N1059,2))</f>
        <v/>
      </c>
      <c r="P1059" s="50">
        <f>IF(M1059="","",M1059+N(O1059))</f>
        <v/>
      </c>
      <c r="Q1059" s="45" t="n"/>
      <c r="R1059" s="45" t="n"/>
      <c r="S1059" s="51">
        <f>IF(L1059="","",IF(COUNTIF(L$6:L1059,L1059)&gt;1,"",SUMIF(L$6:L$2000,L1059,M$6:M$2000)-SUMIF(L$6:L$2000,L1059,G$6:G$2000)))</f>
        <v/>
      </c>
      <c r="T1059" s="46">
        <f>IF(AND(C1059="",G1059=""),"",IF(L1059="","Nog factureren",IF(AND(G1059&lt;&gt;"",OR(K1059="",K1059&gt;TODAY())),"Nog betalen",IF(OR(R1059="",R1059&gt;TODAY()),"Wacht op klant","Afgerond"))))</f>
        <v/>
      </c>
    </row>
    <row r="1060">
      <c r="A1060" s="45" t="n"/>
      <c r="B1060" s="46">
        <f>IF(A1060="","",YEAR(A1060)&amp;" Q"&amp;ROUNDUP(MONTH(A1060)/3,0))</f>
        <v/>
      </c>
      <c r="C1060" s="47" t="n"/>
      <c r="D1060" s="47" t="n"/>
      <c r="E1060" s="47" t="n"/>
      <c r="F1060" s="47" t="n"/>
      <c r="G1060" s="48" t="n"/>
      <c r="H1060" s="49" t="n"/>
      <c r="I1060" s="50">
        <f>IF(G1060="","",ROUND(G1060*H1060,2))</f>
        <v/>
      </c>
      <c r="J1060" s="50">
        <f>IF(G1060="","",G1060+N(I1060))</f>
        <v/>
      </c>
      <c r="K1060" s="45" t="n"/>
      <c r="L1060" s="47" t="n"/>
      <c r="M1060" s="48" t="n"/>
      <c r="N1060" s="49" t="n"/>
      <c r="O1060" s="50">
        <f>IF(M1060="","",ROUND(M1060*N1060,2))</f>
        <v/>
      </c>
      <c r="P1060" s="50">
        <f>IF(M1060="","",M1060+N(O1060))</f>
        <v/>
      </c>
      <c r="Q1060" s="45" t="n"/>
      <c r="R1060" s="45" t="n"/>
      <c r="S1060" s="51">
        <f>IF(L1060="","",IF(COUNTIF(L$6:L1060,L1060)&gt;1,"",SUMIF(L$6:L$2000,L1060,M$6:M$2000)-SUMIF(L$6:L$2000,L1060,G$6:G$2000)))</f>
        <v/>
      </c>
      <c r="T1060" s="46">
        <f>IF(AND(C1060="",G1060=""),"",IF(L1060="","Nog factureren",IF(AND(G1060&lt;&gt;"",OR(K1060="",K1060&gt;TODAY())),"Nog betalen",IF(OR(R1060="",R1060&gt;TODAY()),"Wacht op klant","Afgerond"))))</f>
        <v/>
      </c>
    </row>
    <row r="1061">
      <c r="A1061" s="45" t="n"/>
      <c r="B1061" s="46">
        <f>IF(A1061="","",YEAR(A1061)&amp;" Q"&amp;ROUNDUP(MONTH(A1061)/3,0))</f>
        <v/>
      </c>
      <c r="C1061" s="47" t="n"/>
      <c r="D1061" s="47" t="n"/>
      <c r="E1061" s="47" t="n"/>
      <c r="F1061" s="47" t="n"/>
      <c r="G1061" s="48" t="n"/>
      <c r="H1061" s="49" t="n"/>
      <c r="I1061" s="50">
        <f>IF(G1061="","",ROUND(G1061*H1061,2))</f>
        <v/>
      </c>
      <c r="J1061" s="50">
        <f>IF(G1061="","",G1061+N(I1061))</f>
        <v/>
      </c>
      <c r="K1061" s="45" t="n"/>
      <c r="L1061" s="47" t="n"/>
      <c r="M1061" s="48" t="n"/>
      <c r="N1061" s="49" t="n"/>
      <c r="O1061" s="50">
        <f>IF(M1061="","",ROUND(M1061*N1061,2))</f>
        <v/>
      </c>
      <c r="P1061" s="50">
        <f>IF(M1061="","",M1061+N(O1061))</f>
        <v/>
      </c>
      <c r="Q1061" s="45" t="n"/>
      <c r="R1061" s="45" t="n"/>
      <c r="S1061" s="51">
        <f>IF(L1061="","",IF(COUNTIF(L$6:L1061,L1061)&gt;1,"",SUMIF(L$6:L$2000,L1061,M$6:M$2000)-SUMIF(L$6:L$2000,L1061,G$6:G$2000)))</f>
        <v/>
      </c>
      <c r="T1061" s="46">
        <f>IF(AND(C1061="",G1061=""),"",IF(L1061="","Nog factureren",IF(AND(G1061&lt;&gt;"",OR(K1061="",K1061&gt;TODAY())),"Nog betalen",IF(OR(R1061="",R1061&gt;TODAY()),"Wacht op klant","Afgerond"))))</f>
        <v/>
      </c>
    </row>
    <row r="1062">
      <c r="A1062" s="45" t="n"/>
      <c r="B1062" s="46">
        <f>IF(A1062="","",YEAR(A1062)&amp;" Q"&amp;ROUNDUP(MONTH(A1062)/3,0))</f>
        <v/>
      </c>
      <c r="C1062" s="47" t="n"/>
      <c r="D1062" s="47" t="n"/>
      <c r="E1062" s="47" t="n"/>
      <c r="F1062" s="47" t="n"/>
      <c r="G1062" s="48" t="n"/>
      <c r="H1062" s="49" t="n"/>
      <c r="I1062" s="50">
        <f>IF(G1062="","",ROUND(G1062*H1062,2))</f>
        <v/>
      </c>
      <c r="J1062" s="50">
        <f>IF(G1062="","",G1062+N(I1062))</f>
        <v/>
      </c>
      <c r="K1062" s="45" t="n"/>
      <c r="L1062" s="47" t="n"/>
      <c r="M1062" s="48" t="n"/>
      <c r="N1062" s="49" t="n"/>
      <c r="O1062" s="50">
        <f>IF(M1062="","",ROUND(M1062*N1062,2))</f>
        <v/>
      </c>
      <c r="P1062" s="50">
        <f>IF(M1062="","",M1062+N(O1062))</f>
        <v/>
      </c>
      <c r="Q1062" s="45" t="n"/>
      <c r="R1062" s="45" t="n"/>
      <c r="S1062" s="51">
        <f>IF(L1062="","",IF(COUNTIF(L$6:L1062,L1062)&gt;1,"",SUMIF(L$6:L$2000,L1062,M$6:M$2000)-SUMIF(L$6:L$2000,L1062,G$6:G$2000)))</f>
        <v/>
      </c>
      <c r="T1062" s="46">
        <f>IF(AND(C1062="",G1062=""),"",IF(L1062="","Nog factureren",IF(AND(G1062&lt;&gt;"",OR(K1062="",K1062&gt;TODAY())),"Nog betalen",IF(OR(R1062="",R1062&gt;TODAY()),"Wacht op klant","Afgerond"))))</f>
        <v/>
      </c>
    </row>
    <row r="1063">
      <c r="A1063" s="45" t="n"/>
      <c r="B1063" s="46">
        <f>IF(A1063="","",YEAR(A1063)&amp;" Q"&amp;ROUNDUP(MONTH(A1063)/3,0))</f>
        <v/>
      </c>
      <c r="C1063" s="47" t="n"/>
      <c r="D1063" s="47" t="n"/>
      <c r="E1063" s="47" t="n"/>
      <c r="F1063" s="47" t="n"/>
      <c r="G1063" s="48" t="n"/>
      <c r="H1063" s="49" t="n"/>
      <c r="I1063" s="50">
        <f>IF(G1063="","",ROUND(G1063*H1063,2))</f>
        <v/>
      </c>
      <c r="J1063" s="50">
        <f>IF(G1063="","",G1063+N(I1063))</f>
        <v/>
      </c>
      <c r="K1063" s="45" t="n"/>
      <c r="L1063" s="47" t="n"/>
      <c r="M1063" s="48" t="n"/>
      <c r="N1063" s="49" t="n"/>
      <c r="O1063" s="50">
        <f>IF(M1063="","",ROUND(M1063*N1063,2))</f>
        <v/>
      </c>
      <c r="P1063" s="50">
        <f>IF(M1063="","",M1063+N(O1063))</f>
        <v/>
      </c>
      <c r="Q1063" s="45" t="n"/>
      <c r="R1063" s="45" t="n"/>
      <c r="S1063" s="51">
        <f>IF(L1063="","",IF(COUNTIF(L$6:L1063,L1063)&gt;1,"",SUMIF(L$6:L$2000,L1063,M$6:M$2000)-SUMIF(L$6:L$2000,L1063,G$6:G$2000)))</f>
        <v/>
      </c>
      <c r="T1063" s="46">
        <f>IF(AND(C1063="",G1063=""),"",IF(L1063="","Nog factureren",IF(AND(G1063&lt;&gt;"",OR(K1063="",K1063&gt;TODAY())),"Nog betalen",IF(OR(R1063="",R1063&gt;TODAY()),"Wacht op klant","Afgerond"))))</f>
        <v/>
      </c>
    </row>
    <row r="1064">
      <c r="A1064" s="45" t="n"/>
      <c r="B1064" s="46">
        <f>IF(A1064="","",YEAR(A1064)&amp;" Q"&amp;ROUNDUP(MONTH(A1064)/3,0))</f>
        <v/>
      </c>
      <c r="C1064" s="47" t="n"/>
      <c r="D1064" s="47" t="n"/>
      <c r="E1064" s="47" t="n"/>
      <c r="F1064" s="47" t="n"/>
      <c r="G1064" s="48" t="n"/>
      <c r="H1064" s="49" t="n"/>
      <c r="I1064" s="50">
        <f>IF(G1064="","",ROUND(G1064*H1064,2))</f>
        <v/>
      </c>
      <c r="J1064" s="50">
        <f>IF(G1064="","",G1064+N(I1064))</f>
        <v/>
      </c>
      <c r="K1064" s="45" t="n"/>
      <c r="L1064" s="47" t="n"/>
      <c r="M1064" s="48" t="n"/>
      <c r="N1064" s="49" t="n"/>
      <c r="O1064" s="50">
        <f>IF(M1064="","",ROUND(M1064*N1064,2))</f>
        <v/>
      </c>
      <c r="P1064" s="50">
        <f>IF(M1064="","",M1064+N(O1064))</f>
        <v/>
      </c>
      <c r="Q1064" s="45" t="n"/>
      <c r="R1064" s="45" t="n"/>
      <c r="S1064" s="51">
        <f>IF(L1064="","",IF(COUNTIF(L$6:L1064,L1064)&gt;1,"",SUMIF(L$6:L$2000,L1064,M$6:M$2000)-SUMIF(L$6:L$2000,L1064,G$6:G$2000)))</f>
        <v/>
      </c>
      <c r="T1064" s="46">
        <f>IF(AND(C1064="",G1064=""),"",IF(L1064="","Nog factureren",IF(AND(G1064&lt;&gt;"",OR(K1064="",K1064&gt;TODAY())),"Nog betalen",IF(OR(R1064="",R1064&gt;TODAY()),"Wacht op klant","Afgerond"))))</f>
        <v/>
      </c>
    </row>
    <row r="1065">
      <c r="A1065" s="45" t="n"/>
      <c r="B1065" s="46">
        <f>IF(A1065="","",YEAR(A1065)&amp;" Q"&amp;ROUNDUP(MONTH(A1065)/3,0))</f>
        <v/>
      </c>
      <c r="C1065" s="47" t="n"/>
      <c r="D1065" s="47" t="n"/>
      <c r="E1065" s="47" t="n"/>
      <c r="F1065" s="47" t="n"/>
      <c r="G1065" s="48" t="n"/>
      <c r="H1065" s="49" t="n"/>
      <c r="I1065" s="50">
        <f>IF(G1065="","",ROUND(G1065*H1065,2))</f>
        <v/>
      </c>
      <c r="J1065" s="50">
        <f>IF(G1065="","",G1065+N(I1065))</f>
        <v/>
      </c>
      <c r="K1065" s="45" t="n"/>
      <c r="L1065" s="47" t="n"/>
      <c r="M1065" s="48" t="n"/>
      <c r="N1065" s="49" t="n"/>
      <c r="O1065" s="50">
        <f>IF(M1065="","",ROUND(M1065*N1065,2))</f>
        <v/>
      </c>
      <c r="P1065" s="50">
        <f>IF(M1065="","",M1065+N(O1065))</f>
        <v/>
      </c>
      <c r="Q1065" s="45" t="n"/>
      <c r="R1065" s="45" t="n"/>
      <c r="S1065" s="51">
        <f>IF(L1065="","",IF(COUNTIF(L$6:L1065,L1065)&gt;1,"",SUMIF(L$6:L$2000,L1065,M$6:M$2000)-SUMIF(L$6:L$2000,L1065,G$6:G$2000)))</f>
        <v/>
      </c>
      <c r="T1065" s="46">
        <f>IF(AND(C1065="",G1065=""),"",IF(L1065="","Nog factureren",IF(AND(G1065&lt;&gt;"",OR(K1065="",K1065&gt;TODAY())),"Nog betalen",IF(OR(R1065="",R1065&gt;TODAY()),"Wacht op klant","Afgerond"))))</f>
        <v/>
      </c>
    </row>
    <row r="1066">
      <c r="A1066" s="45" t="n"/>
      <c r="B1066" s="46">
        <f>IF(A1066="","",YEAR(A1066)&amp;" Q"&amp;ROUNDUP(MONTH(A1066)/3,0))</f>
        <v/>
      </c>
      <c r="C1066" s="47" t="n"/>
      <c r="D1066" s="47" t="n"/>
      <c r="E1066" s="47" t="n"/>
      <c r="F1066" s="47" t="n"/>
      <c r="G1066" s="48" t="n"/>
      <c r="H1066" s="49" t="n"/>
      <c r="I1066" s="50">
        <f>IF(G1066="","",ROUND(G1066*H1066,2))</f>
        <v/>
      </c>
      <c r="J1066" s="50">
        <f>IF(G1066="","",G1066+N(I1066))</f>
        <v/>
      </c>
      <c r="K1066" s="45" t="n"/>
      <c r="L1066" s="47" t="n"/>
      <c r="M1066" s="48" t="n"/>
      <c r="N1066" s="49" t="n"/>
      <c r="O1066" s="50">
        <f>IF(M1066="","",ROUND(M1066*N1066,2))</f>
        <v/>
      </c>
      <c r="P1066" s="50">
        <f>IF(M1066="","",M1066+N(O1066))</f>
        <v/>
      </c>
      <c r="Q1066" s="45" t="n"/>
      <c r="R1066" s="45" t="n"/>
      <c r="S1066" s="51">
        <f>IF(L1066="","",IF(COUNTIF(L$6:L1066,L1066)&gt;1,"",SUMIF(L$6:L$2000,L1066,M$6:M$2000)-SUMIF(L$6:L$2000,L1066,G$6:G$2000)))</f>
        <v/>
      </c>
      <c r="T1066" s="46">
        <f>IF(AND(C1066="",G1066=""),"",IF(L1066="","Nog factureren",IF(AND(G1066&lt;&gt;"",OR(K1066="",K1066&gt;TODAY())),"Nog betalen",IF(OR(R1066="",R1066&gt;TODAY()),"Wacht op klant","Afgerond"))))</f>
        <v/>
      </c>
    </row>
    <row r="1067">
      <c r="A1067" s="45" t="n"/>
      <c r="B1067" s="46">
        <f>IF(A1067="","",YEAR(A1067)&amp;" Q"&amp;ROUNDUP(MONTH(A1067)/3,0))</f>
        <v/>
      </c>
      <c r="C1067" s="47" t="n"/>
      <c r="D1067" s="47" t="n"/>
      <c r="E1067" s="47" t="n"/>
      <c r="F1067" s="47" t="n"/>
      <c r="G1067" s="48" t="n"/>
      <c r="H1067" s="49" t="n"/>
      <c r="I1067" s="50">
        <f>IF(G1067="","",ROUND(G1067*H1067,2))</f>
        <v/>
      </c>
      <c r="J1067" s="50">
        <f>IF(G1067="","",G1067+N(I1067))</f>
        <v/>
      </c>
      <c r="K1067" s="45" t="n"/>
      <c r="L1067" s="47" t="n"/>
      <c r="M1067" s="48" t="n"/>
      <c r="N1067" s="49" t="n"/>
      <c r="O1067" s="50">
        <f>IF(M1067="","",ROUND(M1067*N1067,2))</f>
        <v/>
      </c>
      <c r="P1067" s="50">
        <f>IF(M1067="","",M1067+N(O1067))</f>
        <v/>
      </c>
      <c r="Q1067" s="45" t="n"/>
      <c r="R1067" s="45" t="n"/>
      <c r="S1067" s="51">
        <f>IF(L1067="","",IF(COUNTIF(L$6:L1067,L1067)&gt;1,"",SUMIF(L$6:L$2000,L1067,M$6:M$2000)-SUMIF(L$6:L$2000,L1067,G$6:G$2000)))</f>
        <v/>
      </c>
      <c r="T1067" s="46">
        <f>IF(AND(C1067="",G1067=""),"",IF(L1067="","Nog factureren",IF(AND(G1067&lt;&gt;"",OR(K1067="",K1067&gt;TODAY())),"Nog betalen",IF(OR(R1067="",R1067&gt;TODAY()),"Wacht op klant","Afgerond"))))</f>
        <v/>
      </c>
    </row>
    <row r="1068">
      <c r="A1068" s="45" t="n"/>
      <c r="B1068" s="46">
        <f>IF(A1068="","",YEAR(A1068)&amp;" Q"&amp;ROUNDUP(MONTH(A1068)/3,0))</f>
        <v/>
      </c>
      <c r="C1068" s="47" t="n"/>
      <c r="D1068" s="47" t="n"/>
      <c r="E1068" s="47" t="n"/>
      <c r="F1068" s="47" t="n"/>
      <c r="G1068" s="48" t="n"/>
      <c r="H1068" s="49" t="n"/>
      <c r="I1068" s="50">
        <f>IF(G1068="","",ROUND(G1068*H1068,2))</f>
        <v/>
      </c>
      <c r="J1068" s="50">
        <f>IF(G1068="","",G1068+N(I1068))</f>
        <v/>
      </c>
      <c r="K1068" s="45" t="n"/>
      <c r="L1068" s="47" t="n"/>
      <c r="M1068" s="48" t="n"/>
      <c r="N1068" s="49" t="n"/>
      <c r="O1068" s="50">
        <f>IF(M1068="","",ROUND(M1068*N1068,2))</f>
        <v/>
      </c>
      <c r="P1068" s="50">
        <f>IF(M1068="","",M1068+N(O1068))</f>
        <v/>
      </c>
      <c r="Q1068" s="45" t="n"/>
      <c r="R1068" s="45" t="n"/>
      <c r="S1068" s="51">
        <f>IF(L1068="","",IF(COUNTIF(L$6:L1068,L1068)&gt;1,"",SUMIF(L$6:L$2000,L1068,M$6:M$2000)-SUMIF(L$6:L$2000,L1068,G$6:G$2000)))</f>
        <v/>
      </c>
      <c r="T1068" s="46">
        <f>IF(AND(C1068="",G1068=""),"",IF(L1068="","Nog factureren",IF(AND(G1068&lt;&gt;"",OR(K1068="",K1068&gt;TODAY())),"Nog betalen",IF(OR(R1068="",R1068&gt;TODAY()),"Wacht op klant","Afgerond"))))</f>
        <v/>
      </c>
    </row>
    <row r="1069">
      <c r="A1069" s="45" t="n"/>
      <c r="B1069" s="46">
        <f>IF(A1069="","",YEAR(A1069)&amp;" Q"&amp;ROUNDUP(MONTH(A1069)/3,0))</f>
        <v/>
      </c>
      <c r="C1069" s="47" t="n"/>
      <c r="D1069" s="47" t="n"/>
      <c r="E1069" s="47" t="n"/>
      <c r="F1069" s="47" t="n"/>
      <c r="G1069" s="48" t="n"/>
      <c r="H1069" s="49" t="n"/>
      <c r="I1069" s="50">
        <f>IF(G1069="","",ROUND(G1069*H1069,2))</f>
        <v/>
      </c>
      <c r="J1069" s="50">
        <f>IF(G1069="","",G1069+N(I1069))</f>
        <v/>
      </c>
      <c r="K1069" s="45" t="n"/>
      <c r="L1069" s="47" t="n"/>
      <c r="M1069" s="48" t="n"/>
      <c r="N1069" s="49" t="n"/>
      <c r="O1069" s="50">
        <f>IF(M1069="","",ROUND(M1069*N1069,2))</f>
        <v/>
      </c>
      <c r="P1069" s="50">
        <f>IF(M1069="","",M1069+N(O1069))</f>
        <v/>
      </c>
      <c r="Q1069" s="45" t="n"/>
      <c r="R1069" s="45" t="n"/>
      <c r="S1069" s="51">
        <f>IF(L1069="","",IF(COUNTIF(L$6:L1069,L1069)&gt;1,"",SUMIF(L$6:L$2000,L1069,M$6:M$2000)-SUMIF(L$6:L$2000,L1069,G$6:G$2000)))</f>
        <v/>
      </c>
      <c r="T1069" s="46">
        <f>IF(AND(C1069="",G1069=""),"",IF(L1069="","Nog factureren",IF(AND(G1069&lt;&gt;"",OR(K1069="",K1069&gt;TODAY())),"Nog betalen",IF(OR(R1069="",R1069&gt;TODAY()),"Wacht op klant","Afgerond"))))</f>
        <v/>
      </c>
    </row>
    <row r="1070">
      <c r="A1070" s="45" t="n"/>
      <c r="B1070" s="46">
        <f>IF(A1070="","",YEAR(A1070)&amp;" Q"&amp;ROUNDUP(MONTH(A1070)/3,0))</f>
        <v/>
      </c>
      <c r="C1070" s="47" t="n"/>
      <c r="D1070" s="47" t="n"/>
      <c r="E1070" s="47" t="n"/>
      <c r="F1070" s="47" t="n"/>
      <c r="G1070" s="48" t="n"/>
      <c r="H1070" s="49" t="n"/>
      <c r="I1070" s="50">
        <f>IF(G1070="","",ROUND(G1070*H1070,2))</f>
        <v/>
      </c>
      <c r="J1070" s="50">
        <f>IF(G1070="","",G1070+N(I1070))</f>
        <v/>
      </c>
      <c r="K1070" s="45" t="n"/>
      <c r="L1070" s="47" t="n"/>
      <c r="M1070" s="48" t="n"/>
      <c r="N1070" s="49" t="n"/>
      <c r="O1070" s="50">
        <f>IF(M1070="","",ROUND(M1070*N1070,2))</f>
        <v/>
      </c>
      <c r="P1070" s="50">
        <f>IF(M1070="","",M1070+N(O1070))</f>
        <v/>
      </c>
      <c r="Q1070" s="45" t="n"/>
      <c r="R1070" s="45" t="n"/>
      <c r="S1070" s="51">
        <f>IF(L1070="","",IF(COUNTIF(L$6:L1070,L1070)&gt;1,"",SUMIF(L$6:L$2000,L1070,M$6:M$2000)-SUMIF(L$6:L$2000,L1070,G$6:G$2000)))</f>
        <v/>
      </c>
      <c r="T1070" s="46">
        <f>IF(AND(C1070="",G1070=""),"",IF(L1070="","Nog factureren",IF(AND(G1070&lt;&gt;"",OR(K1070="",K1070&gt;TODAY())),"Nog betalen",IF(OR(R1070="",R1070&gt;TODAY()),"Wacht op klant","Afgerond"))))</f>
        <v/>
      </c>
    </row>
    <row r="1071">
      <c r="A1071" s="45" t="n"/>
      <c r="B1071" s="46">
        <f>IF(A1071="","",YEAR(A1071)&amp;" Q"&amp;ROUNDUP(MONTH(A1071)/3,0))</f>
        <v/>
      </c>
      <c r="C1071" s="47" t="n"/>
      <c r="D1071" s="47" t="n"/>
      <c r="E1071" s="47" t="n"/>
      <c r="F1071" s="47" t="n"/>
      <c r="G1071" s="48" t="n"/>
      <c r="H1071" s="49" t="n"/>
      <c r="I1071" s="50">
        <f>IF(G1071="","",ROUND(G1071*H1071,2))</f>
        <v/>
      </c>
      <c r="J1071" s="50">
        <f>IF(G1071="","",G1071+N(I1071))</f>
        <v/>
      </c>
      <c r="K1071" s="45" t="n"/>
      <c r="L1071" s="47" t="n"/>
      <c r="M1071" s="48" t="n"/>
      <c r="N1071" s="49" t="n"/>
      <c r="O1071" s="50">
        <f>IF(M1071="","",ROUND(M1071*N1071,2))</f>
        <v/>
      </c>
      <c r="P1071" s="50">
        <f>IF(M1071="","",M1071+N(O1071))</f>
        <v/>
      </c>
      <c r="Q1071" s="45" t="n"/>
      <c r="R1071" s="45" t="n"/>
      <c r="S1071" s="51">
        <f>IF(L1071="","",IF(COUNTIF(L$6:L1071,L1071)&gt;1,"",SUMIF(L$6:L$2000,L1071,M$6:M$2000)-SUMIF(L$6:L$2000,L1071,G$6:G$2000)))</f>
        <v/>
      </c>
      <c r="T1071" s="46">
        <f>IF(AND(C1071="",G1071=""),"",IF(L1071="","Nog factureren",IF(AND(G1071&lt;&gt;"",OR(K1071="",K1071&gt;TODAY())),"Nog betalen",IF(OR(R1071="",R1071&gt;TODAY()),"Wacht op klant","Afgerond"))))</f>
        <v/>
      </c>
    </row>
    <row r="1072">
      <c r="A1072" s="45" t="n"/>
      <c r="B1072" s="46">
        <f>IF(A1072="","",YEAR(A1072)&amp;" Q"&amp;ROUNDUP(MONTH(A1072)/3,0))</f>
        <v/>
      </c>
      <c r="C1072" s="47" t="n"/>
      <c r="D1072" s="47" t="n"/>
      <c r="E1072" s="47" t="n"/>
      <c r="F1072" s="47" t="n"/>
      <c r="G1072" s="48" t="n"/>
      <c r="H1072" s="49" t="n"/>
      <c r="I1072" s="50">
        <f>IF(G1072="","",ROUND(G1072*H1072,2))</f>
        <v/>
      </c>
      <c r="J1072" s="50">
        <f>IF(G1072="","",G1072+N(I1072))</f>
        <v/>
      </c>
      <c r="K1072" s="45" t="n"/>
      <c r="L1072" s="47" t="n"/>
      <c r="M1072" s="48" t="n"/>
      <c r="N1072" s="49" t="n"/>
      <c r="O1072" s="50">
        <f>IF(M1072="","",ROUND(M1072*N1072,2))</f>
        <v/>
      </c>
      <c r="P1072" s="50">
        <f>IF(M1072="","",M1072+N(O1072))</f>
        <v/>
      </c>
      <c r="Q1072" s="45" t="n"/>
      <c r="R1072" s="45" t="n"/>
      <c r="S1072" s="51">
        <f>IF(L1072="","",IF(COUNTIF(L$6:L1072,L1072)&gt;1,"",SUMIF(L$6:L$2000,L1072,M$6:M$2000)-SUMIF(L$6:L$2000,L1072,G$6:G$2000)))</f>
        <v/>
      </c>
      <c r="T1072" s="46">
        <f>IF(AND(C1072="",G1072=""),"",IF(L1072="","Nog factureren",IF(AND(G1072&lt;&gt;"",OR(K1072="",K1072&gt;TODAY())),"Nog betalen",IF(OR(R1072="",R1072&gt;TODAY()),"Wacht op klant","Afgerond"))))</f>
        <v/>
      </c>
    </row>
    <row r="1073">
      <c r="A1073" s="45" t="n"/>
      <c r="B1073" s="46">
        <f>IF(A1073="","",YEAR(A1073)&amp;" Q"&amp;ROUNDUP(MONTH(A1073)/3,0))</f>
        <v/>
      </c>
      <c r="C1073" s="47" t="n"/>
      <c r="D1073" s="47" t="n"/>
      <c r="E1073" s="47" t="n"/>
      <c r="F1073" s="47" t="n"/>
      <c r="G1073" s="48" t="n"/>
      <c r="H1073" s="49" t="n"/>
      <c r="I1073" s="50">
        <f>IF(G1073="","",ROUND(G1073*H1073,2))</f>
        <v/>
      </c>
      <c r="J1073" s="50">
        <f>IF(G1073="","",G1073+N(I1073))</f>
        <v/>
      </c>
      <c r="K1073" s="45" t="n"/>
      <c r="L1073" s="47" t="n"/>
      <c r="M1073" s="48" t="n"/>
      <c r="N1073" s="49" t="n"/>
      <c r="O1073" s="50">
        <f>IF(M1073="","",ROUND(M1073*N1073,2))</f>
        <v/>
      </c>
      <c r="P1073" s="50">
        <f>IF(M1073="","",M1073+N(O1073))</f>
        <v/>
      </c>
      <c r="Q1073" s="45" t="n"/>
      <c r="R1073" s="45" t="n"/>
      <c r="S1073" s="51">
        <f>IF(L1073="","",IF(COUNTIF(L$6:L1073,L1073)&gt;1,"",SUMIF(L$6:L$2000,L1073,M$6:M$2000)-SUMIF(L$6:L$2000,L1073,G$6:G$2000)))</f>
        <v/>
      </c>
      <c r="T1073" s="46">
        <f>IF(AND(C1073="",G1073=""),"",IF(L1073="","Nog factureren",IF(AND(G1073&lt;&gt;"",OR(K1073="",K1073&gt;TODAY())),"Nog betalen",IF(OR(R1073="",R1073&gt;TODAY()),"Wacht op klant","Afgerond"))))</f>
        <v/>
      </c>
    </row>
    <row r="1074">
      <c r="A1074" s="45" t="n"/>
      <c r="B1074" s="46">
        <f>IF(A1074="","",YEAR(A1074)&amp;" Q"&amp;ROUNDUP(MONTH(A1074)/3,0))</f>
        <v/>
      </c>
      <c r="C1074" s="47" t="n"/>
      <c r="D1074" s="47" t="n"/>
      <c r="E1074" s="47" t="n"/>
      <c r="F1074" s="47" t="n"/>
      <c r="G1074" s="48" t="n"/>
      <c r="H1074" s="49" t="n"/>
      <c r="I1074" s="50">
        <f>IF(G1074="","",ROUND(G1074*H1074,2))</f>
        <v/>
      </c>
      <c r="J1074" s="50">
        <f>IF(G1074="","",G1074+N(I1074))</f>
        <v/>
      </c>
      <c r="K1074" s="45" t="n"/>
      <c r="L1074" s="47" t="n"/>
      <c r="M1074" s="48" t="n"/>
      <c r="N1074" s="49" t="n"/>
      <c r="O1074" s="50">
        <f>IF(M1074="","",ROUND(M1074*N1074,2))</f>
        <v/>
      </c>
      <c r="P1074" s="50">
        <f>IF(M1074="","",M1074+N(O1074))</f>
        <v/>
      </c>
      <c r="Q1074" s="45" t="n"/>
      <c r="R1074" s="45" t="n"/>
      <c r="S1074" s="51">
        <f>IF(L1074="","",IF(COUNTIF(L$6:L1074,L1074)&gt;1,"",SUMIF(L$6:L$2000,L1074,M$6:M$2000)-SUMIF(L$6:L$2000,L1074,G$6:G$2000)))</f>
        <v/>
      </c>
      <c r="T1074" s="46">
        <f>IF(AND(C1074="",G1074=""),"",IF(L1074="","Nog factureren",IF(AND(G1074&lt;&gt;"",OR(K1074="",K1074&gt;TODAY())),"Nog betalen",IF(OR(R1074="",R1074&gt;TODAY()),"Wacht op klant","Afgerond"))))</f>
        <v/>
      </c>
    </row>
    <row r="1075">
      <c r="A1075" s="45" t="n"/>
      <c r="B1075" s="46">
        <f>IF(A1075="","",YEAR(A1075)&amp;" Q"&amp;ROUNDUP(MONTH(A1075)/3,0))</f>
        <v/>
      </c>
      <c r="C1075" s="47" t="n"/>
      <c r="D1075" s="47" t="n"/>
      <c r="E1075" s="47" t="n"/>
      <c r="F1075" s="47" t="n"/>
      <c r="G1075" s="48" t="n"/>
      <c r="H1075" s="49" t="n"/>
      <c r="I1075" s="50">
        <f>IF(G1075="","",ROUND(G1075*H1075,2))</f>
        <v/>
      </c>
      <c r="J1075" s="50">
        <f>IF(G1075="","",G1075+N(I1075))</f>
        <v/>
      </c>
      <c r="K1075" s="45" t="n"/>
      <c r="L1075" s="47" t="n"/>
      <c r="M1075" s="48" t="n"/>
      <c r="N1075" s="49" t="n"/>
      <c r="O1075" s="50">
        <f>IF(M1075="","",ROUND(M1075*N1075,2))</f>
        <v/>
      </c>
      <c r="P1075" s="50">
        <f>IF(M1075="","",M1075+N(O1075))</f>
        <v/>
      </c>
      <c r="Q1075" s="45" t="n"/>
      <c r="R1075" s="45" t="n"/>
      <c r="S1075" s="51">
        <f>IF(L1075="","",IF(COUNTIF(L$6:L1075,L1075)&gt;1,"",SUMIF(L$6:L$2000,L1075,M$6:M$2000)-SUMIF(L$6:L$2000,L1075,G$6:G$2000)))</f>
        <v/>
      </c>
      <c r="T1075" s="46">
        <f>IF(AND(C1075="",G1075=""),"",IF(L1075="","Nog factureren",IF(AND(G1075&lt;&gt;"",OR(K1075="",K1075&gt;TODAY())),"Nog betalen",IF(OR(R1075="",R1075&gt;TODAY()),"Wacht op klant","Afgerond"))))</f>
        <v/>
      </c>
    </row>
    <row r="1076">
      <c r="A1076" s="45" t="n"/>
      <c r="B1076" s="46">
        <f>IF(A1076="","",YEAR(A1076)&amp;" Q"&amp;ROUNDUP(MONTH(A1076)/3,0))</f>
        <v/>
      </c>
      <c r="C1076" s="47" t="n"/>
      <c r="D1076" s="47" t="n"/>
      <c r="E1076" s="47" t="n"/>
      <c r="F1076" s="47" t="n"/>
      <c r="G1076" s="48" t="n"/>
      <c r="H1076" s="49" t="n"/>
      <c r="I1076" s="50">
        <f>IF(G1076="","",ROUND(G1076*H1076,2))</f>
        <v/>
      </c>
      <c r="J1076" s="50">
        <f>IF(G1076="","",G1076+N(I1076))</f>
        <v/>
      </c>
      <c r="K1076" s="45" t="n"/>
      <c r="L1076" s="47" t="n"/>
      <c r="M1076" s="48" t="n"/>
      <c r="N1076" s="49" t="n"/>
      <c r="O1076" s="50">
        <f>IF(M1076="","",ROUND(M1076*N1076,2))</f>
        <v/>
      </c>
      <c r="P1076" s="50">
        <f>IF(M1076="","",M1076+N(O1076))</f>
        <v/>
      </c>
      <c r="Q1076" s="45" t="n"/>
      <c r="R1076" s="45" t="n"/>
      <c r="S1076" s="51">
        <f>IF(L1076="","",IF(COUNTIF(L$6:L1076,L1076)&gt;1,"",SUMIF(L$6:L$2000,L1076,M$6:M$2000)-SUMIF(L$6:L$2000,L1076,G$6:G$2000)))</f>
        <v/>
      </c>
      <c r="T1076" s="46">
        <f>IF(AND(C1076="",G1076=""),"",IF(L1076="","Nog factureren",IF(AND(G1076&lt;&gt;"",OR(K1076="",K1076&gt;TODAY())),"Nog betalen",IF(OR(R1076="",R1076&gt;TODAY()),"Wacht op klant","Afgerond"))))</f>
        <v/>
      </c>
    </row>
    <row r="1077">
      <c r="A1077" s="45" t="n"/>
      <c r="B1077" s="46">
        <f>IF(A1077="","",YEAR(A1077)&amp;" Q"&amp;ROUNDUP(MONTH(A1077)/3,0))</f>
        <v/>
      </c>
      <c r="C1077" s="47" t="n"/>
      <c r="D1077" s="47" t="n"/>
      <c r="E1077" s="47" t="n"/>
      <c r="F1077" s="47" t="n"/>
      <c r="G1077" s="48" t="n"/>
      <c r="H1077" s="49" t="n"/>
      <c r="I1077" s="50">
        <f>IF(G1077="","",ROUND(G1077*H1077,2))</f>
        <v/>
      </c>
      <c r="J1077" s="50">
        <f>IF(G1077="","",G1077+N(I1077))</f>
        <v/>
      </c>
      <c r="K1077" s="45" t="n"/>
      <c r="L1077" s="47" t="n"/>
      <c r="M1077" s="48" t="n"/>
      <c r="N1077" s="49" t="n"/>
      <c r="O1077" s="50">
        <f>IF(M1077="","",ROUND(M1077*N1077,2))</f>
        <v/>
      </c>
      <c r="P1077" s="50">
        <f>IF(M1077="","",M1077+N(O1077))</f>
        <v/>
      </c>
      <c r="Q1077" s="45" t="n"/>
      <c r="R1077" s="45" t="n"/>
      <c r="S1077" s="51">
        <f>IF(L1077="","",IF(COUNTIF(L$6:L1077,L1077)&gt;1,"",SUMIF(L$6:L$2000,L1077,M$6:M$2000)-SUMIF(L$6:L$2000,L1077,G$6:G$2000)))</f>
        <v/>
      </c>
      <c r="T1077" s="46">
        <f>IF(AND(C1077="",G1077=""),"",IF(L1077="","Nog factureren",IF(AND(G1077&lt;&gt;"",OR(K1077="",K1077&gt;TODAY())),"Nog betalen",IF(OR(R1077="",R1077&gt;TODAY()),"Wacht op klant","Afgerond"))))</f>
        <v/>
      </c>
    </row>
    <row r="1078">
      <c r="A1078" s="45" t="n"/>
      <c r="B1078" s="46">
        <f>IF(A1078="","",YEAR(A1078)&amp;" Q"&amp;ROUNDUP(MONTH(A1078)/3,0))</f>
        <v/>
      </c>
      <c r="C1078" s="47" t="n"/>
      <c r="D1078" s="47" t="n"/>
      <c r="E1078" s="47" t="n"/>
      <c r="F1078" s="47" t="n"/>
      <c r="G1078" s="48" t="n"/>
      <c r="H1078" s="49" t="n"/>
      <c r="I1078" s="50">
        <f>IF(G1078="","",ROUND(G1078*H1078,2))</f>
        <v/>
      </c>
      <c r="J1078" s="50">
        <f>IF(G1078="","",G1078+N(I1078))</f>
        <v/>
      </c>
      <c r="K1078" s="45" t="n"/>
      <c r="L1078" s="47" t="n"/>
      <c r="M1078" s="48" t="n"/>
      <c r="N1078" s="49" t="n"/>
      <c r="O1078" s="50">
        <f>IF(M1078="","",ROUND(M1078*N1078,2))</f>
        <v/>
      </c>
      <c r="P1078" s="50">
        <f>IF(M1078="","",M1078+N(O1078))</f>
        <v/>
      </c>
      <c r="Q1078" s="45" t="n"/>
      <c r="R1078" s="45" t="n"/>
      <c r="S1078" s="51">
        <f>IF(L1078="","",IF(COUNTIF(L$6:L1078,L1078)&gt;1,"",SUMIF(L$6:L$2000,L1078,M$6:M$2000)-SUMIF(L$6:L$2000,L1078,G$6:G$2000)))</f>
        <v/>
      </c>
      <c r="T1078" s="46">
        <f>IF(AND(C1078="",G1078=""),"",IF(L1078="","Nog factureren",IF(AND(G1078&lt;&gt;"",OR(K1078="",K1078&gt;TODAY())),"Nog betalen",IF(OR(R1078="",R1078&gt;TODAY()),"Wacht op klant","Afgerond"))))</f>
        <v/>
      </c>
    </row>
    <row r="1079">
      <c r="A1079" s="45" t="n"/>
      <c r="B1079" s="46">
        <f>IF(A1079="","",YEAR(A1079)&amp;" Q"&amp;ROUNDUP(MONTH(A1079)/3,0))</f>
        <v/>
      </c>
      <c r="C1079" s="47" t="n"/>
      <c r="D1079" s="47" t="n"/>
      <c r="E1079" s="47" t="n"/>
      <c r="F1079" s="47" t="n"/>
      <c r="G1079" s="48" t="n"/>
      <c r="H1079" s="49" t="n"/>
      <c r="I1079" s="50">
        <f>IF(G1079="","",ROUND(G1079*H1079,2))</f>
        <v/>
      </c>
      <c r="J1079" s="50">
        <f>IF(G1079="","",G1079+N(I1079))</f>
        <v/>
      </c>
      <c r="K1079" s="45" t="n"/>
      <c r="L1079" s="47" t="n"/>
      <c r="M1079" s="48" t="n"/>
      <c r="N1079" s="49" t="n"/>
      <c r="O1079" s="50">
        <f>IF(M1079="","",ROUND(M1079*N1079,2))</f>
        <v/>
      </c>
      <c r="P1079" s="50">
        <f>IF(M1079="","",M1079+N(O1079))</f>
        <v/>
      </c>
      <c r="Q1079" s="45" t="n"/>
      <c r="R1079" s="45" t="n"/>
      <c r="S1079" s="51">
        <f>IF(L1079="","",IF(COUNTIF(L$6:L1079,L1079)&gt;1,"",SUMIF(L$6:L$2000,L1079,M$6:M$2000)-SUMIF(L$6:L$2000,L1079,G$6:G$2000)))</f>
        <v/>
      </c>
      <c r="T1079" s="46">
        <f>IF(AND(C1079="",G1079=""),"",IF(L1079="","Nog factureren",IF(AND(G1079&lt;&gt;"",OR(K1079="",K1079&gt;TODAY())),"Nog betalen",IF(OR(R1079="",R1079&gt;TODAY()),"Wacht op klant","Afgerond"))))</f>
        <v/>
      </c>
    </row>
    <row r="1080">
      <c r="A1080" s="45" t="n"/>
      <c r="B1080" s="46">
        <f>IF(A1080="","",YEAR(A1080)&amp;" Q"&amp;ROUNDUP(MONTH(A1080)/3,0))</f>
        <v/>
      </c>
      <c r="C1080" s="47" t="n"/>
      <c r="D1080" s="47" t="n"/>
      <c r="E1080" s="47" t="n"/>
      <c r="F1080" s="47" t="n"/>
      <c r="G1080" s="48" t="n"/>
      <c r="H1080" s="49" t="n"/>
      <c r="I1080" s="50">
        <f>IF(G1080="","",ROUND(G1080*H1080,2))</f>
        <v/>
      </c>
      <c r="J1080" s="50">
        <f>IF(G1080="","",G1080+N(I1080))</f>
        <v/>
      </c>
      <c r="K1080" s="45" t="n"/>
      <c r="L1080" s="47" t="n"/>
      <c r="M1080" s="48" t="n"/>
      <c r="N1080" s="49" t="n"/>
      <c r="O1080" s="50">
        <f>IF(M1080="","",ROUND(M1080*N1080,2))</f>
        <v/>
      </c>
      <c r="P1080" s="50">
        <f>IF(M1080="","",M1080+N(O1080))</f>
        <v/>
      </c>
      <c r="Q1080" s="45" t="n"/>
      <c r="R1080" s="45" t="n"/>
      <c r="S1080" s="51">
        <f>IF(L1080="","",IF(COUNTIF(L$6:L1080,L1080)&gt;1,"",SUMIF(L$6:L$2000,L1080,M$6:M$2000)-SUMIF(L$6:L$2000,L1080,G$6:G$2000)))</f>
        <v/>
      </c>
      <c r="T1080" s="46">
        <f>IF(AND(C1080="",G1080=""),"",IF(L1080="","Nog factureren",IF(AND(G1080&lt;&gt;"",OR(K1080="",K1080&gt;TODAY())),"Nog betalen",IF(OR(R1080="",R1080&gt;TODAY()),"Wacht op klant","Afgerond"))))</f>
        <v/>
      </c>
    </row>
    <row r="1081">
      <c r="A1081" s="45" t="n"/>
      <c r="B1081" s="46">
        <f>IF(A1081="","",YEAR(A1081)&amp;" Q"&amp;ROUNDUP(MONTH(A1081)/3,0))</f>
        <v/>
      </c>
      <c r="C1081" s="47" t="n"/>
      <c r="D1081" s="47" t="n"/>
      <c r="E1081" s="47" t="n"/>
      <c r="F1081" s="47" t="n"/>
      <c r="G1081" s="48" t="n"/>
      <c r="H1081" s="49" t="n"/>
      <c r="I1081" s="50">
        <f>IF(G1081="","",ROUND(G1081*H1081,2))</f>
        <v/>
      </c>
      <c r="J1081" s="50">
        <f>IF(G1081="","",G1081+N(I1081))</f>
        <v/>
      </c>
      <c r="K1081" s="45" t="n"/>
      <c r="L1081" s="47" t="n"/>
      <c r="M1081" s="48" t="n"/>
      <c r="N1081" s="49" t="n"/>
      <c r="O1081" s="50">
        <f>IF(M1081="","",ROUND(M1081*N1081,2))</f>
        <v/>
      </c>
      <c r="P1081" s="50">
        <f>IF(M1081="","",M1081+N(O1081))</f>
        <v/>
      </c>
      <c r="Q1081" s="45" t="n"/>
      <c r="R1081" s="45" t="n"/>
      <c r="S1081" s="51">
        <f>IF(L1081="","",IF(COUNTIF(L$6:L1081,L1081)&gt;1,"",SUMIF(L$6:L$2000,L1081,M$6:M$2000)-SUMIF(L$6:L$2000,L1081,G$6:G$2000)))</f>
        <v/>
      </c>
      <c r="T1081" s="46">
        <f>IF(AND(C1081="",G1081=""),"",IF(L1081="","Nog factureren",IF(AND(G1081&lt;&gt;"",OR(K1081="",K1081&gt;TODAY())),"Nog betalen",IF(OR(R1081="",R1081&gt;TODAY()),"Wacht op klant","Afgerond"))))</f>
        <v/>
      </c>
    </row>
    <row r="1082">
      <c r="A1082" s="45" t="n"/>
      <c r="B1082" s="46">
        <f>IF(A1082="","",YEAR(A1082)&amp;" Q"&amp;ROUNDUP(MONTH(A1082)/3,0))</f>
        <v/>
      </c>
      <c r="C1082" s="47" t="n"/>
      <c r="D1082" s="47" t="n"/>
      <c r="E1082" s="47" t="n"/>
      <c r="F1082" s="47" t="n"/>
      <c r="G1082" s="48" t="n"/>
      <c r="H1082" s="49" t="n"/>
      <c r="I1082" s="50">
        <f>IF(G1082="","",ROUND(G1082*H1082,2))</f>
        <v/>
      </c>
      <c r="J1082" s="50">
        <f>IF(G1082="","",G1082+N(I1082))</f>
        <v/>
      </c>
      <c r="K1082" s="45" t="n"/>
      <c r="L1082" s="47" t="n"/>
      <c r="M1082" s="48" t="n"/>
      <c r="N1082" s="49" t="n"/>
      <c r="O1082" s="50">
        <f>IF(M1082="","",ROUND(M1082*N1082,2))</f>
        <v/>
      </c>
      <c r="P1082" s="50">
        <f>IF(M1082="","",M1082+N(O1082))</f>
        <v/>
      </c>
      <c r="Q1082" s="45" t="n"/>
      <c r="R1082" s="45" t="n"/>
      <c r="S1082" s="51">
        <f>IF(L1082="","",IF(COUNTIF(L$6:L1082,L1082)&gt;1,"",SUMIF(L$6:L$2000,L1082,M$6:M$2000)-SUMIF(L$6:L$2000,L1082,G$6:G$2000)))</f>
        <v/>
      </c>
      <c r="T1082" s="46">
        <f>IF(AND(C1082="",G1082=""),"",IF(L1082="","Nog factureren",IF(AND(G1082&lt;&gt;"",OR(K1082="",K1082&gt;TODAY())),"Nog betalen",IF(OR(R1082="",R1082&gt;TODAY()),"Wacht op klant","Afgerond"))))</f>
        <v/>
      </c>
    </row>
    <row r="1083">
      <c r="A1083" s="45" t="n"/>
      <c r="B1083" s="46">
        <f>IF(A1083="","",YEAR(A1083)&amp;" Q"&amp;ROUNDUP(MONTH(A1083)/3,0))</f>
        <v/>
      </c>
      <c r="C1083" s="47" t="n"/>
      <c r="D1083" s="47" t="n"/>
      <c r="E1083" s="47" t="n"/>
      <c r="F1083" s="47" t="n"/>
      <c r="G1083" s="48" t="n"/>
      <c r="H1083" s="49" t="n"/>
      <c r="I1083" s="50">
        <f>IF(G1083="","",ROUND(G1083*H1083,2))</f>
        <v/>
      </c>
      <c r="J1083" s="50">
        <f>IF(G1083="","",G1083+N(I1083))</f>
        <v/>
      </c>
      <c r="K1083" s="45" t="n"/>
      <c r="L1083" s="47" t="n"/>
      <c r="M1083" s="48" t="n"/>
      <c r="N1083" s="49" t="n"/>
      <c r="O1083" s="50">
        <f>IF(M1083="","",ROUND(M1083*N1083,2))</f>
        <v/>
      </c>
      <c r="P1083" s="50">
        <f>IF(M1083="","",M1083+N(O1083))</f>
        <v/>
      </c>
      <c r="Q1083" s="45" t="n"/>
      <c r="R1083" s="45" t="n"/>
      <c r="S1083" s="51">
        <f>IF(L1083="","",IF(COUNTIF(L$6:L1083,L1083)&gt;1,"",SUMIF(L$6:L$2000,L1083,M$6:M$2000)-SUMIF(L$6:L$2000,L1083,G$6:G$2000)))</f>
        <v/>
      </c>
      <c r="T1083" s="46">
        <f>IF(AND(C1083="",G1083=""),"",IF(L1083="","Nog factureren",IF(AND(G1083&lt;&gt;"",OR(K1083="",K1083&gt;TODAY())),"Nog betalen",IF(OR(R1083="",R1083&gt;TODAY()),"Wacht op klant","Afgerond"))))</f>
        <v/>
      </c>
    </row>
    <row r="1084">
      <c r="A1084" s="45" t="n"/>
      <c r="B1084" s="46">
        <f>IF(A1084="","",YEAR(A1084)&amp;" Q"&amp;ROUNDUP(MONTH(A1084)/3,0))</f>
        <v/>
      </c>
      <c r="C1084" s="47" t="n"/>
      <c r="D1084" s="47" t="n"/>
      <c r="E1084" s="47" t="n"/>
      <c r="F1084" s="47" t="n"/>
      <c r="G1084" s="48" t="n"/>
      <c r="H1084" s="49" t="n"/>
      <c r="I1084" s="50">
        <f>IF(G1084="","",ROUND(G1084*H1084,2))</f>
        <v/>
      </c>
      <c r="J1084" s="50">
        <f>IF(G1084="","",G1084+N(I1084))</f>
        <v/>
      </c>
      <c r="K1084" s="45" t="n"/>
      <c r="L1084" s="47" t="n"/>
      <c r="M1084" s="48" t="n"/>
      <c r="N1084" s="49" t="n"/>
      <c r="O1084" s="50">
        <f>IF(M1084="","",ROUND(M1084*N1084,2))</f>
        <v/>
      </c>
      <c r="P1084" s="50">
        <f>IF(M1084="","",M1084+N(O1084))</f>
        <v/>
      </c>
      <c r="Q1084" s="45" t="n"/>
      <c r="R1084" s="45" t="n"/>
      <c r="S1084" s="51">
        <f>IF(L1084="","",IF(COUNTIF(L$6:L1084,L1084)&gt;1,"",SUMIF(L$6:L$2000,L1084,M$6:M$2000)-SUMIF(L$6:L$2000,L1084,G$6:G$2000)))</f>
        <v/>
      </c>
      <c r="T1084" s="46">
        <f>IF(AND(C1084="",G1084=""),"",IF(L1084="","Nog factureren",IF(AND(G1084&lt;&gt;"",OR(K1084="",K1084&gt;TODAY())),"Nog betalen",IF(OR(R1084="",R1084&gt;TODAY()),"Wacht op klant","Afgerond"))))</f>
        <v/>
      </c>
    </row>
    <row r="1085">
      <c r="A1085" s="45" t="n"/>
      <c r="B1085" s="46">
        <f>IF(A1085="","",YEAR(A1085)&amp;" Q"&amp;ROUNDUP(MONTH(A1085)/3,0))</f>
        <v/>
      </c>
      <c r="C1085" s="47" t="n"/>
      <c r="D1085" s="47" t="n"/>
      <c r="E1085" s="47" t="n"/>
      <c r="F1085" s="47" t="n"/>
      <c r="G1085" s="48" t="n"/>
      <c r="H1085" s="49" t="n"/>
      <c r="I1085" s="50">
        <f>IF(G1085="","",ROUND(G1085*H1085,2))</f>
        <v/>
      </c>
      <c r="J1085" s="50">
        <f>IF(G1085="","",G1085+N(I1085))</f>
        <v/>
      </c>
      <c r="K1085" s="45" t="n"/>
      <c r="L1085" s="47" t="n"/>
      <c r="M1085" s="48" t="n"/>
      <c r="N1085" s="49" t="n"/>
      <c r="O1085" s="50">
        <f>IF(M1085="","",ROUND(M1085*N1085,2))</f>
        <v/>
      </c>
      <c r="P1085" s="50">
        <f>IF(M1085="","",M1085+N(O1085))</f>
        <v/>
      </c>
      <c r="Q1085" s="45" t="n"/>
      <c r="R1085" s="45" t="n"/>
      <c r="S1085" s="51">
        <f>IF(L1085="","",IF(COUNTIF(L$6:L1085,L1085)&gt;1,"",SUMIF(L$6:L$2000,L1085,M$6:M$2000)-SUMIF(L$6:L$2000,L1085,G$6:G$2000)))</f>
        <v/>
      </c>
      <c r="T1085" s="46">
        <f>IF(AND(C1085="",G1085=""),"",IF(L1085="","Nog factureren",IF(AND(G1085&lt;&gt;"",OR(K1085="",K1085&gt;TODAY())),"Nog betalen",IF(OR(R1085="",R1085&gt;TODAY()),"Wacht op klant","Afgerond"))))</f>
        <v/>
      </c>
    </row>
    <row r="1086">
      <c r="A1086" s="45" t="n"/>
      <c r="B1086" s="46">
        <f>IF(A1086="","",YEAR(A1086)&amp;" Q"&amp;ROUNDUP(MONTH(A1086)/3,0))</f>
        <v/>
      </c>
      <c r="C1086" s="47" t="n"/>
      <c r="D1086" s="47" t="n"/>
      <c r="E1086" s="47" t="n"/>
      <c r="F1086" s="47" t="n"/>
      <c r="G1086" s="48" t="n"/>
      <c r="H1086" s="49" t="n"/>
      <c r="I1086" s="50">
        <f>IF(G1086="","",ROUND(G1086*H1086,2))</f>
        <v/>
      </c>
      <c r="J1086" s="50">
        <f>IF(G1086="","",G1086+N(I1086))</f>
        <v/>
      </c>
      <c r="K1086" s="45" t="n"/>
      <c r="L1086" s="47" t="n"/>
      <c r="M1086" s="48" t="n"/>
      <c r="N1086" s="49" t="n"/>
      <c r="O1086" s="50">
        <f>IF(M1086="","",ROUND(M1086*N1086,2))</f>
        <v/>
      </c>
      <c r="P1086" s="50">
        <f>IF(M1086="","",M1086+N(O1086))</f>
        <v/>
      </c>
      <c r="Q1086" s="45" t="n"/>
      <c r="R1086" s="45" t="n"/>
      <c r="S1086" s="51">
        <f>IF(L1086="","",IF(COUNTIF(L$6:L1086,L1086)&gt;1,"",SUMIF(L$6:L$2000,L1086,M$6:M$2000)-SUMIF(L$6:L$2000,L1086,G$6:G$2000)))</f>
        <v/>
      </c>
      <c r="T1086" s="46">
        <f>IF(AND(C1086="",G1086=""),"",IF(L1086="","Nog factureren",IF(AND(G1086&lt;&gt;"",OR(K1086="",K1086&gt;TODAY())),"Nog betalen",IF(OR(R1086="",R1086&gt;TODAY()),"Wacht op klant","Afgerond"))))</f>
        <v/>
      </c>
    </row>
    <row r="1087">
      <c r="A1087" s="45" t="n"/>
      <c r="B1087" s="46">
        <f>IF(A1087="","",YEAR(A1087)&amp;" Q"&amp;ROUNDUP(MONTH(A1087)/3,0))</f>
        <v/>
      </c>
      <c r="C1087" s="47" t="n"/>
      <c r="D1087" s="47" t="n"/>
      <c r="E1087" s="47" t="n"/>
      <c r="F1087" s="47" t="n"/>
      <c r="G1087" s="48" t="n"/>
      <c r="H1087" s="49" t="n"/>
      <c r="I1087" s="50">
        <f>IF(G1087="","",ROUND(G1087*H1087,2))</f>
        <v/>
      </c>
      <c r="J1087" s="50">
        <f>IF(G1087="","",G1087+N(I1087))</f>
        <v/>
      </c>
      <c r="K1087" s="45" t="n"/>
      <c r="L1087" s="47" t="n"/>
      <c r="M1087" s="48" t="n"/>
      <c r="N1087" s="49" t="n"/>
      <c r="O1087" s="50">
        <f>IF(M1087="","",ROUND(M1087*N1087,2))</f>
        <v/>
      </c>
      <c r="P1087" s="50">
        <f>IF(M1087="","",M1087+N(O1087))</f>
        <v/>
      </c>
      <c r="Q1087" s="45" t="n"/>
      <c r="R1087" s="45" t="n"/>
      <c r="S1087" s="51">
        <f>IF(L1087="","",IF(COUNTIF(L$6:L1087,L1087)&gt;1,"",SUMIF(L$6:L$2000,L1087,M$6:M$2000)-SUMIF(L$6:L$2000,L1087,G$6:G$2000)))</f>
        <v/>
      </c>
      <c r="T1087" s="46">
        <f>IF(AND(C1087="",G1087=""),"",IF(L1087="","Nog factureren",IF(AND(G1087&lt;&gt;"",OR(K1087="",K1087&gt;TODAY())),"Nog betalen",IF(OR(R1087="",R1087&gt;TODAY()),"Wacht op klant","Afgerond"))))</f>
        <v/>
      </c>
    </row>
    <row r="1088">
      <c r="A1088" s="45" t="n"/>
      <c r="B1088" s="46">
        <f>IF(A1088="","",YEAR(A1088)&amp;" Q"&amp;ROUNDUP(MONTH(A1088)/3,0))</f>
        <v/>
      </c>
      <c r="C1088" s="47" t="n"/>
      <c r="D1088" s="47" t="n"/>
      <c r="E1088" s="47" t="n"/>
      <c r="F1088" s="47" t="n"/>
      <c r="G1088" s="48" t="n"/>
      <c r="H1088" s="49" t="n"/>
      <c r="I1088" s="50">
        <f>IF(G1088="","",ROUND(G1088*H1088,2))</f>
        <v/>
      </c>
      <c r="J1088" s="50">
        <f>IF(G1088="","",G1088+N(I1088))</f>
        <v/>
      </c>
      <c r="K1088" s="45" t="n"/>
      <c r="L1088" s="47" t="n"/>
      <c r="M1088" s="48" t="n"/>
      <c r="N1088" s="49" t="n"/>
      <c r="O1088" s="50">
        <f>IF(M1088="","",ROUND(M1088*N1088,2))</f>
        <v/>
      </c>
      <c r="P1088" s="50">
        <f>IF(M1088="","",M1088+N(O1088))</f>
        <v/>
      </c>
      <c r="Q1088" s="45" t="n"/>
      <c r="R1088" s="45" t="n"/>
      <c r="S1088" s="51">
        <f>IF(L1088="","",IF(COUNTIF(L$6:L1088,L1088)&gt;1,"",SUMIF(L$6:L$2000,L1088,M$6:M$2000)-SUMIF(L$6:L$2000,L1088,G$6:G$2000)))</f>
        <v/>
      </c>
      <c r="T1088" s="46">
        <f>IF(AND(C1088="",G1088=""),"",IF(L1088="","Nog factureren",IF(AND(G1088&lt;&gt;"",OR(K1088="",K1088&gt;TODAY())),"Nog betalen",IF(OR(R1088="",R1088&gt;TODAY()),"Wacht op klant","Afgerond"))))</f>
        <v/>
      </c>
    </row>
    <row r="1089">
      <c r="A1089" s="45" t="n"/>
      <c r="B1089" s="46">
        <f>IF(A1089="","",YEAR(A1089)&amp;" Q"&amp;ROUNDUP(MONTH(A1089)/3,0))</f>
        <v/>
      </c>
      <c r="C1089" s="47" t="n"/>
      <c r="D1089" s="47" t="n"/>
      <c r="E1089" s="47" t="n"/>
      <c r="F1089" s="47" t="n"/>
      <c r="G1089" s="48" t="n"/>
      <c r="H1089" s="49" t="n"/>
      <c r="I1089" s="50">
        <f>IF(G1089="","",ROUND(G1089*H1089,2))</f>
        <v/>
      </c>
      <c r="J1089" s="50">
        <f>IF(G1089="","",G1089+N(I1089))</f>
        <v/>
      </c>
      <c r="K1089" s="45" t="n"/>
      <c r="L1089" s="47" t="n"/>
      <c r="M1089" s="48" t="n"/>
      <c r="N1089" s="49" t="n"/>
      <c r="O1089" s="50">
        <f>IF(M1089="","",ROUND(M1089*N1089,2))</f>
        <v/>
      </c>
      <c r="P1089" s="50">
        <f>IF(M1089="","",M1089+N(O1089))</f>
        <v/>
      </c>
      <c r="Q1089" s="45" t="n"/>
      <c r="R1089" s="45" t="n"/>
      <c r="S1089" s="51">
        <f>IF(L1089="","",IF(COUNTIF(L$6:L1089,L1089)&gt;1,"",SUMIF(L$6:L$2000,L1089,M$6:M$2000)-SUMIF(L$6:L$2000,L1089,G$6:G$2000)))</f>
        <v/>
      </c>
      <c r="T1089" s="46">
        <f>IF(AND(C1089="",G1089=""),"",IF(L1089="","Nog factureren",IF(AND(G1089&lt;&gt;"",OR(K1089="",K1089&gt;TODAY())),"Nog betalen",IF(OR(R1089="",R1089&gt;TODAY()),"Wacht op klant","Afgerond"))))</f>
        <v/>
      </c>
    </row>
    <row r="1090">
      <c r="A1090" s="45" t="n"/>
      <c r="B1090" s="46">
        <f>IF(A1090="","",YEAR(A1090)&amp;" Q"&amp;ROUNDUP(MONTH(A1090)/3,0))</f>
        <v/>
      </c>
      <c r="C1090" s="47" t="n"/>
      <c r="D1090" s="47" t="n"/>
      <c r="E1090" s="47" t="n"/>
      <c r="F1090" s="47" t="n"/>
      <c r="G1090" s="48" t="n"/>
      <c r="H1090" s="49" t="n"/>
      <c r="I1090" s="50">
        <f>IF(G1090="","",ROUND(G1090*H1090,2))</f>
        <v/>
      </c>
      <c r="J1090" s="50">
        <f>IF(G1090="","",G1090+N(I1090))</f>
        <v/>
      </c>
      <c r="K1090" s="45" t="n"/>
      <c r="L1090" s="47" t="n"/>
      <c r="M1090" s="48" t="n"/>
      <c r="N1090" s="49" t="n"/>
      <c r="O1090" s="50">
        <f>IF(M1090="","",ROUND(M1090*N1090,2))</f>
        <v/>
      </c>
      <c r="P1090" s="50">
        <f>IF(M1090="","",M1090+N(O1090))</f>
        <v/>
      </c>
      <c r="Q1090" s="45" t="n"/>
      <c r="R1090" s="45" t="n"/>
      <c r="S1090" s="51">
        <f>IF(L1090="","",IF(COUNTIF(L$6:L1090,L1090)&gt;1,"",SUMIF(L$6:L$2000,L1090,M$6:M$2000)-SUMIF(L$6:L$2000,L1090,G$6:G$2000)))</f>
        <v/>
      </c>
      <c r="T1090" s="46">
        <f>IF(AND(C1090="",G1090=""),"",IF(L1090="","Nog factureren",IF(AND(G1090&lt;&gt;"",OR(K1090="",K1090&gt;TODAY())),"Nog betalen",IF(OR(R1090="",R1090&gt;TODAY()),"Wacht op klant","Afgerond"))))</f>
        <v/>
      </c>
    </row>
    <row r="1091">
      <c r="A1091" s="45" t="n"/>
      <c r="B1091" s="46">
        <f>IF(A1091="","",YEAR(A1091)&amp;" Q"&amp;ROUNDUP(MONTH(A1091)/3,0))</f>
        <v/>
      </c>
      <c r="C1091" s="47" t="n"/>
      <c r="D1091" s="47" t="n"/>
      <c r="E1091" s="47" t="n"/>
      <c r="F1091" s="47" t="n"/>
      <c r="G1091" s="48" t="n"/>
      <c r="H1091" s="49" t="n"/>
      <c r="I1091" s="50">
        <f>IF(G1091="","",ROUND(G1091*H1091,2))</f>
        <v/>
      </c>
      <c r="J1091" s="50">
        <f>IF(G1091="","",G1091+N(I1091))</f>
        <v/>
      </c>
      <c r="K1091" s="45" t="n"/>
      <c r="L1091" s="47" t="n"/>
      <c r="M1091" s="48" t="n"/>
      <c r="N1091" s="49" t="n"/>
      <c r="O1091" s="50">
        <f>IF(M1091="","",ROUND(M1091*N1091,2))</f>
        <v/>
      </c>
      <c r="P1091" s="50">
        <f>IF(M1091="","",M1091+N(O1091))</f>
        <v/>
      </c>
      <c r="Q1091" s="45" t="n"/>
      <c r="R1091" s="45" t="n"/>
      <c r="S1091" s="51">
        <f>IF(L1091="","",IF(COUNTIF(L$6:L1091,L1091)&gt;1,"",SUMIF(L$6:L$2000,L1091,M$6:M$2000)-SUMIF(L$6:L$2000,L1091,G$6:G$2000)))</f>
        <v/>
      </c>
      <c r="T1091" s="46">
        <f>IF(AND(C1091="",G1091=""),"",IF(L1091="","Nog factureren",IF(AND(G1091&lt;&gt;"",OR(K1091="",K1091&gt;TODAY())),"Nog betalen",IF(OR(R1091="",R1091&gt;TODAY()),"Wacht op klant","Afgerond"))))</f>
        <v/>
      </c>
    </row>
    <row r="1092">
      <c r="A1092" s="45" t="n"/>
      <c r="B1092" s="46">
        <f>IF(A1092="","",YEAR(A1092)&amp;" Q"&amp;ROUNDUP(MONTH(A1092)/3,0))</f>
        <v/>
      </c>
      <c r="C1092" s="47" t="n"/>
      <c r="D1092" s="47" t="n"/>
      <c r="E1092" s="47" t="n"/>
      <c r="F1092" s="47" t="n"/>
      <c r="G1092" s="48" t="n"/>
      <c r="H1092" s="49" t="n"/>
      <c r="I1092" s="50">
        <f>IF(G1092="","",ROUND(G1092*H1092,2))</f>
        <v/>
      </c>
      <c r="J1092" s="50">
        <f>IF(G1092="","",G1092+N(I1092))</f>
        <v/>
      </c>
      <c r="K1092" s="45" t="n"/>
      <c r="L1092" s="47" t="n"/>
      <c r="M1092" s="48" t="n"/>
      <c r="N1092" s="49" t="n"/>
      <c r="O1092" s="50">
        <f>IF(M1092="","",ROUND(M1092*N1092,2))</f>
        <v/>
      </c>
      <c r="P1092" s="50">
        <f>IF(M1092="","",M1092+N(O1092))</f>
        <v/>
      </c>
      <c r="Q1092" s="45" t="n"/>
      <c r="R1092" s="45" t="n"/>
      <c r="S1092" s="51">
        <f>IF(L1092="","",IF(COUNTIF(L$6:L1092,L1092)&gt;1,"",SUMIF(L$6:L$2000,L1092,M$6:M$2000)-SUMIF(L$6:L$2000,L1092,G$6:G$2000)))</f>
        <v/>
      </c>
      <c r="T1092" s="46">
        <f>IF(AND(C1092="",G1092=""),"",IF(L1092="","Nog factureren",IF(AND(G1092&lt;&gt;"",OR(K1092="",K1092&gt;TODAY())),"Nog betalen",IF(OR(R1092="",R1092&gt;TODAY()),"Wacht op klant","Afgerond"))))</f>
        <v/>
      </c>
    </row>
    <row r="1093">
      <c r="A1093" s="45" t="n"/>
      <c r="B1093" s="46">
        <f>IF(A1093="","",YEAR(A1093)&amp;" Q"&amp;ROUNDUP(MONTH(A1093)/3,0))</f>
        <v/>
      </c>
      <c r="C1093" s="47" t="n"/>
      <c r="D1093" s="47" t="n"/>
      <c r="E1093" s="47" t="n"/>
      <c r="F1093" s="47" t="n"/>
      <c r="G1093" s="48" t="n"/>
      <c r="H1093" s="49" t="n"/>
      <c r="I1093" s="50">
        <f>IF(G1093="","",ROUND(G1093*H1093,2))</f>
        <v/>
      </c>
      <c r="J1093" s="50">
        <f>IF(G1093="","",G1093+N(I1093))</f>
        <v/>
      </c>
      <c r="K1093" s="45" t="n"/>
      <c r="L1093" s="47" t="n"/>
      <c r="M1093" s="48" t="n"/>
      <c r="N1093" s="49" t="n"/>
      <c r="O1093" s="50">
        <f>IF(M1093="","",ROUND(M1093*N1093,2))</f>
        <v/>
      </c>
      <c r="P1093" s="50">
        <f>IF(M1093="","",M1093+N(O1093))</f>
        <v/>
      </c>
      <c r="Q1093" s="45" t="n"/>
      <c r="R1093" s="45" t="n"/>
      <c r="S1093" s="51">
        <f>IF(L1093="","",IF(COUNTIF(L$6:L1093,L1093)&gt;1,"",SUMIF(L$6:L$2000,L1093,M$6:M$2000)-SUMIF(L$6:L$2000,L1093,G$6:G$2000)))</f>
        <v/>
      </c>
      <c r="T1093" s="46">
        <f>IF(AND(C1093="",G1093=""),"",IF(L1093="","Nog factureren",IF(AND(G1093&lt;&gt;"",OR(K1093="",K1093&gt;TODAY())),"Nog betalen",IF(OR(R1093="",R1093&gt;TODAY()),"Wacht op klant","Afgerond"))))</f>
        <v/>
      </c>
    </row>
    <row r="1094">
      <c r="A1094" s="45" t="n"/>
      <c r="B1094" s="46">
        <f>IF(A1094="","",YEAR(A1094)&amp;" Q"&amp;ROUNDUP(MONTH(A1094)/3,0))</f>
        <v/>
      </c>
      <c r="C1094" s="47" t="n"/>
      <c r="D1094" s="47" t="n"/>
      <c r="E1094" s="47" t="n"/>
      <c r="F1094" s="47" t="n"/>
      <c r="G1094" s="48" t="n"/>
      <c r="H1094" s="49" t="n"/>
      <c r="I1094" s="50">
        <f>IF(G1094="","",ROUND(G1094*H1094,2))</f>
        <v/>
      </c>
      <c r="J1094" s="50">
        <f>IF(G1094="","",G1094+N(I1094))</f>
        <v/>
      </c>
      <c r="K1094" s="45" t="n"/>
      <c r="L1094" s="47" t="n"/>
      <c r="M1094" s="48" t="n"/>
      <c r="N1094" s="49" t="n"/>
      <c r="O1094" s="50">
        <f>IF(M1094="","",ROUND(M1094*N1094,2))</f>
        <v/>
      </c>
      <c r="P1094" s="50">
        <f>IF(M1094="","",M1094+N(O1094))</f>
        <v/>
      </c>
      <c r="Q1094" s="45" t="n"/>
      <c r="R1094" s="45" t="n"/>
      <c r="S1094" s="51">
        <f>IF(L1094="","",IF(COUNTIF(L$6:L1094,L1094)&gt;1,"",SUMIF(L$6:L$2000,L1094,M$6:M$2000)-SUMIF(L$6:L$2000,L1094,G$6:G$2000)))</f>
        <v/>
      </c>
      <c r="T1094" s="46">
        <f>IF(AND(C1094="",G1094=""),"",IF(L1094="","Nog factureren",IF(AND(G1094&lt;&gt;"",OR(K1094="",K1094&gt;TODAY())),"Nog betalen",IF(OR(R1094="",R1094&gt;TODAY()),"Wacht op klant","Afgerond"))))</f>
        <v/>
      </c>
    </row>
    <row r="1095">
      <c r="A1095" s="45" t="n"/>
      <c r="B1095" s="46">
        <f>IF(A1095="","",YEAR(A1095)&amp;" Q"&amp;ROUNDUP(MONTH(A1095)/3,0))</f>
        <v/>
      </c>
      <c r="C1095" s="47" t="n"/>
      <c r="D1095" s="47" t="n"/>
      <c r="E1095" s="47" t="n"/>
      <c r="F1095" s="47" t="n"/>
      <c r="G1095" s="48" t="n"/>
      <c r="H1095" s="49" t="n"/>
      <c r="I1095" s="50">
        <f>IF(G1095="","",ROUND(G1095*H1095,2))</f>
        <v/>
      </c>
      <c r="J1095" s="50">
        <f>IF(G1095="","",G1095+N(I1095))</f>
        <v/>
      </c>
      <c r="K1095" s="45" t="n"/>
      <c r="L1095" s="47" t="n"/>
      <c r="M1095" s="48" t="n"/>
      <c r="N1095" s="49" t="n"/>
      <c r="O1095" s="50">
        <f>IF(M1095="","",ROUND(M1095*N1095,2))</f>
        <v/>
      </c>
      <c r="P1095" s="50">
        <f>IF(M1095="","",M1095+N(O1095))</f>
        <v/>
      </c>
      <c r="Q1095" s="45" t="n"/>
      <c r="R1095" s="45" t="n"/>
      <c r="S1095" s="51">
        <f>IF(L1095="","",IF(COUNTIF(L$6:L1095,L1095)&gt;1,"",SUMIF(L$6:L$2000,L1095,M$6:M$2000)-SUMIF(L$6:L$2000,L1095,G$6:G$2000)))</f>
        <v/>
      </c>
      <c r="T1095" s="46">
        <f>IF(AND(C1095="",G1095=""),"",IF(L1095="","Nog factureren",IF(AND(G1095&lt;&gt;"",OR(K1095="",K1095&gt;TODAY())),"Nog betalen",IF(OR(R1095="",R1095&gt;TODAY()),"Wacht op klant","Afgerond"))))</f>
        <v/>
      </c>
    </row>
    <row r="1096">
      <c r="A1096" s="45" t="n"/>
      <c r="B1096" s="46">
        <f>IF(A1096="","",YEAR(A1096)&amp;" Q"&amp;ROUNDUP(MONTH(A1096)/3,0))</f>
        <v/>
      </c>
      <c r="C1096" s="47" t="n"/>
      <c r="D1096" s="47" t="n"/>
      <c r="E1096" s="47" t="n"/>
      <c r="F1096" s="47" t="n"/>
      <c r="G1096" s="48" t="n"/>
      <c r="H1096" s="49" t="n"/>
      <c r="I1096" s="50">
        <f>IF(G1096="","",ROUND(G1096*H1096,2))</f>
        <v/>
      </c>
      <c r="J1096" s="50">
        <f>IF(G1096="","",G1096+N(I1096))</f>
        <v/>
      </c>
      <c r="K1096" s="45" t="n"/>
      <c r="L1096" s="47" t="n"/>
      <c r="M1096" s="48" t="n"/>
      <c r="N1096" s="49" t="n"/>
      <c r="O1096" s="50">
        <f>IF(M1096="","",ROUND(M1096*N1096,2))</f>
        <v/>
      </c>
      <c r="P1096" s="50">
        <f>IF(M1096="","",M1096+N(O1096))</f>
        <v/>
      </c>
      <c r="Q1096" s="45" t="n"/>
      <c r="R1096" s="45" t="n"/>
      <c r="S1096" s="51">
        <f>IF(L1096="","",IF(COUNTIF(L$6:L1096,L1096)&gt;1,"",SUMIF(L$6:L$2000,L1096,M$6:M$2000)-SUMIF(L$6:L$2000,L1096,G$6:G$2000)))</f>
        <v/>
      </c>
      <c r="T1096" s="46">
        <f>IF(AND(C1096="",G1096=""),"",IF(L1096="","Nog factureren",IF(AND(G1096&lt;&gt;"",OR(K1096="",K1096&gt;TODAY())),"Nog betalen",IF(OR(R1096="",R1096&gt;TODAY()),"Wacht op klant","Afgerond"))))</f>
        <v/>
      </c>
    </row>
    <row r="1097">
      <c r="A1097" s="45" t="n"/>
      <c r="B1097" s="46">
        <f>IF(A1097="","",YEAR(A1097)&amp;" Q"&amp;ROUNDUP(MONTH(A1097)/3,0))</f>
        <v/>
      </c>
      <c r="C1097" s="47" t="n"/>
      <c r="D1097" s="47" t="n"/>
      <c r="E1097" s="47" t="n"/>
      <c r="F1097" s="47" t="n"/>
      <c r="G1097" s="48" t="n"/>
      <c r="H1097" s="49" t="n"/>
      <c r="I1097" s="50">
        <f>IF(G1097="","",ROUND(G1097*H1097,2))</f>
        <v/>
      </c>
      <c r="J1097" s="50">
        <f>IF(G1097="","",G1097+N(I1097))</f>
        <v/>
      </c>
      <c r="K1097" s="45" t="n"/>
      <c r="L1097" s="47" t="n"/>
      <c r="M1097" s="48" t="n"/>
      <c r="N1097" s="49" t="n"/>
      <c r="O1097" s="50">
        <f>IF(M1097="","",ROUND(M1097*N1097,2))</f>
        <v/>
      </c>
      <c r="P1097" s="50">
        <f>IF(M1097="","",M1097+N(O1097))</f>
        <v/>
      </c>
      <c r="Q1097" s="45" t="n"/>
      <c r="R1097" s="45" t="n"/>
      <c r="S1097" s="51">
        <f>IF(L1097="","",IF(COUNTIF(L$6:L1097,L1097)&gt;1,"",SUMIF(L$6:L$2000,L1097,M$6:M$2000)-SUMIF(L$6:L$2000,L1097,G$6:G$2000)))</f>
        <v/>
      </c>
      <c r="T1097" s="46">
        <f>IF(AND(C1097="",G1097=""),"",IF(L1097="","Nog factureren",IF(AND(G1097&lt;&gt;"",OR(K1097="",K1097&gt;TODAY())),"Nog betalen",IF(OR(R1097="",R1097&gt;TODAY()),"Wacht op klant","Afgerond"))))</f>
        <v/>
      </c>
    </row>
    <row r="1098">
      <c r="A1098" s="45" t="n"/>
      <c r="B1098" s="46">
        <f>IF(A1098="","",YEAR(A1098)&amp;" Q"&amp;ROUNDUP(MONTH(A1098)/3,0))</f>
        <v/>
      </c>
      <c r="C1098" s="47" t="n"/>
      <c r="D1098" s="47" t="n"/>
      <c r="E1098" s="47" t="n"/>
      <c r="F1098" s="47" t="n"/>
      <c r="G1098" s="48" t="n"/>
      <c r="H1098" s="49" t="n"/>
      <c r="I1098" s="50">
        <f>IF(G1098="","",ROUND(G1098*H1098,2))</f>
        <v/>
      </c>
      <c r="J1098" s="50">
        <f>IF(G1098="","",G1098+N(I1098))</f>
        <v/>
      </c>
      <c r="K1098" s="45" t="n"/>
      <c r="L1098" s="47" t="n"/>
      <c r="M1098" s="48" t="n"/>
      <c r="N1098" s="49" t="n"/>
      <c r="O1098" s="50">
        <f>IF(M1098="","",ROUND(M1098*N1098,2))</f>
        <v/>
      </c>
      <c r="P1098" s="50">
        <f>IF(M1098="","",M1098+N(O1098))</f>
        <v/>
      </c>
      <c r="Q1098" s="45" t="n"/>
      <c r="R1098" s="45" t="n"/>
      <c r="S1098" s="51">
        <f>IF(L1098="","",IF(COUNTIF(L$6:L1098,L1098)&gt;1,"",SUMIF(L$6:L$2000,L1098,M$6:M$2000)-SUMIF(L$6:L$2000,L1098,G$6:G$2000)))</f>
        <v/>
      </c>
      <c r="T1098" s="46">
        <f>IF(AND(C1098="",G1098=""),"",IF(L1098="","Nog factureren",IF(AND(G1098&lt;&gt;"",OR(K1098="",K1098&gt;TODAY())),"Nog betalen",IF(OR(R1098="",R1098&gt;TODAY()),"Wacht op klant","Afgerond"))))</f>
        <v/>
      </c>
    </row>
    <row r="1099">
      <c r="A1099" s="45" t="n"/>
      <c r="B1099" s="46">
        <f>IF(A1099="","",YEAR(A1099)&amp;" Q"&amp;ROUNDUP(MONTH(A1099)/3,0))</f>
        <v/>
      </c>
      <c r="C1099" s="47" t="n"/>
      <c r="D1099" s="47" t="n"/>
      <c r="E1099" s="47" t="n"/>
      <c r="F1099" s="47" t="n"/>
      <c r="G1099" s="48" t="n"/>
      <c r="H1099" s="49" t="n"/>
      <c r="I1099" s="50">
        <f>IF(G1099="","",ROUND(G1099*H1099,2))</f>
        <v/>
      </c>
      <c r="J1099" s="50">
        <f>IF(G1099="","",G1099+N(I1099))</f>
        <v/>
      </c>
      <c r="K1099" s="45" t="n"/>
      <c r="L1099" s="47" t="n"/>
      <c r="M1099" s="48" t="n"/>
      <c r="N1099" s="49" t="n"/>
      <c r="O1099" s="50">
        <f>IF(M1099="","",ROUND(M1099*N1099,2))</f>
        <v/>
      </c>
      <c r="P1099" s="50">
        <f>IF(M1099="","",M1099+N(O1099))</f>
        <v/>
      </c>
      <c r="Q1099" s="45" t="n"/>
      <c r="R1099" s="45" t="n"/>
      <c r="S1099" s="51">
        <f>IF(L1099="","",IF(COUNTIF(L$6:L1099,L1099)&gt;1,"",SUMIF(L$6:L$2000,L1099,M$6:M$2000)-SUMIF(L$6:L$2000,L1099,G$6:G$2000)))</f>
        <v/>
      </c>
      <c r="T1099" s="46">
        <f>IF(AND(C1099="",G1099=""),"",IF(L1099="","Nog factureren",IF(AND(G1099&lt;&gt;"",OR(K1099="",K1099&gt;TODAY())),"Nog betalen",IF(OR(R1099="",R1099&gt;TODAY()),"Wacht op klant","Afgerond"))))</f>
        <v/>
      </c>
    </row>
    <row r="1100">
      <c r="A1100" s="45" t="n"/>
      <c r="B1100" s="46">
        <f>IF(A1100="","",YEAR(A1100)&amp;" Q"&amp;ROUNDUP(MONTH(A1100)/3,0))</f>
        <v/>
      </c>
      <c r="C1100" s="47" t="n"/>
      <c r="D1100" s="47" t="n"/>
      <c r="E1100" s="47" t="n"/>
      <c r="F1100" s="47" t="n"/>
      <c r="G1100" s="48" t="n"/>
      <c r="H1100" s="49" t="n"/>
      <c r="I1100" s="50">
        <f>IF(G1100="","",ROUND(G1100*H1100,2))</f>
        <v/>
      </c>
      <c r="J1100" s="50">
        <f>IF(G1100="","",G1100+N(I1100))</f>
        <v/>
      </c>
      <c r="K1100" s="45" t="n"/>
      <c r="L1100" s="47" t="n"/>
      <c r="M1100" s="48" t="n"/>
      <c r="N1100" s="49" t="n"/>
      <c r="O1100" s="50">
        <f>IF(M1100="","",ROUND(M1100*N1100,2))</f>
        <v/>
      </c>
      <c r="P1100" s="50">
        <f>IF(M1100="","",M1100+N(O1100))</f>
        <v/>
      </c>
      <c r="Q1100" s="45" t="n"/>
      <c r="R1100" s="45" t="n"/>
      <c r="S1100" s="51">
        <f>IF(L1100="","",IF(COUNTIF(L$6:L1100,L1100)&gt;1,"",SUMIF(L$6:L$2000,L1100,M$6:M$2000)-SUMIF(L$6:L$2000,L1100,G$6:G$2000)))</f>
        <v/>
      </c>
      <c r="T1100" s="46">
        <f>IF(AND(C1100="",G1100=""),"",IF(L1100="","Nog factureren",IF(AND(G1100&lt;&gt;"",OR(K1100="",K1100&gt;TODAY())),"Nog betalen",IF(OR(R1100="",R1100&gt;TODAY()),"Wacht op klant","Afgerond"))))</f>
        <v/>
      </c>
    </row>
    <row r="1101">
      <c r="A1101" s="45" t="n"/>
      <c r="B1101" s="46">
        <f>IF(A1101="","",YEAR(A1101)&amp;" Q"&amp;ROUNDUP(MONTH(A1101)/3,0))</f>
        <v/>
      </c>
      <c r="C1101" s="47" t="n"/>
      <c r="D1101" s="47" t="n"/>
      <c r="E1101" s="47" t="n"/>
      <c r="F1101" s="47" t="n"/>
      <c r="G1101" s="48" t="n"/>
      <c r="H1101" s="49" t="n"/>
      <c r="I1101" s="50">
        <f>IF(G1101="","",ROUND(G1101*H1101,2))</f>
        <v/>
      </c>
      <c r="J1101" s="50">
        <f>IF(G1101="","",G1101+N(I1101))</f>
        <v/>
      </c>
      <c r="K1101" s="45" t="n"/>
      <c r="L1101" s="47" t="n"/>
      <c r="M1101" s="48" t="n"/>
      <c r="N1101" s="49" t="n"/>
      <c r="O1101" s="50">
        <f>IF(M1101="","",ROUND(M1101*N1101,2))</f>
        <v/>
      </c>
      <c r="P1101" s="50">
        <f>IF(M1101="","",M1101+N(O1101))</f>
        <v/>
      </c>
      <c r="Q1101" s="45" t="n"/>
      <c r="R1101" s="45" t="n"/>
      <c r="S1101" s="51">
        <f>IF(L1101="","",IF(COUNTIF(L$6:L1101,L1101)&gt;1,"",SUMIF(L$6:L$2000,L1101,M$6:M$2000)-SUMIF(L$6:L$2000,L1101,G$6:G$2000)))</f>
        <v/>
      </c>
      <c r="T1101" s="46">
        <f>IF(AND(C1101="",G1101=""),"",IF(L1101="","Nog factureren",IF(AND(G1101&lt;&gt;"",OR(K1101="",K1101&gt;TODAY())),"Nog betalen",IF(OR(R1101="",R1101&gt;TODAY()),"Wacht op klant","Afgerond"))))</f>
        <v/>
      </c>
    </row>
    <row r="1102">
      <c r="A1102" s="45" t="n"/>
      <c r="B1102" s="46">
        <f>IF(A1102="","",YEAR(A1102)&amp;" Q"&amp;ROUNDUP(MONTH(A1102)/3,0))</f>
        <v/>
      </c>
      <c r="C1102" s="47" t="n"/>
      <c r="D1102" s="47" t="n"/>
      <c r="E1102" s="47" t="n"/>
      <c r="F1102" s="47" t="n"/>
      <c r="G1102" s="48" t="n"/>
      <c r="H1102" s="49" t="n"/>
      <c r="I1102" s="50">
        <f>IF(G1102="","",ROUND(G1102*H1102,2))</f>
        <v/>
      </c>
      <c r="J1102" s="50">
        <f>IF(G1102="","",G1102+N(I1102))</f>
        <v/>
      </c>
      <c r="K1102" s="45" t="n"/>
      <c r="L1102" s="47" t="n"/>
      <c r="M1102" s="48" t="n"/>
      <c r="N1102" s="49" t="n"/>
      <c r="O1102" s="50">
        <f>IF(M1102="","",ROUND(M1102*N1102,2))</f>
        <v/>
      </c>
      <c r="P1102" s="50">
        <f>IF(M1102="","",M1102+N(O1102))</f>
        <v/>
      </c>
      <c r="Q1102" s="45" t="n"/>
      <c r="R1102" s="45" t="n"/>
      <c r="S1102" s="51">
        <f>IF(L1102="","",IF(COUNTIF(L$6:L1102,L1102)&gt;1,"",SUMIF(L$6:L$2000,L1102,M$6:M$2000)-SUMIF(L$6:L$2000,L1102,G$6:G$2000)))</f>
        <v/>
      </c>
      <c r="T1102" s="46">
        <f>IF(AND(C1102="",G1102=""),"",IF(L1102="","Nog factureren",IF(AND(G1102&lt;&gt;"",OR(K1102="",K1102&gt;TODAY())),"Nog betalen",IF(OR(R1102="",R1102&gt;TODAY()),"Wacht op klant","Afgerond"))))</f>
        <v/>
      </c>
    </row>
    <row r="1103">
      <c r="A1103" s="45" t="n"/>
      <c r="B1103" s="46">
        <f>IF(A1103="","",YEAR(A1103)&amp;" Q"&amp;ROUNDUP(MONTH(A1103)/3,0))</f>
        <v/>
      </c>
      <c r="C1103" s="47" t="n"/>
      <c r="D1103" s="47" t="n"/>
      <c r="E1103" s="47" t="n"/>
      <c r="F1103" s="47" t="n"/>
      <c r="G1103" s="48" t="n"/>
      <c r="H1103" s="49" t="n"/>
      <c r="I1103" s="50">
        <f>IF(G1103="","",ROUND(G1103*H1103,2))</f>
        <v/>
      </c>
      <c r="J1103" s="50">
        <f>IF(G1103="","",G1103+N(I1103))</f>
        <v/>
      </c>
      <c r="K1103" s="45" t="n"/>
      <c r="L1103" s="47" t="n"/>
      <c r="M1103" s="48" t="n"/>
      <c r="N1103" s="49" t="n"/>
      <c r="O1103" s="50">
        <f>IF(M1103="","",ROUND(M1103*N1103,2))</f>
        <v/>
      </c>
      <c r="P1103" s="50">
        <f>IF(M1103="","",M1103+N(O1103))</f>
        <v/>
      </c>
      <c r="Q1103" s="45" t="n"/>
      <c r="R1103" s="45" t="n"/>
      <c r="S1103" s="51">
        <f>IF(L1103="","",IF(COUNTIF(L$6:L1103,L1103)&gt;1,"",SUMIF(L$6:L$2000,L1103,M$6:M$2000)-SUMIF(L$6:L$2000,L1103,G$6:G$2000)))</f>
        <v/>
      </c>
      <c r="T1103" s="46">
        <f>IF(AND(C1103="",G1103=""),"",IF(L1103="","Nog factureren",IF(AND(G1103&lt;&gt;"",OR(K1103="",K1103&gt;TODAY())),"Nog betalen",IF(OR(R1103="",R1103&gt;TODAY()),"Wacht op klant","Afgerond"))))</f>
        <v/>
      </c>
    </row>
    <row r="1104">
      <c r="A1104" s="45" t="n"/>
      <c r="B1104" s="46">
        <f>IF(A1104="","",YEAR(A1104)&amp;" Q"&amp;ROUNDUP(MONTH(A1104)/3,0))</f>
        <v/>
      </c>
      <c r="C1104" s="47" t="n"/>
      <c r="D1104" s="47" t="n"/>
      <c r="E1104" s="47" t="n"/>
      <c r="F1104" s="47" t="n"/>
      <c r="G1104" s="48" t="n"/>
      <c r="H1104" s="49" t="n"/>
      <c r="I1104" s="50">
        <f>IF(G1104="","",ROUND(G1104*H1104,2))</f>
        <v/>
      </c>
      <c r="J1104" s="50">
        <f>IF(G1104="","",G1104+N(I1104))</f>
        <v/>
      </c>
      <c r="K1104" s="45" t="n"/>
      <c r="L1104" s="47" t="n"/>
      <c r="M1104" s="48" t="n"/>
      <c r="N1104" s="49" t="n"/>
      <c r="O1104" s="50">
        <f>IF(M1104="","",ROUND(M1104*N1104,2))</f>
        <v/>
      </c>
      <c r="P1104" s="50">
        <f>IF(M1104="","",M1104+N(O1104))</f>
        <v/>
      </c>
      <c r="Q1104" s="45" t="n"/>
      <c r="R1104" s="45" t="n"/>
      <c r="S1104" s="51">
        <f>IF(L1104="","",IF(COUNTIF(L$6:L1104,L1104)&gt;1,"",SUMIF(L$6:L$2000,L1104,M$6:M$2000)-SUMIF(L$6:L$2000,L1104,G$6:G$2000)))</f>
        <v/>
      </c>
      <c r="T1104" s="46">
        <f>IF(AND(C1104="",G1104=""),"",IF(L1104="","Nog factureren",IF(AND(G1104&lt;&gt;"",OR(K1104="",K1104&gt;TODAY())),"Nog betalen",IF(OR(R1104="",R1104&gt;TODAY()),"Wacht op klant","Afgerond"))))</f>
        <v/>
      </c>
    </row>
    <row r="1105">
      <c r="A1105" s="45" t="n"/>
      <c r="B1105" s="46">
        <f>IF(A1105="","",YEAR(A1105)&amp;" Q"&amp;ROUNDUP(MONTH(A1105)/3,0))</f>
        <v/>
      </c>
      <c r="C1105" s="47" t="n"/>
      <c r="D1105" s="47" t="n"/>
      <c r="E1105" s="47" t="n"/>
      <c r="F1105" s="47" t="n"/>
      <c r="G1105" s="48" t="n"/>
      <c r="H1105" s="49" t="n"/>
      <c r="I1105" s="50">
        <f>IF(G1105="","",ROUND(G1105*H1105,2))</f>
        <v/>
      </c>
      <c r="J1105" s="50">
        <f>IF(G1105="","",G1105+N(I1105))</f>
        <v/>
      </c>
      <c r="K1105" s="45" t="n"/>
      <c r="L1105" s="47" t="n"/>
      <c r="M1105" s="48" t="n"/>
      <c r="N1105" s="49" t="n"/>
      <c r="O1105" s="50">
        <f>IF(M1105="","",ROUND(M1105*N1105,2))</f>
        <v/>
      </c>
      <c r="P1105" s="50">
        <f>IF(M1105="","",M1105+N(O1105))</f>
        <v/>
      </c>
      <c r="Q1105" s="45" t="n"/>
      <c r="R1105" s="45" t="n"/>
      <c r="S1105" s="51">
        <f>IF(L1105="","",IF(COUNTIF(L$6:L1105,L1105)&gt;1,"",SUMIF(L$6:L$2000,L1105,M$6:M$2000)-SUMIF(L$6:L$2000,L1105,G$6:G$2000)))</f>
        <v/>
      </c>
      <c r="T1105" s="46">
        <f>IF(AND(C1105="",G1105=""),"",IF(L1105="","Nog factureren",IF(AND(G1105&lt;&gt;"",OR(K1105="",K1105&gt;TODAY())),"Nog betalen",IF(OR(R1105="",R1105&gt;TODAY()),"Wacht op klant","Afgerond"))))</f>
        <v/>
      </c>
    </row>
    <row r="1106">
      <c r="A1106" s="45" t="n"/>
      <c r="B1106" s="46">
        <f>IF(A1106="","",YEAR(A1106)&amp;" Q"&amp;ROUNDUP(MONTH(A1106)/3,0))</f>
        <v/>
      </c>
      <c r="C1106" s="47" t="n"/>
      <c r="D1106" s="47" t="n"/>
      <c r="E1106" s="47" t="n"/>
      <c r="F1106" s="47" t="n"/>
      <c r="G1106" s="48" t="n"/>
      <c r="H1106" s="49" t="n"/>
      <c r="I1106" s="50">
        <f>IF(G1106="","",ROUND(G1106*H1106,2))</f>
        <v/>
      </c>
      <c r="J1106" s="50">
        <f>IF(G1106="","",G1106+N(I1106))</f>
        <v/>
      </c>
      <c r="K1106" s="45" t="n"/>
      <c r="L1106" s="47" t="n"/>
      <c r="M1106" s="48" t="n"/>
      <c r="N1106" s="49" t="n"/>
      <c r="O1106" s="50">
        <f>IF(M1106="","",ROUND(M1106*N1106,2))</f>
        <v/>
      </c>
      <c r="P1106" s="50">
        <f>IF(M1106="","",M1106+N(O1106))</f>
        <v/>
      </c>
      <c r="Q1106" s="45" t="n"/>
      <c r="R1106" s="45" t="n"/>
      <c r="S1106" s="51">
        <f>IF(L1106="","",IF(COUNTIF(L$6:L1106,L1106)&gt;1,"",SUMIF(L$6:L$2000,L1106,M$6:M$2000)-SUMIF(L$6:L$2000,L1106,G$6:G$2000)))</f>
        <v/>
      </c>
      <c r="T1106" s="46">
        <f>IF(AND(C1106="",G1106=""),"",IF(L1106="","Nog factureren",IF(AND(G1106&lt;&gt;"",OR(K1106="",K1106&gt;TODAY())),"Nog betalen",IF(OR(R1106="",R1106&gt;TODAY()),"Wacht op klant","Afgerond"))))</f>
        <v/>
      </c>
    </row>
    <row r="1107">
      <c r="A1107" s="45" t="n"/>
      <c r="B1107" s="46">
        <f>IF(A1107="","",YEAR(A1107)&amp;" Q"&amp;ROUNDUP(MONTH(A1107)/3,0))</f>
        <v/>
      </c>
      <c r="C1107" s="47" t="n"/>
      <c r="D1107" s="47" t="n"/>
      <c r="E1107" s="47" t="n"/>
      <c r="F1107" s="47" t="n"/>
      <c r="G1107" s="48" t="n"/>
      <c r="H1107" s="49" t="n"/>
      <c r="I1107" s="50">
        <f>IF(G1107="","",ROUND(G1107*H1107,2))</f>
        <v/>
      </c>
      <c r="J1107" s="50">
        <f>IF(G1107="","",G1107+N(I1107))</f>
        <v/>
      </c>
      <c r="K1107" s="45" t="n"/>
      <c r="L1107" s="47" t="n"/>
      <c r="M1107" s="48" t="n"/>
      <c r="N1107" s="49" t="n"/>
      <c r="O1107" s="50">
        <f>IF(M1107="","",ROUND(M1107*N1107,2))</f>
        <v/>
      </c>
      <c r="P1107" s="50">
        <f>IF(M1107="","",M1107+N(O1107))</f>
        <v/>
      </c>
      <c r="Q1107" s="45" t="n"/>
      <c r="R1107" s="45" t="n"/>
      <c r="S1107" s="51">
        <f>IF(L1107="","",IF(COUNTIF(L$6:L1107,L1107)&gt;1,"",SUMIF(L$6:L$2000,L1107,M$6:M$2000)-SUMIF(L$6:L$2000,L1107,G$6:G$2000)))</f>
        <v/>
      </c>
      <c r="T1107" s="46">
        <f>IF(AND(C1107="",G1107=""),"",IF(L1107="","Nog factureren",IF(AND(G1107&lt;&gt;"",OR(K1107="",K1107&gt;TODAY())),"Nog betalen",IF(OR(R1107="",R1107&gt;TODAY()),"Wacht op klant","Afgerond"))))</f>
        <v/>
      </c>
    </row>
    <row r="1108">
      <c r="A1108" s="45" t="n"/>
      <c r="B1108" s="46">
        <f>IF(A1108="","",YEAR(A1108)&amp;" Q"&amp;ROUNDUP(MONTH(A1108)/3,0))</f>
        <v/>
      </c>
      <c r="C1108" s="47" t="n"/>
      <c r="D1108" s="47" t="n"/>
      <c r="E1108" s="47" t="n"/>
      <c r="F1108" s="47" t="n"/>
      <c r="G1108" s="48" t="n"/>
      <c r="H1108" s="49" t="n"/>
      <c r="I1108" s="50">
        <f>IF(G1108="","",ROUND(G1108*H1108,2))</f>
        <v/>
      </c>
      <c r="J1108" s="50">
        <f>IF(G1108="","",G1108+N(I1108))</f>
        <v/>
      </c>
      <c r="K1108" s="45" t="n"/>
      <c r="L1108" s="47" t="n"/>
      <c r="M1108" s="48" t="n"/>
      <c r="N1108" s="49" t="n"/>
      <c r="O1108" s="50">
        <f>IF(M1108="","",ROUND(M1108*N1108,2))</f>
        <v/>
      </c>
      <c r="P1108" s="50">
        <f>IF(M1108="","",M1108+N(O1108))</f>
        <v/>
      </c>
      <c r="Q1108" s="45" t="n"/>
      <c r="R1108" s="45" t="n"/>
      <c r="S1108" s="51">
        <f>IF(L1108="","",IF(COUNTIF(L$6:L1108,L1108)&gt;1,"",SUMIF(L$6:L$2000,L1108,M$6:M$2000)-SUMIF(L$6:L$2000,L1108,G$6:G$2000)))</f>
        <v/>
      </c>
      <c r="T1108" s="46">
        <f>IF(AND(C1108="",G1108=""),"",IF(L1108="","Nog factureren",IF(AND(G1108&lt;&gt;"",OR(K1108="",K1108&gt;TODAY())),"Nog betalen",IF(OR(R1108="",R1108&gt;TODAY()),"Wacht op klant","Afgerond"))))</f>
        <v/>
      </c>
    </row>
    <row r="1109">
      <c r="A1109" s="45" t="n"/>
      <c r="B1109" s="46">
        <f>IF(A1109="","",YEAR(A1109)&amp;" Q"&amp;ROUNDUP(MONTH(A1109)/3,0))</f>
        <v/>
      </c>
      <c r="C1109" s="47" t="n"/>
      <c r="D1109" s="47" t="n"/>
      <c r="E1109" s="47" t="n"/>
      <c r="F1109" s="47" t="n"/>
      <c r="G1109" s="48" t="n"/>
      <c r="H1109" s="49" t="n"/>
      <c r="I1109" s="50">
        <f>IF(G1109="","",ROUND(G1109*H1109,2))</f>
        <v/>
      </c>
      <c r="J1109" s="50">
        <f>IF(G1109="","",G1109+N(I1109))</f>
        <v/>
      </c>
      <c r="K1109" s="45" t="n"/>
      <c r="L1109" s="47" t="n"/>
      <c r="M1109" s="48" t="n"/>
      <c r="N1109" s="49" t="n"/>
      <c r="O1109" s="50">
        <f>IF(M1109="","",ROUND(M1109*N1109,2))</f>
        <v/>
      </c>
      <c r="P1109" s="50">
        <f>IF(M1109="","",M1109+N(O1109))</f>
        <v/>
      </c>
      <c r="Q1109" s="45" t="n"/>
      <c r="R1109" s="45" t="n"/>
      <c r="S1109" s="51">
        <f>IF(L1109="","",IF(COUNTIF(L$6:L1109,L1109)&gt;1,"",SUMIF(L$6:L$2000,L1109,M$6:M$2000)-SUMIF(L$6:L$2000,L1109,G$6:G$2000)))</f>
        <v/>
      </c>
      <c r="T1109" s="46">
        <f>IF(AND(C1109="",G1109=""),"",IF(L1109="","Nog factureren",IF(AND(G1109&lt;&gt;"",OR(K1109="",K1109&gt;TODAY())),"Nog betalen",IF(OR(R1109="",R1109&gt;TODAY()),"Wacht op klant","Afgerond"))))</f>
        <v/>
      </c>
    </row>
    <row r="1110">
      <c r="A1110" s="45" t="n"/>
      <c r="B1110" s="46">
        <f>IF(A1110="","",YEAR(A1110)&amp;" Q"&amp;ROUNDUP(MONTH(A1110)/3,0))</f>
        <v/>
      </c>
      <c r="C1110" s="47" t="n"/>
      <c r="D1110" s="47" t="n"/>
      <c r="E1110" s="47" t="n"/>
      <c r="F1110" s="47" t="n"/>
      <c r="G1110" s="48" t="n"/>
      <c r="H1110" s="49" t="n"/>
      <c r="I1110" s="50">
        <f>IF(G1110="","",ROUND(G1110*H1110,2))</f>
        <v/>
      </c>
      <c r="J1110" s="50">
        <f>IF(G1110="","",G1110+N(I1110))</f>
        <v/>
      </c>
      <c r="K1110" s="45" t="n"/>
      <c r="L1110" s="47" t="n"/>
      <c r="M1110" s="48" t="n"/>
      <c r="N1110" s="49" t="n"/>
      <c r="O1110" s="50">
        <f>IF(M1110="","",ROUND(M1110*N1110,2))</f>
        <v/>
      </c>
      <c r="P1110" s="50">
        <f>IF(M1110="","",M1110+N(O1110))</f>
        <v/>
      </c>
      <c r="Q1110" s="45" t="n"/>
      <c r="R1110" s="45" t="n"/>
      <c r="S1110" s="51">
        <f>IF(L1110="","",IF(COUNTIF(L$6:L1110,L1110)&gt;1,"",SUMIF(L$6:L$2000,L1110,M$6:M$2000)-SUMIF(L$6:L$2000,L1110,G$6:G$2000)))</f>
        <v/>
      </c>
      <c r="T1110" s="46">
        <f>IF(AND(C1110="",G1110=""),"",IF(L1110="","Nog factureren",IF(AND(G1110&lt;&gt;"",OR(K1110="",K1110&gt;TODAY())),"Nog betalen",IF(OR(R1110="",R1110&gt;TODAY()),"Wacht op klant","Afgerond"))))</f>
        <v/>
      </c>
    </row>
    <row r="1111">
      <c r="A1111" s="45" t="n"/>
      <c r="B1111" s="46">
        <f>IF(A1111="","",YEAR(A1111)&amp;" Q"&amp;ROUNDUP(MONTH(A1111)/3,0))</f>
        <v/>
      </c>
      <c r="C1111" s="47" t="n"/>
      <c r="D1111" s="47" t="n"/>
      <c r="E1111" s="47" t="n"/>
      <c r="F1111" s="47" t="n"/>
      <c r="G1111" s="48" t="n"/>
      <c r="H1111" s="49" t="n"/>
      <c r="I1111" s="50">
        <f>IF(G1111="","",ROUND(G1111*H1111,2))</f>
        <v/>
      </c>
      <c r="J1111" s="50">
        <f>IF(G1111="","",G1111+N(I1111))</f>
        <v/>
      </c>
      <c r="K1111" s="45" t="n"/>
      <c r="L1111" s="47" t="n"/>
      <c r="M1111" s="48" t="n"/>
      <c r="N1111" s="49" t="n"/>
      <c r="O1111" s="50">
        <f>IF(M1111="","",ROUND(M1111*N1111,2))</f>
        <v/>
      </c>
      <c r="P1111" s="50">
        <f>IF(M1111="","",M1111+N(O1111))</f>
        <v/>
      </c>
      <c r="Q1111" s="45" t="n"/>
      <c r="R1111" s="45" t="n"/>
      <c r="S1111" s="51">
        <f>IF(L1111="","",IF(COUNTIF(L$6:L1111,L1111)&gt;1,"",SUMIF(L$6:L$2000,L1111,M$6:M$2000)-SUMIF(L$6:L$2000,L1111,G$6:G$2000)))</f>
        <v/>
      </c>
      <c r="T1111" s="46">
        <f>IF(AND(C1111="",G1111=""),"",IF(L1111="","Nog factureren",IF(AND(G1111&lt;&gt;"",OR(K1111="",K1111&gt;TODAY())),"Nog betalen",IF(OR(R1111="",R1111&gt;TODAY()),"Wacht op klant","Afgerond"))))</f>
        <v/>
      </c>
    </row>
    <row r="1112">
      <c r="A1112" s="45" t="n"/>
      <c r="B1112" s="46">
        <f>IF(A1112="","",YEAR(A1112)&amp;" Q"&amp;ROUNDUP(MONTH(A1112)/3,0))</f>
        <v/>
      </c>
      <c r="C1112" s="47" t="n"/>
      <c r="D1112" s="47" t="n"/>
      <c r="E1112" s="47" t="n"/>
      <c r="F1112" s="47" t="n"/>
      <c r="G1112" s="48" t="n"/>
      <c r="H1112" s="49" t="n"/>
      <c r="I1112" s="50">
        <f>IF(G1112="","",ROUND(G1112*H1112,2))</f>
        <v/>
      </c>
      <c r="J1112" s="50">
        <f>IF(G1112="","",G1112+N(I1112))</f>
        <v/>
      </c>
      <c r="K1112" s="45" t="n"/>
      <c r="L1112" s="47" t="n"/>
      <c r="M1112" s="48" t="n"/>
      <c r="N1112" s="49" t="n"/>
      <c r="O1112" s="50">
        <f>IF(M1112="","",ROUND(M1112*N1112,2))</f>
        <v/>
      </c>
      <c r="P1112" s="50">
        <f>IF(M1112="","",M1112+N(O1112))</f>
        <v/>
      </c>
      <c r="Q1112" s="45" t="n"/>
      <c r="R1112" s="45" t="n"/>
      <c r="S1112" s="51">
        <f>IF(L1112="","",IF(COUNTIF(L$6:L1112,L1112)&gt;1,"",SUMIF(L$6:L$2000,L1112,M$6:M$2000)-SUMIF(L$6:L$2000,L1112,G$6:G$2000)))</f>
        <v/>
      </c>
      <c r="T1112" s="46">
        <f>IF(AND(C1112="",G1112=""),"",IF(L1112="","Nog factureren",IF(AND(G1112&lt;&gt;"",OR(K1112="",K1112&gt;TODAY())),"Nog betalen",IF(OR(R1112="",R1112&gt;TODAY()),"Wacht op klant","Afgerond"))))</f>
        <v/>
      </c>
    </row>
    <row r="1113">
      <c r="A1113" s="45" t="n"/>
      <c r="B1113" s="46">
        <f>IF(A1113="","",YEAR(A1113)&amp;" Q"&amp;ROUNDUP(MONTH(A1113)/3,0))</f>
        <v/>
      </c>
      <c r="C1113" s="47" t="n"/>
      <c r="D1113" s="47" t="n"/>
      <c r="E1113" s="47" t="n"/>
      <c r="F1113" s="47" t="n"/>
      <c r="G1113" s="48" t="n"/>
      <c r="H1113" s="49" t="n"/>
      <c r="I1113" s="50">
        <f>IF(G1113="","",ROUND(G1113*H1113,2))</f>
        <v/>
      </c>
      <c r="J1113" s="50">
        <f>IF(G1113="","",G1113+N(I1113))</f>
        <v/>
      </c>
      <c r="K1113" s="45" t="n"/>
      <c r="L1113" s="47" t="n"/>
      <c r="M1113" s="48" t="n"/>
      <c r="N1113" s="49" t="n"/>
      <c r="O1113" s="50">
        <f>IF(M1113="","",ROUND(M1113*N1113,2))</f>
        <v/>
      </c>
      <c r="P1113" s="50">
        <f>IF(M1113="","",M1113+N(O1113))</f>
        <v/>
      </c>
      <c r="Q1113" s="45" t="n"/>
      <c r="R1113" s="45" t="n"/>
      <c r="S1113" s="51">
        <f>IF(L1113="","",IF(COUNTIF(L$6:L1113,L1113)&gt;1,"",SUMIF(L$6:L$2000,L1113,M$6:M$2000)-SUMIF(L$6:L$2000,L1113,G$6:G$2000)))</f>
        <v/>
      </c>
      <c r="T1113" s="46">
        <f>IF(AND(C1113="",G1113=""),"",IF(L1113="","Nog factureren",IF(AND(G1113&lt;&gt;"",OR(K1113="",K1113&gt;TODAY())),"Nog betalen",IF(OR(R1113="",R1113&gt;TODAY()),"Wacht op klant","Afgerond"))))</f>
        <v/>
      </c>
    </row>
    <row r="1114">
      <c r="A1114" s="45" t="n"/>
      <c r="B1114" s="46">
        <f>IF(A1114="","",YEAR(A1114)&amp;" Q"&amp;ROUNDUP(MONTH(A1114)/3,0))</f>
        <v/>
      </c>
      <c r="C1114" s="47" t="n"/>
      <c r="D1114" s="47" t="n"/>
      <c r="E1114" s="47" t="n"/>
      <c r="F1114" s="47" t="n"/>
      <c r="G1114" s="48" t="n"/>
      <c r="H1114" s="49" t="n"/>
      <c r="I1114" s="50">
        <f>IF(G1114="","",ROUND(G1114*H1114,2))</f>
        <v/>
      </c>
      <c r="J1114" s="50">
        <f>IF(G1114="","",G1114+N(I1114))</f>
        <v/>
      </c>
      <c r="K1114" s="45" t="n"/>
      <c r="L1114" s="47" t="n"/>
      <c r="M1114" s="48" t="n"/>
      <c r="N1114" s="49" t="n"/>
      <c r="O1114" s="50">
        <f>IF(M1114="","",ROUND(M1114*N1114,2))</f>
        <v/>
      </c>
      <c r="P1114" s="50">
        <f>IF(M1114="","",M1114+N(O1114))</f>
        <v/>
      </c>
      <c r="Q1114" s="45" t="n"/>
      <c r="R1114" s="45" t="n"/>
      <c r="S1114" s="51">
        <f>IF(L1114="","",IF(COUNTIF(L$6:L1114,L1114)&gt;1,"",SUMIF(L$6:L$2000,L1114,M$6:M$2000)-SUMIF(L$6:L$2000,L1114,G$6:G$2000)))</f>
        <v/>
      </c>
      <c r="T1114" s="46">
        <f>IF(AND(C1114="",G1114=""),"",IF(L1114="","Nog factureren",IF(AND(G1114&lt;&gt;"",OR(K1114="",K1114&gt;TODAY())),"Nog betalen",IF(OR(R1114="",R1114&gt;TODAY()),"Wacht op klant","Afgerond"))))</f>
        <v/>
      </c>
    </row>
    <row r="1115">
      <c r="A1115" s="45" t="n"/>
      <c r="B1115" s="46">
        <f>IF(A1115="","",YEAR(A1115)&amp;" Q"&amp;ROUNDUP(MONTH(A1115)/3,0))</f>
        <v/>
      </c>
      <c r="C1115" s="47" t="n"/>
      <c r="D1115" s="47" t="n"/>
      <c r="E1115" s="47" t="n"/>
      <c r="F1115" s="47" t="n"/>
      <c r="G1115" s="48" t="n"/>
      <c r="H1115" s="49" t="n"/>
      <c r="I1115" s="50">
        <f>IF(G1115="","",ROUND(G1115*H1115,2))</f>
        <v/>
      </c>
      <c r="J1115" s="50">
        <f>IF(G1115="","",G1115+N(I1115))</f>
        <v/>
      </c>
      <c r="K1115" s="45" t="n"/>
      <c r="L1115" s="47" t="n"/>
      <c r="M1115" s="48" t="n"/>
      <c r="N1115" s="49" t="n"/>
      <c r="O1115" s="50">
        <f>IF(M1115="","",ROUND(M1115*N1115,2))</f>
        <v/>
      </c>
      <c r="P1115" s="50">
        <f>IF(M1115="","",M1115+N(O1115))</f>
        <v/>
      </c>
      <c r="Q1115" s="45" t="n"/>
      <c r="R1115" s="45" t="n"/>
      <c r="S1115" s="51">
        <f>IF(L1115="","",IF(COUNTIF(L$6:L1115,L1115)&gt;1,"",SUMIF(L$6:L$2000,L1115,M$6:M$2000)-SUMIF(L$6:L$2000,L1115,G$6:G$2000)))</f>
        <v/>
      </c>
      <c r="T1115" s="46">
        <f>IF(AND(C1115="",G1115=""),"",IF(L1115="","Nog factureren",IF(AND(G1115&lt;&gt;"",OR(K1115="",K1115&gt;TODAY())),"Nog betalen",IF(OR(R1115="",R1115&gt;TODAY()),"Wacht op klant","Afgerond"))))</f>
        <v/>
      </c>
    </row>
    <row r="1116">
      <c r="A1116" s="45" t="n"/>
      <c r="B1116" s="46">
        <f>IF(A1116="","",YEAR(A1116)&amp;" Q"&amp;ROUNDUP(MONTH(A1116)/3,0))</f>
        <v/>
      </c>
      <c r="C1116" s="47" t="n"/>
      <c r="D1116" s="47" t="n"/>
      <c r="E1116" s="47" t="n"/>
      <c r="F1116" s="47" t="n"/>
      <c r="G1116" s="48" t="n"/>
      <c r="H1116" s="49" t="n"/>
      <c r="I1116" s="50">
        <f>IF(G1116="","",ROUND(G1116*H1116,2))</f>
        <v/>
      </c>
      <c r="J1116" s="50">
        <f>IF(G1116="","",G1116+N(I1116))</f>
        <v/>
      </c>
      <c r="K1116" s="45" t="n"/>
      <c r="L1116" s="47" t="n"/>
      <c r="M1116" s="48" t="n"/>
      <c r="N1116" s="49" t="n"/>
      <c r="O1116" s="50">
        <f>IF(M1116="","",ROUND(M1116*N1116,2))</f>
        <v/>
      </c>
      <c r="P1116" s="50">
        <f>IF(M1116="","",M1116+N(O1116))</f>
        <v/>
      </c>
      <c r="Q1116" s="45" t="n"/>
      <c r="R1116" s="45" t="n"/>
      <c r="S1116" s="51">
        <f>IF(L1116="","",IF(COUNTIF(L$6:L1116,L1116)&gt;1,"",SUMIF(L$6:L$2000,L1116,M$6:M$2000)-SUMIF(L$6:L$2000,L1116,G$6:G$2000)))</f>
        <v/>
      </c>
      <c r="T1116" s="46">
        <f>IF(AND(C1116="",G1116=""),"",IF(L1116="","Nog factureren",IF(AND(G1116&lt;&gt;"",OR(K1116="",K1116&gt;TODAY())),"Nog betalen",IF(OR(R1116="",R1116&gt;TODAY()),"Wacht op klant","Afgerond"))))</f>
        <v/>
      </c>
    </row>
    <row r="1117">
      <c r="A1117" s="45" t="n"/>
      <c r="B1117" s="46">
        <f>IF(A1117="","",YEAR(A1117)&amp;" Q"&amp;ROUNDUP(MONTH(A1117)/3,0))</f>
        <v/>
      </c>
      <c r="C1117" s="47" t="n"/>
      <c r="D1117" s="47" t="n"/>
      <c r="E1117" s="47" t="n"/>
      <c r="F1117" s="47" t="n"/>
      <c r="G1117" s="48" t="n"/>
      <c r="H1117" s="49" t="n"/>
      <c r="I1117" s="50">
        <f>IF(G1117="","",ROUND(G1117*H1117,2))</f>
        <v/>
      </c>
      <c r="J1117" s="50">
        <f>IF(G1117="","",G1117+N(I1117))</f>
        <v/>
      </c>
      <c r="K1117" s="45" t="n"/>
      <c r="L1117" s="47" t="n"/>
      <c r="M1117" s="48" t="n"/>
      <c r="N1117" s="49" t="n"/>
      <c r="O1117" s="50">
        <f>IF(M1117="","",ROUND(M1117*N1117,2))</f>
        <v/>
      </c>
      <c r="P1117" s="50">
        <f>IF(M1117="","",M1117+N(O1117))</f>
        <v/>
      </c>
      <c r="Q1117" s="45" t="n"/>
      <c r="R1117" s="45" t="n"/>
      <c r="S1117" s="51">
        <f>IF(L1117="","",IF(COUNTIF(L$6:L1117,L1117)&gt;1,"",SUMIF(L$6:L$2000,L1117,M$6:M$2000)-SUMIF(L$6:L$2000,L1117,G$6:G$2000)))</f>
        <v/>
      </c>
      <c r="T1117" s="46">
        <f>IF(AND(C1117="",G1117=""),"",IF(L1117="","Nog factureren",IF(AND(G1117&lt;&gt;"",OR(K1117="",K1117&gt;TODAY())),"Nog betalen",IF(OR(R1117="",R1117&gt;TODAY()),"Wacht op klant","Afgerond"))))</f>
        <v/>
      </c>
    </row>
    <row r="1118">
      <c r="A1118" s="45" t="n"/>
      <c r="B1118" s="46">
        <f>IF(A1118="","",YEAR(A1118)&amp;" Q"&amp;ROUNDUP(MONTH(A1118)/3,0))</f>
        <v/>
      </c>
      <c r="C1118" s="47" t="n"/>
      <c r="D1118" s="47" t="n"/>
      <c r="E1118" s="47" t="n"/>
      <c r="F1118" s="47" t="n"/>
      <c r="G1118" s="48" t="n"/>
      <c r="H1118" s="49" t="n"/>
      <c r="I1118" s="50">
        <f>IF(G1118="","",ROUND(G1118*H1118,2))</f>
        <v/>
      </c>
      <c r="J1118" s="50">
        <f>IF(G1118="","",G1118+N(I1118))</f>
        <v/>
      </c>
      <c r="K1118" s="45" t="n"/>
      <c r="L1118" s="47" t="n"/>
      <c r="M1118" s="48" t="n"/>
      <c r="N1118" s="49" t="n"/>
      <c r="O1118" s="50">
        <f>IF(M1118="","",ROUND(M1118*N1118,2))</f>
        <v/>
      </c>
      <c r="P1118" s="50">
        <f>IF(M1118="","",M1118+N(O1118))</f>
        <v/>
      </c>
      <c r="Q1118" s="45" t="n"/>
      <c r="R1118" s="45" t="n"/>
      <c r="S1118" s="51">
        <f>IF(L1118="","",IF(COUNTIF(L$6:L1118,L1118)&gt;1,"",SUMIF(L$6:L$2000,L1118,M$6:M$2000)-SUMIF(L$6:L$2000,L1118,G$6:G$2000)))</f>
        <v/>
      </c>
      <c r="T1118" s="46">
        <f>IF(AND(C1118="",G1118=""),"",IF(L1118="","Nog factureren",IF(AND(G1118&lt;&gt;"",OR(K1118="",K1118&gt;TODAY())),"Nog betalen",IF(OR(R1118="",R1118&gt;TODAY()),"Wacht op klant","Afgerond"))))</f>
        <v/>
      </c>
    </row>
    <row r="1119">
      <c r="A1119" s="45" t="n"/>
      <c r="B1119" s="46">
        <f>IF(A1119="","",YEAR(A1119)&amp;" Q"&amp;ROUNDUP(MONTH(A1119)/3,0))</f>
        <v/>
      </c>
      <c r="C1119" s="47" t="n"/>
      <c r="D1119" s="47" t="n"/>
      <c r="E1119" s="47" t="n"/>
      <c r="F1119" s="47" t="n"/>
      <c r="G1119" s="48" t="n"/>
      <c r="H1119" s="49" t="n"/>
      <c r="I1119" s="50">
        <f>IF(G1119="","",ROUND(G1119*H1119,2))</f>
        <v/>
      </c>
      <c r="J1119" s="50">
        <f>IF(G1119="","",G1119+N(I1119))</f>
        <v/>
      </c>
      <c r="K1119" s="45" t="n"/>
      <c r="L1119" s="47" t="n"/>
      <c r="M1119" s="48" t="n"/>
      <c r="N1119" s="49" t="n"/>
      <c r="O1119" s="50">
        <f>IF(M1119="","",ROUND(M1119*N1119,2))</f>
        <v/>
      </c>
      <c r="P1119" s="50">
        <f>IF(M1119="","",M1119+N(O1119))</f>
        <v/>
      </c>
      <c r="Q1119" s="45" t="n"/>
      <c r="R1119" s="45" t="n"/>
      <c r="S1119" s="51">
        <f>IF(L1119="","",IF(COUNTIF(L$6:L1119,L1119)&gt;1,"",SUMIF(L$6:L$2000,L1119,M$6:M$2000)-SUMIF(L$6:L$2000,L1119,G$6:G$2000)))</f>
        <v/>
      </c>
      <c r="T1119" s="46">
        <f>IF(AND(C1119="",G1119=""),"",IF(L1119="","Nog factureren",IF(AND(G1119&lt;&gt;"",OR(K1119="",K1119&gt;TODAY())),"Nog betalen",IF(OR(R1119="",R1119&gt;TODAY()),"Wacht op klant","Afgerond"))))</f>
        <v/>
      </c>
    </row>
    <row r="1120">
      <c r="A1120" s="45" t="n"/>
      <c r="B1120" s="46">
        <f>IF(A1120="","",YEAR(A1120)&amp;" Q"&amp;ROUNDUP(MONTH(A1120)/3,0))</f>
        <v/>
      </c>
      <c r="C1120" s="47" t="n"/>
      <c r="D1120" s="47" t="n"/>
      <c r="E1120" s="47" t="n"/>
      <c r="F1120" s="47" t="n"/>
      <c r="G1120" s="48" t="n"/>
      <c r="H1120" s="49" t="n"/>
      <c r="I1120" s="50">
        <f>IF(G1120="","",ROUND(G1120*H1120,2))</f>
        <v/>
      </c>
      <c r="J1120" s="50">
        <f>IF(G1120="","",G1120+N(I1120))</f>
        <v/>
      </c>
      <c r="K1120" s="45" t="n"/>
      <c r="L1120" s="47" t="n"/>
      <c r="M1120" s="48" t="n"/>
      <c r="N1120" s="49" t="n"/>
      <c r="O1120" s="50">
        <f>IF(M1120="","",ROUND(M1120*N1120,2))</f>
        <v/>
      </c>
      <c r="P1120" s="50">
        <f>IF(M1120="","",M1120+N(O1120))</f>
        <v/>
      </c>
      <c r="Q1120" s="45" t="n"/>
      <c r="R1120" s="45" t="n"/>
      <c r="S1120" s="51">
        <f>IF(L1120="","",IF(COUNTIF(L$6:L1120,L1120)&gt;1,"",SUMIF(L$6:L$2000,L1120,M$6:M$2000)-SUMIF(L$6:L$2000,L1120,G$6:G$2000)))</f>
        <v/>
      </c>
      <c r="T1120" s="46">
        <f>IF(AND(C1120="",G1120=""),"",IF(L1120="","Nog factureren",IF(AND(G1120&lt;&gt;"",OR(K1120="",K1120&gt;TODAY())),"Nog betalen",IF(OR(R1120="",R1120&gt;TODAY()),"Wacht op klant","Afgerond"))))</f>
        <v/>
      </c>
    </row>
    <row r="1121">
      <c r="A1121" s="45" t="n"/>
      <c r="B1121" s="46">
        <f>IF(A1121="","",YEAR(A1121)&amp;" Q"&amp;ROUNDUP(MONTH(A1121)/3,0))</f>
        <v/>
      </c>
      <c r="C1121" s="47" t="n"/>
      <c r="D1121" s="47" t="n"/>
      <c r="E1121" s="47" t="n"/>
      <c r="F1121" s="47" t="n"/>
      <c r="G1121" s="48" t="n"/>
      <c r="H1121" s="49" t="n"/>
      <c r="I1121" s="50">
        <f>IF(G1121="","",ROUND(G1121*H1121,2))</f>
        <v/>
      </c>
      <c r="J1121" s="50">
        <f>IF(G1121="","",G1121+N(I1121))</f>
        <v/>
      </c>
      <c r="K1121" s="45" t="n"/>
      <c r="L1121" s="47" t="n"/>
      <c r="M1121" s="48" t="n"/>
      <c r="N1121" s="49" t="n"/>
      <c r="O1121" s="50">
        <f>IF(M1121="","",ROUND(M1121*N1121,2))</f>
        <v/>
      </c>
      <c r="P1121" s="50">
        <f>IF(M1121="","",M1121+N(O1121))</f>
        <v/>
      </c>
      <c r="Q1121" s="45" t="n"/>
      <c r="R1121" s="45" t="n"/>
      <c r="S1121" s="51">
        <f>IF(L1121="","",IF(COUNTIF(L$6:L1121,L1121)&gt;1,"",SUMIF(L$6:L$2000,L1121,M$6:M$2000)-SUMIF(L$6:L$2000,L1121,G$6:G$2000)))</f>
        <v/>
      </c>
      <c r="T1121" s="46">
        <f>IF(AND(C1121="",G1121=""),"",IF(L1121="","Nog factureren",IF(AND(G1121&lt;&gt;"",OR(K1121="",K1121&gt;TODAY())),"Nog betalen",IF(OR(R1121="",R1121&gt;TODAY()),"Wacht op klant","Afgerond"))))</f>
        <v/>
      </c>
    </row>
    <row r="1122">
      <c r="A1122" s="45" t="n"/>
      <c r="B1122" s="46">
        <f>IF(A1122="","",YEAR(A1122)&amp;" Q"&amp;ROUNDUP(MONTH(A1122)/3,0))</f>
        <v/>
      </c>
      <c r="C1122" s="47" t="n"/>
      <c r="D1122" s="47" t="n"/>
      <c r="E1122" s="47" t="n"/>
      <c r="F1122" s="47" t="n"/>
      <c r="G1122" s="48" t="n"/>
      <c r="H1122" s="49" t="n"/>
      <c r="I1122" s="50">
        <f>IF(G1122="","",ROUND(G1122*H1122,2))</f>
        <v/>
      </c>
      <c r="J1122" s="50">
        <f>IF(G1122="","",G1122+N(I1122))</f>
        <v/>
      </c>
      <c r="K1122" s="45" t="n"/>
      <c r="L1122" s="47" t="n"/>
      <c r="M1122" s="48" t="n"/>
      <c r="N1122" s="49" t="n"/>
      <c r="O1122" s="50">
        <f>IF(M1122="","",ROUND(M1122*N1122,2))</f>
        <v/>
      </c>
      <c r="P1122" s="50">
        <f>IF(M1122="","",M1122+N(O1122))</f>
        <v/>
      </c>
      <c r="Q1122" s="45" t="n"/>
      <c r="R1122" s="45" t="n"/>
      <c r="S1122" s="51">
        <f>IF(L1122="","",IF(COUNTIF(L$6:L1122,L1122)&gt;1,"",SUMIF(L$6:L$2000,L1122,M$6:M$2000)-SUMIF(L$6:L$2000,L1122,G$6:G$2000)))</f>
        <v/>
      </c>
      <c r="T1122" s="46">
        <f>IF(AND(C1122="",G1122=""),"",IF(L1122="","Nog factureren",IF(AND(G1122&lt;&gt;"",OR(K1122="",K1122&gt;TODAY())),"Nog betalen",IF(OR(R1122="",R1122&gt;TODAY()),"Wacht op klant","Afgerond"))))</f>
        <v/>
      </c>
    </row>
    <row r="1123">
      <c r="A1123" s="45" t="n"/>
      <c r="B1123" s="46">
        <f>IF(A1123="","",YEAR(A1123)&amp;" Q"&amp;ROUNDUP(MONTH(A1123)/3,0))</f>
        <v/>
      </c>
      <c r="C1123" s="47" t="n"/>
      <c r="D1123" s="47" t="n"/>
      <c r="E1123" s="47" t="n"/>
      <c r="F1123" s="47" t="n"/>
      <c r="G1123" s="48" t="n"/>
      <c r="H1123" s="49" t="n"/>
      <c r="I1123" s="50">
        <f>IF(G1123="","",ROUND(G1123*H1123,2))</f>
        <v/>
      </c>
      <c r="J1123" s="50">
        <f>IF(G1123="","",G1123+N(I1123))</f>
        <v/>
      </c>
      <c r="K1123" s="45" t="n"/>
      <c r="L1123" s="47" t="n"/>
      <c r="M1123" s="48" t="n"/>
      <c r="N1123" s="49" t="n"/>
      <c r="O1123" s="50">
        <f>IF(M1123="","",ROUND(M1123*N1123,2))</f>
        <v/>
      </c>
      <c r="P1123" s="50">
        <f>IF(M1123="","",M1123+N(O1123))</f>
        <v/>
      </c>
      <c r="Q1123" s="45" t="n"/>
      <c r="R1123" s="45" t="n"/>
      <c r="S1123" s="51">
        <f>IF(L1123="","",IF(COUNTIF(L$6:L1123,L1123)&gt;1,"",SUMIF(L$6:L$2000,L1123,M$6:M$2000)-SUMIF(L$6:L$2000,L1123,G$6:G$2000)))</f>
        <v/>
      </c>
      <c r="T1123" s="46">
        <f>IF(AND(C1123="",G1123=""),"",IF(L1123="","Nog factureren",IF(AND(G1123&lt;&gt;"",OR(K1123="",K1123&gt;TODAY())),"Nog betalen",IF(OR(R1123="",R1123&gt;TODAY()),"Wacht op klant","Afgerond"))))</f>
        <v/>
      </c>
    </row>
    <row r="1124">
      <c r="A1124" s="45" t="n"/>
      <c r="B1124" s="46">
        <f>IF(A1124="","",YEAR(A1124)&amp;" Q"&amp;ROUNDUP(MONTH(A1124)/3,0))</f>
        <v/>
      </c>
      <c r="C1124" s="47" t="n"/>
      <c r="D1124" s="47" t="n"/>
      <c r="E1124" s="47" t="n"/>
      <c r="F1124" s="47" t="n"/>
      <c r="G1124" s="48" t="n"/>
      <c r="H1124" s="49" t="n"/>
      <c r="I1124" s="50">
        <f>IF(G1124="","",ROUND(G1124*H1124,2))</f>
        <v/>
      </c>
      <c r="J1124" s="50">
        <f>IF(G1124="","",G1124+N(I1124))</f>
        <v/>
      </c>
      <c r="K1124" s="45" t="n"/>
      <c r="L1124" s="47" t="n"/>
      <c r="M1124" s="48" t="n"/>
      <c r="N1124" s="49" t="n"/>
      <c r="O1124" s="50">
        <f>IF(M1124="","",ROUND(M1124*N1124,2))</f>
        <v/>
      </c>
      <c r="P1124" s="50">
        <f>IF(M1124="","",M1124+N(O1124))</f>
        <v/>
      </c>
      <c r="Q1124" s="45" t="n"/>
      <c r="R1124" s="45" t="n"/>
      <c r="S1124" s="51">
        <f>IF(L1124="","",IF(COUNTIF(L$6:L1124,L1124)&gt;1,"",SUMIF(L$6:L$2000,L1124,M$6:M$2000)-SUMIF(L$6:L$2000,L1124,G$6:G$2000)))</f>
        <v/>
      </c>
      <c r="T1124" s="46">
        <f>IF(AND(C1124="",G1124=""),"",IF(L1124="","Nog factureren",IF(AND(G1124&lt;&gt;"",OR(K1124="",K1124&gt;TODAY())),"Nog betalen",IF(OR(R1124="",R1124&gt;TODAY()),"Wacht op klant","Afgerond"))))</f>
        <v/>
      </c>
    </row>
    <row r="1125">
      <c r="A1125" s="45" t="n"/>
      <c r="B1125" s="46">
        <f>IF(A1125="","",YEAR(A1125)&amp;" Q"&amp;ROUNDUP(MONTH(A1125)/3,0))</f>
        <v/>
      </c>
      <c r="C1125" s="47" t="n"/>
      <c r="D1125" s="47" t="n"/>
      <c r="E1125" s="47" t="n"/>
      <c r="F1125" s="47" t="n"/>
      <c r="G1125" s="48" t="n"/>
      <c r="H1125" s="49" t="n"/>
      <c r="I1125" s="50">
        <f>IF(G1125="","",ROUND(G1125*H1125,2))</f>
        <v/>
      </c>
      <c r="J1125" s="50">
        <f>IF(G1125="","",G1125+N(I1125))</f>
        <v/>
      </c>
      <c r="K1125" s="45" t="n"/>
      <c r="L1125" s="47" t="n"/>
      <c r="M1125" s="48" t="n"/>
      <c r="N1125" s="49" t="n"/>
      <c r="O1125" s="50">
        <f>IF(M1125="","",ROUND(M1125*N1125,2))</f>
        <v/>
      </c>
      <c r="P1125" s="50">
        <f>IF(M1125="","",M1125+N(O1125))</f>
        <v/>
      </c>
      <c r="Q1125" s="45" t="n"/>
      <c r="R1125" s="45" t="n"/>
      <c r="S1125" s="51">
        <f>IF(L1125="","",IF(COUNTIF(L$6:L1125,L1125)&gt;1,"",SUMIF(L$6:L$2000,L1125,M$6:M$2000)-SUMIF(L$6:L$2000,L1125,G$6:G$2000)))</f>
        <v/>
      </c>
      <c r="T1125" s="46">
        <f>IF(AND(C1125="",G1125=""),"",IF(L1125="","Nog factureren",IF(AND(G1125&lt;&gt;"",OR(K1125="",K1125&gt;TODAY())),"Nog betalen",IF(OR(R1125="",R1125&gt;TODAY()),"Wacht op klant","Afgerond"))))</f>
        <v/>
      </c>
    </row>
    <row r="1126">
      <c r="A1126" s="45" t="n"/>
      <c r="B1126" s="46">
        <f>IF(A1126="","",YEAR(A1126)&amp;" Q"&amp;ROUNDUP(MONTH(A1126)/3,0))</f>
        <v/>
      </c>
      <c r="C1126" s="47" t="n"/>
      <c r="D1126" s="47" t="n"/>
      <c r="E1126" s="47" t="n"/>
      <c r="F1126" s="47" t="n"/>
      <c r="G1126" s="48" t="n"/>
      <c r="H1126" s="49" t="n"/>
      <c r="I1126" s="50">
        <f>IF(G1126="","",ROUND(G1126*H1126,2))</f>
        <v/>
      </c>
      <c r="J1126" s="50">
        <f>IF(G1126="","",G1126+N(I1126))</f>
        <v/>
      </c>
      <c r="K1126" s="45" t="n"/>
      <c r="L1126" s="47" t="n"/>
      <c r="M1126" s="48" t="n"/>
      <c r="N1126" s="49" t="n"/>
      <c r="O1126" s="50">
        <f>IF(M1126="","",ROUND(M1126*N1126,2))</f>
        <v/>
      </c>
      <c r="P1126" s="50">
        <f>IF(M1126="","",M1126+N(O1126))</f>
        <v/>
      </c>
      <c r="Q1126" s="45" t="n"/>
      <c r="R1126" s="45" t="n"/>
      <c r="S1126" s="51">
        <f>IF(L1126="","",IF(COUNTIF(L$6:L1126,L1126)&gt;1,"",SUMIF(L$6:L$2000,L1126,M$6:M$2000)-SUMIF(L$6:L$2000,L1126,G$6:G$2000)))</f>
        <v/>
      </c>
      <c r="T1126" s="46">
        <f>IF(AND(C1126="",G1126=""),"",IF(L1126="","Nog factureren",IF(AND(G1126&lt;&gt;"",OR(K1126="",K1126&gt;TODAY())),"Nog betalen",IF(OR(R1126="",R1126&gt;TODAY()),"Wacht op klant","Afgerond"))))</f>
        <v/>
      </c>
    </row>
    <row r="1127">
      <c r="A1127" s="45" t="n"/>
      <c r="B1127" s="46">
        <f>IF(A1127="","",YEAR(A1127)&amp;" Q"&amp;ROUNDUP(MONTH(A1127)/3,0))</f>
        <v/>
      </c>
      <c r="C1127" s="47" t="n"/>
      <c r="D1127" s="47" t="n"/>
      <c r="E1127" s="47" t="n"/>
      <c r="F1127" s="47" t="n"/>
      <c r="G1127" s="48" t="n"/>
      <c r="H1127" s="49" t="n"/>
      <c r="I1127" s="50">
        <f>IF(G1127="","",ROUND(G1127*H1127,2))</f>
        <v/>
      </c>
      <c r="J1127" s="50">
        <f>IF(G1127="","",G1127+N(I1127))</f>
        <v/>
      </c>
      <c r="K1127" s="45" t="n"/>
      <c r="L1127" s="47" t="n"/>
      <c r="M1127" s="48" t="n"/>
      <c r="N1127" s="49" t="n"/>
      <c r="O1127" s="50">
        <f>IF(M1127="","",ROUND(M1127*N1127,2))</f>
        <v/>
      </c>
      <c r="P1127" s="50">
        <f>IF(M1127="","",M1127+N(O1127))</f>
        <v/>
      </c>
      <c r="Q1127" s="45" t="n"/>
      <c r="R1127" s="45" t="n"/>
      <c r="S1127" s="51">
        <f>IF(L1127="","",IF(COUNTIF(L$6:L1127,L1127)&gt;1,"",SUMIF(L$6:L$2000,L1127,M$6:M$2000)-SUMIF(L$6:L$2000,L1127,G$6:G$2000)))</f>
        <v/>
      </c>
      <c r="T1127" s="46">
        <f>IF(AND(C1127="",G1127=""),"",IF(L1127="","Nog factureren",IF(AND(G1127&lt;&gt;"",OR(K1127="",K1127&gt;TODAY())),"Nog betalen",IF(OR(R1127="",R1127&gt;TODAY()),"Wacht op klant","Afgerond"))))</f>
        <v/>
      </c>
    </row>
    <row r="1128">
      <c r="A1128" s="45" t="n"/>
      <c r="B1128" s="46">
        <f>IF(A1128="","",YEAR(A1128)&amp;" Q"&amp;ROUNDUP(MONTH(A1128)/3,0))</f>
        <v/>
      </c>
      <c r="C1128" s="47" t="n"/>
      <c r="D1128" s="47" t="n"/>
      <c r="E1128" s="47" t="n"/>
      <c r="F1128" s="47" t="n"/>
      <c r="G1128" s="48" t="n"/>
      <c r="H1128" s="49" t="n"/>
      <c r="I1128" s="50">
        <f>IF(G1128="","",ROUND(G1128*H1128,2))</f>
        <v/>
      </c>
      <c r="J1128" s="50">
        <f>IF(G1128="","",G1128+N(I1128))</f>
        <v/>
      </c>
      <c r="K1128" s="45" t="n"/>
      <c r="L1128" s="47" t="n"/>
      <c r="M1128" s="48" t="n"/>
      <c r="N1128" s="49" t="n"/>
      <c r="O1128" s="50">
        <f>IF(M1128="","",ROUND(M1128*N1128,2))</f>
        <v/>
      </c>
      <c r="P1128" s="50">
        <f>IF(M1128="","",M1128+N(O1128))</f>
        <v/>
      </c>
      <c r="Q1128" s="45" t="n"/>
      <c r="R1128" s="45" t="n"/>
      <c r="S1128" s="51">
        <f>IF(L1128="","",IF(COUNTIF(L$6:L1128,L1128)&gt;1,"",SUMIF(L$6:L$2000,L1128,M$6:M$2000)-SUMIF(L$6:L$2000,L1128,G$6:G$2000)))</f>
        <v/>
      </c>
      <c r="T1128" s="46">
        <f>IF(AND(C1128="",G1128=""),"",IF(L1128="","Nog factureren",IF(AND(G1128&lt;&gt;"",OR(K1128="",K1128&gt;TODAY())),"Nog betalen",IF(OR(R1128="",R1128&gt;TODAY()),"Wacht op klant","Afgerond"))))</f>
        <v/>
      </c>
    </row>
    <row r="1129">
      <c r="A1129" s="45" t="n"/>
      <c r="B1129" s="46">
        <f>IF(A1129="","",YEAR(A1129)&amp;" Q"&amp;ROUNDUP(MONTH(A1129)/3,0))</f>
        <v/>
      </c>
      <c r="C1129" s="47" t="n"/>
      <c r="D1129" s="47" t="n"/>
      <c r="E1129" s="47" t="n"/>
      <c r="F1129" s="47" t="n"/>
      <c r="G1129" s="48" t="n"/>
      <c r="H1129" s="49" t="n"/>
      <c r="I1129" s="50">
        <f>IF(G1129="","",ROUND(G1129*H1129,2))</f>
        <v/>
      </c>
      <c r="J1129" s="50">
        <f>IF(G1129="","",G1129+N(I1129))</f>
        <v/>
      </c>
      <c r="K1129" s="45" t="n"/>
      <c r="L1129" s="47" t="n"/>
      <c r="M1129" s="48" t="n"/>
      <c r="N1129" s="49" t="n"/>
      <c r="O1129" s="50">
        <f>IF(M1129="","",ROUND(M1129*N1129,2))</f>
        <v/>
      </c>
      <c r="P1129" s="50">
        <f>IF(M1129="","",M1129+N(O1129))</f>
        <v/>
      </c>
      <c r="Q1129" s="45" t="n"/>
      <c r="R1129" s="45" t="n"/>
      <c r="S1129" s="51">
        <f>IF(L1129="","",IF(COUNTIF(L$6:L1129,L1129)&gt;1,"",SUMIF(L$6:L$2000,L1129,M$6:M$2000)-SUMIF(L$6:L$2000,L1129,G$6:G$2000)))</f>
        <v/>
      </c>
      <c r="T1129" s="46">
        <f>IF(AND(C1129="",G1129=""),"",IF(L1129="","Nog factureren",IF(AND(G1129&lt;&gt;"",OR(K1129="",K1129&gt;TODAY())),"Nog betalen",IF(OR(R1129="",R1129&gt;TODAY()),"Wacht op klant","Afgerond"))))</f>
        <v/>
      </c>
    </row>
    <row r="1130">
      <c r="A1130" s="45" t="n"/>
      <c r="B1130" s="46">
        <f>IF(A1130="","",YEAR(A1130)&amp;" Q"&amp;ROUNDUP(MONTH(A1130)/3,0))</f>
        <v/>
      </c>
      <c r="C1130" s="47" t="n"/>
      <c r="D1130" s="47" t="n"/>
      <c r="E1130" s="47" t="n"/>
      <c r="F1130" s="47" t="n"/>
      <c r="G1130" s="48" t="n"/>
      <c r="H1130" s="49" t="n"/>
      <c r="I1130" s="50">
        <f>IF(G1130="","",ROUND(G1130*H1130,2))</f>
        <v/>
      </c>
      <c r="J1130" s="50">
        <f>IF(G1130="","",G1130+N(I1130))</f>
        <v/>
      </c>
      <c r="K1130" s="45" t="n"/>
      <c r="L1130" s="47" t="n"/>
      <c r="M1130" s="48" t="n"/>
      <c r="N1130" s="49" t="n"/>
      <c r="O1130" s="50">
        <f>IF(M1130="","",ROUND(M1130*N1130,2))</f>
        <v/>
      </c>
      <c r="P1130" s="50">
        <f>IF(M1130="","",M1130+N(O1130))</f>
        <v/>
      </c>
      <c r="Q1130" s="45" t="n"/>
      <c r="R1130" s="45" t="n"/>
      <c r="S1130" s="51">
        <f>IF(L1130="","",IF(COUNTIF(L$6:L1130,L1130)&gt;1,"",SUMIF(L$6:L$2000,L1130,M$6:M$2000)-SUMIF(L$6:L$2000,L1130,G$6:G$2000)))</f>
        <v/>
      </c>
      <c r="T1130" s="46">
        <f>IF(AND(C1130="",G1130=""),"",IF(L1130="","Nog factureren",IF(AND(G1130&lt;&gt;"",OR(K1130="",K1130&gt;TODAY())),"Nog betalen",IF(OR(R1130="",R1130&gt;TODAY()),"Wacht op klant","Afgerond"))))</f>
        <v/>
      </c>
    </row>
    <row r="1131">
      <c r="A1131" s="45" t="n"/>
      <c r="B1131" s="46">
        <f>IF(A1131="","",YEAR(A1131)&amp;" Q"&amp;ROUNDUP(MONTH(A1131)/3,0))</f>
        <v/>
      </c>
      <c r="C1131" s="47" t="n"/>
      <c r="D1131" s="47" t="n"/>
      <c r="E1131" s="47" t="n"/>
      <c r="F1131" s="47" t="n"/>
      <c r="G1131" s="48" t="n"/>
      <c r="H1131" s="49" t="n"/>
      <c r="I1131" s="50">
        <f>IF(G1131="","",ROUND(G1131*H1131,2))</f>
        <v/>
      </c>
      <c r="J1131" s="50">
        <f>IF(G1131="","",G1131+N(I1131))</f>
        <v/>
      </c>
      <c r="K1131" s="45" t="n"/>
      <c r="L1131" s="47" t="n"/>
      <c r="M1131" s="48" t="n"/>
      <c r="N1131" s="49" t="n"/>
      <c r="O1131" s="50">
        <f>IF(M1131="","",ROUND(M1131*N1131,2))</f>
        <v/>
      </c>
      <c r="P1131" s="50">
        <f>IF(M1131="","",M1131+N(O1131))</f>
        <v/>
      </c>
      <c r="Q1131" s="45" t="n"/>
      <c r="R1131" s="45" t="n"/>
      <c r="S1131" s="51">
        <f>IF(L1131="","",IF(COUNTIF(L$6:L1131,L1131)&gt;1,"",SUMIF(L$6:L$2000,L1131,M$6:M$2000)-SUMIF(L$6:L$2000,L1131,G$6:G$2000)))</f>
        <v/>
      </c>
      <c r="T1131" s="46">
        <f>IF(AND(C1131="",G1131=""),"",IF(L1131="","Nog factureren",IF(AND(G1131&lt;&gt;"",OR(K1131="",K1131&gt;TODAY())),"Nog betalen",IF(OR(R1131="",R1131&gt;TODAY()),"Wacht op klant","Afgerond"))))</f>
        <v/>
      </c>
    </row>
    <row r="1132">
      <c r="A1132" s="45" t="n"/>
      <c r="B1132" s="46">
        <f>IF(A1132="","",YEAR(A1132)&amp;" Q"&amp;ROUNDUP(MONTH(A1132)/3,0))</f>
        <v/>
      </c>
      <c r="C1132" s="47" t="n"/>
      <c r="D1132" s="47" t="n"/>
      <c r="E1132" s="47" t="n"/>
      <c r="F1132" s="47" t="n"/>
      <c r="G1132" s="48" t="n"/>
      <c r="H1132" s="49" t="n"/>
      <c r="I1132" s="50">
        <f>IF(G1132="","",ROUND(G1132*H1132,2))</f>
        <v/>
      </c>
      <c r="J1132" s="50">
        <f>IF(G1132="","",G1132+N(I1132))</f>
        <v/>
      </c>
      <c r="K1132" s="45" t="n"/>
      <c r="L1132" s="47" t="n"/>
      <c r="M1132" s="48" t="n"/>
      <c r="N1132" s="49" t="n"/>
      <c r="O1132" s="50">
        <f>IF(M1132="","",ROUND(M1132*N1132,2))</f>
        <v/>
      </c>
      <c r="P1132" s="50">
        <f>IF(M1132="","",M1132+N(O1132))</f>
        <v/>
      </c>
      <c r="Q1132" s="45" t="n"/>
      <c r="R1132" s="45" t="n"/>
      <c r="S1132" s="51">
        <f>IF(L1132="","",IF(COUNTIF(L$6:L1132,L1132)&gt;1,"",SUMIF(L$6:L$2000,L1132,M$6:M$2000)-SUMIF(L$6:L$2000,L1132,G$6:G$2000)))</f>
        <v/>
      </c>
      <c r="T1132" s="46">
        <f>IF(AND(C1132="",G1132=""),"",IF(L1132="","Nog factureren",IF(AND(G1132&lt;&gt;"",OR(K1132="",K1132&gt;TODAY())),"Nog betalen",IF(OR(R1132="",R1132&gt;TODAY()),"Wacht op klant","Afgerond"))))</f>
        <v/>
      </c>
    </row>
    <row r="1133">
      <c r="A1133" s="45" t="n"/>
      <c r="B1133" s="46">
        <f>IF(A1133="","",YEAR(A1133)&amp;" Q"&amp;ROUNDUP(MONTH(A1133)/3,0))</f>
        <v/>
      </c>
      <c r="C1133" s="47" t="n"/>
      <c r="D1133" s="47" t="n"/>
      <c r="E1133" s="47" t="n"/>
      <c r="F1133" s="47" t="n"/>
      <c r="G1133" s="48" t="n"/>
      <c r="H1133" s="49" t="n"/>
      <c r="I1133" s="50">
        <f>IF(G1133="","",ROUND(G1133*H1133,2))</f>
        <v/>
      </c>
      <c r="J1133" s="50">
        <f>IF(G1133="","",G1133+N(I1133))</f>
        <v/>
      </c>
      <c r="K1133" s="45" t="n"/>
      <c r="L1133" s="47" t="n"/>
      <c r="M1133" s="48" t="n"/>
      <c r="N1133" s="49" t="n"/>
      <c r="O1133" s="50">
        <f>IF(M1133="","",ROUND(M1133*N1133,2))</f>
        <v/>
      </c>
      <c r="P1133" s="50">
        <f>IF(M1133="","",M1133+N(O1133))</f>
        <v/>
      </c>
      <c r="Q1133" s="45" t="n"/>
      <c r="R1133" s="45" t="n"/>
      <c r="S1133" s="51">
        <f>IF(L1133="","",IF(COUNTIF(L$6:L1133,L1133)&gt;1,"",SUMIF(L$6:L$2000,L1133,M$6:M$2000)-SUMIF(L$6:L$2000,L1133,G$6:G$2000)))</f>
        <v/>
      </c>
      <c r="T1133" s="46">
        <f>IF(AND(C1133="",G1133=""),"",IF(L1133="","Nog factureren",IF(AND(G1133&lt;&gt;"",OR(K1133="",K1133&gt;TODAY())),"Nog betalen",IF(OR(R1133="",R1133&gt;TODAY()),"Wacht op klant","Afgerond"))))</f>
        <v/>
      </c>
    </row>
    <row r="1134">
      <c r="A1134" s="45" t="n"/>
      <c r="B1134" s="46">
        <f>IF(A1134="","",YEAR(A1134)&amp;" Q"&amp;ROUNDUP(MONTH(A1134)/3,0))</f>
        <v/>
      </c>
      <c r="C1134" s="47" t="n"/>
      <c r="D1134" s="47" t="n"/>
      <c r="E1134" s="47" t="n"/>
      <c r="F1134" s="47" t="n"/>
      <c r="G1134" s="48" t="n"/>
      <c r="H1134" s="49" t="n"/>
      <c r="I1134" s="50">
        <f>IF(G1134="","",ROUND(G1134*H1134,2))</f>
        <v/>
      </c>
      <c r="J1134" s="50">
        <f>IF(G1134="","",G1134+N(I1134))</f>
        <v/>
      </c>
      <c r="K1134" s="45" t="n"/>
      <c r="L1134" s="47" t="n"/>
      <c r="M1134" s="48" t="n"/>
      <c r="N1134" s="49" t="n"/>
      <c r="O1134" s="50">
        <f>IF(M1134="","",ROUND(M1134*N1134,2))</f>
        <v/>
      </c>
      <c r="P1134" s="50">
        <f>IF(M1134="","",M1134+N(O1134))</f>
        <v/>
      </c>
      <c r="Q1134" s="45" t="n"/>
      <c r="R1134" s="45" t="n"/>
      <c r="S1134" s="51">
        <f>IF(L1134="","",IF(COUNTIF(L$6:L1134,L1134)&gt;1,"",SUMIF(L$6:L$2000,L1134,M$6:M$2000)-SUMIF(L$6:L$2000,L1134,G$6:G$2000)))</f>
        <v/>
      </c>
      <c r="T1134" s="46">
        <f>IF(AND(C1134="",G1134=""),"",IF(L1134="","Nog factureren",IF(AND(G1134&lt;&gt;"",OR(K1134="",K1134&gt;TODAY())),"Nog betalen",IF(OR(R1134="",R1134&gt;TODAY()),"Wacht op klant","Afgerond"))))</f>
        <v/>
      </c>
    </row>
    <row r="1135">
      <c r="A1135" s="45" t="n"/>
      <c r="B1135" s="46">
        <f>IF(A1135="","",YEAR(A1135)&amp;" Q"&amp;ROUNDUP(MONTH(A1135)/3,0))</f>
        <v/>
      </c>
      <c r="C1135" s="47" t="n"/>
      <c r="D1135" s="47" t="n"/>
      <c r="E1135" s="47" t="n"/>
      <c r="F1135" s="47" t="n"/>
      <c r="G1135" s="48" t="n"/>
      <c r="H1135" s="49" t="n"/>
      <c r="I1135" s="50">
        <f>IF(G1135="","",ROUND(G1135*H1135,2))</f>
        <v/>
      </c>
      <c r="J1135" s="50">
        <f>IF(G1135="","",G1135+N(I1135))</f>
        <v/>
      </c>
      <c r="K1135" s="45" t="n"/>
      <c r="L1135" s="47" t="n"/>
      <c r="M1135" s="48" t="n"/>
      <c r="N1135" s="49" t="n"/>
      <c r="O1135" s="50">
        <f>IF(M1135="","",ROUND(M1135*N1135,2))</f>
        <v/>
      </c>
      <c r="P1135" s="50">
        <f>IF(M1135="","",M1135+N(O1135))</f>
        <v/>
      </c>
      <c r="Q1135" s="45" t="n"/>
      <c r="R1135" s="45" t="n"/>
      <c r="S1135" s="51">
        <f>IF(L1135="","",IF(COUNTIF(L$6:L1135,L1135)&gt;1,"",SUMIF(L$6:L$2000,L1135,M$6:M$2000)-SUMIF(L$6:L$2000,L1135,G$6:G$2000)))</f>
        <v/>
      </c>
      <c r="T1135" s="46">
        <f>IF(AND(C1135="",G1135=""),"",IF(L1135="","Nog factureren",IF(AND(G1135&lt;&gt;"",OR(K1135="",K1135&gt;TODAY())),"Nog betalen",IF(OR(R1135="",R1135&gt;TODAY()),"Wacht op klant","Afgerond"))))</f>
        <v/>
      </c>
    </row>
    <row r="1136">
      <c r="A1136" s="45" t="n"/>
      <c r="B1136" s="46">
        <f>IF(A1136="","",YEAR(A1136)&amp;" Q"&amp;ROUNDUP(MONTH(A1136)/3,0))</f>
        <v/>
      </c>
      <c r="C1136" s="47" t="n"/>
      <c r="D1136" s="47" t="n"/>
      <c r="E1136" s="47" t="n"/>
      <c r="F1136" s="47" t="n"/>
      <c r="G1136" s="48" t="n"/>
      <c r="H1136" s="49" t="n"/>
      <c r="I1136" s="50">
        <f>IF(G1136="","",ROUND(G1136*H1136,2))</f>
        <v/>
      </c>
      <c r="J1136" s="50">
        <f>IF(G1136="","",G1136+N(I1136))</f>
        <v/>
      </c>
      <c r="K1136" s="45" t="n"/>
      <c r="L1136" s="47" t="n"/>
      <c r="M1136" s="48" t="n"/>
      <c r="N1136" s="49" t="n"/>
      <c r="O1136" s="50">
        <f>IF(M1136="","",ROUND(M1136*N1136,2))</f>
        <v/>
      </c>
      <c r="P1136" s="50">
        <f>IF(M1136="","",M1136+N(O1136))</f>
        <v/>
      </c>
      <c r="Q1136" s="45" t="n"/>
      <c r="R1136" s="45" t="n"/>
      <c r="S1136" s="51">
        <f>IF(L1136="","",IF(COUNTIF(L$6:L1136,L1136)&gt;1,"",SUMIF(L$6:L$2000,L1136,M$6:M$2000)-SUMIF(L$6:L$2000,L1136,G$6:G$2000)))</f>
        <v/>
      </c>
      <c r="T1136" s="46">
        <f>IF(AND(C1136="",G1136=""),"",IF(L1136="","Nog factureren",IF(AND(G1136&lt;&gt;"",OR(K1136="",K1136&gt;TODAY())),"Nog betalen",IF(OR(R1136="",R1136&gt;TODAY()),"Wacht op klant","Afgerond"))))</f>
        <v/>
      </c>
    </row>
    <row r="1137">
      <c r="A1137" s="45" t="n"/>
      <c r="B1137" s="46">
        <f>IF(A1137="","",YEAR(A1137)&amp;" Q"&amp;ROUNDUP(MONTH(A1137)/3,0))</f>
        <v/>
      </c>
      <c r="C1137" s="47" t="n"/>
      <c r="D1137" s="47" t="n"/>
      <c r="E1137" s="47" t="n"/>
      <c r="F1137" s="47" t="n"/>
      <c r="G1137" s="48" t="n"/>
      <c r="H1137" s="49" t="n"/>
      <c r="I1137" s="50">
        <f>IF(G1137="","",ROUND(G1137*H1137,2))</f>
        <v/>
      </c>
      <c r="J1137" s="50">
        <f>IF(G1137="","",G1137+N(I1137))</f>
        <v/>
      </c>
      <c r="K1137" s="45" t="n"/>
      <c r="L1137" s="47" t="n"/>
      <c r="M1137" s="48" t="n"/>
      <c r="N1137" s="49" t="n"/>
      <c r="O1137" s="50">
        <f>IF(M1137="","",ROUND(M1137*N1137,2))</f>
        <v/>
      </c>
      <c r="P1137" s="50">
        <f>IF(M1137="","",M1137+N(O1137))</f>
        <v/>
      </c>
      <c r="Q1137" s="45" t="n"/>
      <c r="R1137" s="45" t="n"/>
      <c r="S1137" s="51">
        <f>IF(L1137="","",IF(COUNTIF(L$6:L1137,L1137)&gt;1,"",SUMIF(L$6:L$2000,L1137,M$6:M$2000)-SUMIF(L$6:L$2000,L1137,G$6:G$2000)))</f>
        <v/>
      </c>
      <c r="T1137" s="46">
        <f>IF(AND(C1137="",G1137=""),"",IF(L1137="","Nog factureren",IF(AND(G1137&lt;&gt;"",OR(K1137="",K1137&gt;TODAY())),"Nog betalen",IF(OR(R1137="",R1137&gt;TODAY()),"Wacht op klant","Afgerond"))))</f>
        <v/>
      </c>
    </row>
    <row r="1138">
      <c r="A1138" s="45" t="n"/>
      <c r="B1138" s="46">
        <f>IF(A1138="","",YEAR(A1138)&amp;" Q"&amp;ROUNDUP(MONTH(A1138)/3,0))</f>
        <v/>
      </c>
      <c r="C1138" s="47" t="n"/>
      <c r="D1138" s="47" t="n"/>
      <c r="E1138" s="47" t="n"/>
      <c r="F1138" s="47" t="n"/>
      <c r="G1138" s="48" t="n"/>
      <c r="H1138" s="49" t="n"/>
      <c r="I1138" s="50">
        <f>IF(G1138="","",ROUND(G1138*H1138,2))</f>
        <v/>
      </c>
      <c r="J1138" s="50">
        <f>IF(G1138="","",G1138+N(I1138))</f>
        <v/>
      </c>
      <c r="K1138" s="45" t="n"/>
      <c r="L1138" s="47" t="n"/>
      <c r="M1138" s="48" t="n"/>
      <c r="N1138" s="49" t="n"/>
      <c r="O1138" s="50">
        <f>IF(M1138="","",ROUND(M1138*N1138,2))</f>
        <v/>
      </c>
      <c r="P1138" s="50">
        <f>IF(M1138="","",M1138+N(O1138))</f>
        <v/>
      </c>
      <c r="Q1138" s="45" t="n"/>
      <c r="R1138" s="45" t="n"/>
      <c r="S1138" s="51">
        <f>IF(L1138="","",IF(COUNTIF(L$6:L1138,L1138)&gt;1,"",SUMIF(L$6:L$2000,L1138,M$6:M$2000)-SUMIF(L$6:L$2000,L1138,G$6:G$2000)))</f>
        <v/>
      </c>
      <c r="T1138" s="46">
        <f>IF(AND(C1138="",G1138=""),"",IF(L1138="","Nog factureren",IF(AND(G1138&lt;&gt;"",OR(K1138="",K1138&gt;TODAY())),"Nog betalen",IF(OR(R1138="",R1138&gt;TODAY()),"Wacht op klant","Afgerond"))))</f>
        <v/>
      </c>
    </row>
    <row r="1139">
      <c r="A1139" s="45" t="n"/>
      <c r="B1139" s="46">
        <f>IF(A1139="","",YEAR(A1139)&amp;" Q"&amp;ROUNDUP(MONTH(A1139)/3,0))</f>
        <v/>
      </c>
      <c r="C1139" s="47" t="n"/>
      <c r="D1139" s="47" t="n"/>
      <c r="E1139" s="47" t="n"/>
      <c r="F1139" s="47" t="n"/>
      <c r="G1139" s="48" t="n"/>
      <c r="H1139" s="49" t="n"/>
      <c r="I1139" s="50">
        <f>IF(G1139="","",ROUND(G1139*H1139,2))</f>
        <v/>
      </c>
      <c r="J1139" s="50">
        <f>IF(G1139="","",G1139+N(I1139))</f>
        <v/>
      </c>
      <c r="K1139" s="45" t="n"/>
      <c r="L1139" s="47" t="n"/>
      <c r="M1139" s="48" t="n"/>
      <c r="N1139" s="49" t="n"/>
      <c r="O1139" s="50">
        <f>IF(M1139="","",ROUND(M1139*N1139,2))</f>
        <v/>
      </c>
      <c r="P1139" s="50">
        <f>IF(M1139="","",M1139+N(O1139))</f>
        <v/>
      </c>
      <c r="Q1139" s="45" t="n"/>
      <c r="R1139" s="45" t="n"/>
      <c r="S1139" s="51">
        <f>IF(L1139="","",IF(COUNTIF(L$6:L1139,L1139)&gt;1,"",SUMIF(L$6:L$2000,L1139,M$6:M$2000)-SUMIF(L$6:L$2000,L1139,G$6:G$2000)))</f>
        <v/>
      </c>
      <c r="T1139" s="46">
        <f>IF(AND(C1139="",G1139=""),"",IF(L1139="","Nog factureren",IF(AND(G1139&lt;&gt;"",OR(K1139="",K1139&gt;TODAY())),"Nog betalen",IF(OR(R1139="",R1139&gt;TODAY()),"Wacht op klant","Afgerond"))))</f>
        <v/>
      </c>
    </row>
    <row r="1140">
      <c r="A1140" s="45" t="n"/>
      <c r="B1140" s="46">
        <f>IF(A1140="","",YEAR(A1140)&amp;" Q"&amp;ROUNDUP(MONTH(A1140)/3,0))</f>
        <v/>
      </c>
      <c r="C1140" s="47" t="n"/>
      <c r="D1140" s="47" t="n"/>
      <c r="E1140" s="47" t="n"/>
      <c r="F1140" s="47" t="n"/>
      <c r="G1140" s="48" t="n"/>
      <c r="H1140" s="49" t="n"/>
      <c r="I1140" s="50">
        <f>IF(G1140="","",ROUND(G1140*H1140,2))</f>
        <v/>
      </c>
      <c r="J1140" s="50">
        <f>IF(G1140="","",G1140+N(I1140))</f>
        <v/>
      </c>
      <c r="K1140" s="45" t="n"/>
      <c r="L1140" s="47" t="n"/>
      <c r="M1140" s="48" t="n"/>
      <c r="N1140" s="49" t="n"/>
      <c r="O1140" s="50">
        <f>IF(M1140="","",ROUND(M1140*N1140,2))</f>
        <v/>
      </c>
      <c r="P1140" s="50">
        <f>IF(M1140="","",M1140+N(O1140))</f>
        <v/>
      </c>
      <c r="Q1140" s="45" t="n"/>
      <c r="R1140" s="45" t="n"/>
      <c r="S1140" s="51">
        <f>IF(L1140="","",IF(COUNTIF(L$6:L1140,L1140)&gt;1,"",SUMIF(L$6:L$2000,L1140,M$6:M$2000)-SUMIF(L$6:L$2000,L1140,G$6:G$2000)))</f>
        <v/>
      </c>
      <c r="T1140" s="46">
        <f>IF(AND(C1140="",G1140=""),"",IF(L1140="","Nog factureren",IF(AND(G1140&lt;&gt;"",OR(K1140="",K1140&gt;TODAY())),"Nog betalen",IF(OR(R1140="",R1140&gt;TODAY()),"Wacht op klant","Afgerond"))))</f>
        <v/>
      </c>
    </row>
    <row r="1141">
      <c r="A1141" s="45" t="n"/>
      <c r="B1141" s="46">
        <f>IF(A1141="","",YEAR(A1141)&amp;" Q"&amp;ROUNDUP(MONTH(A1141)/3,0))</f>
        <v/>
      </c>
      <c r="C1141" s="47" t="n"/>
      <c r="D1141" s="47" t="n"/>
      <c r="E1141" s="47" t="n"/>
      <c r="F1141" s="47" t="n"/>
      <c r="G1141" s="48" t="n"/>
      <c r="H1141" s="49" t="n"/>
      <c r="I1141" s="50">
        <f>IF(G1141="","",ROUND(G1141*H1141,2))</f>
        <v/>
      </c>
      <c r="J1141" s="50">
        <f>IF(G1141="","",G1141+N(I1141))</f>
        <v/>
      </c>
      <c r="K1141" s="45" t="n"/>
      <c r="L1141" s="47" t="n"/>
      <c r="M1141" s="48" t="n"/>
      <c r="N1141" s="49" t="n"/>
      <c r="O1141" s="50">
        <f>IF(M1141="","",ROUND(M1141*N1141,2))</f>
        <v/>
      </c>
      <c r="P1141" s="50">
        <f>IF(M1141="","",M1141+N(O1141))</f>
        <v/>
      </c>
      <c r="Q1141" s="45" t="n"/>
      <c r="R1141" s="45" t="n"/>
      <c r="S1141" s="51">
        <f>IF(L1141="","",IF(COUNTIF(L$6:L1141,L1141)&gt;1,"",SUMIF(L$6:L$2000,L1141,M$6:M$2000)-SUMIF(L$6:L$2000,L1141,G$6:G$2000)))</f>
        <v/>
      </c>
      <c r="T1141" s="46">
        <f>IF(AND(C1141="",G1141=""),"",IF(L1141="","Nog factureren",IF(AND(G1141&lt;&gt;"",OR(K1141="",K1141&gt;TODAY())),"Nog betalen",IF(OR(R1141="",R1141&gt;TODAY()),"Wacht op klant","Afgerond"))))</f>
        <v/>
      </c>
    </row>
    <row r="1142">
      <c r="A1142" s="45" t="n"/>
      <c r="B1142" s="46">
        <f>IF(A1142="","",YEAR(A1142)&amp;" Q"&amp;ROUNDUP(MONTH(A1142)/3,0))</f>
        <v/>
      </c>
      <c r="C1142" s="47" t="n"/>
      <c r="D1142" s="47" t="n"/>
      <c r="E1142" s="47" t="n"/>
      <c r="F1142" s="47" t="n"/>
      <c r="G1142" s="48" t="n"/>
      <c r="H1142" s="49" t="n"/>
      <c r="I1142" s="50">
        <f>IF(G1142="","",ROUND(G1142*H1142,2))</f>
        <v/>
      </c>
      <c r="J1142" s="50">
        <f>IF(G1142="","",G1142+N(I1142))</f>
        <v/>
      </c>
      <c r="K1142" s="45" t="n"/>
      <c r="L1142" s="47" t="n"/>
      <c r="M1142" s="48" t="n"/>
      <c r="N1142" s="49" t="n"/>
      <c r="O1142" s="50">
        <f>IF(M1142="","",ROUND(M1142*N1142,2))</f>
        <v/>
      </c>
      <c r="P1142" s="50">
        <f>IF(M1142="","",M1142+N(O1142))</f>
        <v/>
      </c>
      <c r="Q1142" s="45" t="n"/>
      <c r="R1142" s="45" t="n"/>
      <c r="S1142" s="51">
        <f>IF(L1142="","",IF(COUNTIF(L$6:L1142,L1142)&gt;1,"",SUMIF(L$6:L$2000,L1142,M$6:M$2000)-SUMIF(L$6:L$2000,L1142,G$6:G$2000)))</f>
        <v/>
      </c>
      <c r="T1142" s="46">
        <f>IF(AND(C1142="",G1142=""),"",IF(L1142="","Nog factureren",IF(AND(G1142&lt;&gt;"",OR(K1142="",K1142&gt;TODAY())),"Nog betalen",IF(OR(R1142="",R1142&gt;TODAY()),"Wacht op klant","Afgerond"))))</f>
        <v/>
      </c>
    </row>
    <row r="1143">
      <c r="A1143" s="45" t="n"/>
      <c r="B1143" s="46">
        <f>IF(A1143="","",YEAR(A1143)&amp;" Q"&amp;ROUNDUP(MONTH(A1143)/3,0))</f>
        <v/>
      </c>
      <c r="C1143" s="47" t="n"/>
      <c r="D1143" s="47" t="n"/>
      <c r="E1143" s="47" t="n"/>
      <c r="F1143" s="47" t="n"/>
      <c r="G1143" s="48" t="n"/>
      <c r="H1143" s="49" t="n"/>
      <c r="I1143" s="50">
        <f>IF(G1143="","",ROUND(G1143*H1143,2))</f>
        <v/>
      </c>
      <c r="J1143" s="50">
        <f>IF(G1143="","",G1143+N(I1143))</f>
        <v/>
      </c>
      <c r="K1143" s="45" t="n"/>
      <c r="L1143" s="47" t="n"/>
      <c r="M1143" s="48" t="n"/>
      <c r="N1143" s="49" t="n"/>
      <c r="O1143" s="50">
        <f>IF(M1143="","",ROUND(M1143*N1143,2))</f>
        <v/>
      </c>
      <c r="P1143" s="50">
        <f>IF(M1143="","",M1143+N(O1143))</f>
        <v/>
      </c>
      <c r="Q1143" s="45" t="n"/>
      <c r="R1143" s="45" t="n"/>
      <c r="S1143" s="51">
        <f>IF(L1143="","",IF(COUNTIF(L$6:L1143,L1143)&gt;1,"",SUMIF(L$6:L$2000,L1143,M$6:M$2000)-SUMIF(L$6:L$2000,L1143,G$6:G$2000)))</f>
        <v/>
      </c>
      <c r="T1143" s="46">
        <f>IF(AND(C1143="",G1143=""),"",IF(L1143="","Nog factureren",IF(AND(G1143&lt;&gt;"",OR(K1143="",K1143&gt;TODAY())),"Nog betalen",IF(OR(R1143="",R1143&gt;TODAY()),"Wacht op klant","Afgerond"))))</f>
        <v/>
      </c>
    </row>
    <row r="1144">
      <c r="A1144" s="45" t="n"/>
      <c r="B1144" s="46">
        <f>IF(A1144="","",YEAR(A1144)&amp;" Q"&amp;ROUNDUP(MONTH(A1144)/3,0))</f>
        <v/>
      </c>
      <c r="C1144" s="47" t="n"/>
      <c r="D1144" s="47" t="n"/>
      <c r="E1144" s="47" t="n"/>
      <c r="F1144" s="47" t="n"/>
      <c r="G1144" s="48" t="n"/>
      <c r="H1144" s="49" t="n"/>
      <c r="I1144" s="50">
        <f>IF(G1144="","",ROUND(G1144*H1144,2))</f>
        <v/>
      </c>
      <c r="J1144" s="50">
        <f>IF(G1144="","",G1144+N(I1144))</f>
        <v/>
      </c>
      <c r="K1144" s="45" t="n"/>
      <c r="L1144" s="47" t="n"/>
      <c r="M1144" s="48" t="n"/>
      <c r="N1144" s="49" t="n"/>
      <c r="O1144" s="50">
        <f>IF(M1144="","",ROUND(M1144*N1144,2))</f>
        <v/>
      </c>
      <c r="P1144" s="50">
        <f>IF(M1144="","",M1144+N(O1144))</f>
        <v/>
      </c>
      <c r="Q1144" s="45" t="n"/>
      <c r="R1144" s="45" t="n"/>
      <c r="S1144" s="51">
        <f>IF(L1144="","",IF(COUNTIF(L$6:L1144,L1144)&gt;1,"",SUMIF(L$6:L$2000,L1144,M$6:M$2000)-SUMIF(L$6:L$2000,L1144,G$6:G$2000)))</f>
        <v/>
      </c>
      <c r="T1144" s="46">
        <f>IF(AND(C1144="",G1144=""),"",IF(L1144="","Nog factureren",IF(AND(G1144&lt;&gt;"",OR(K1144="",K1144&gt;TODAY())),"Nog betalen",IF(OR(R1144="",R1144&gt;TODAY()),"Wacht op klant","Afgerond"))))</f>
        <v/>
      </c>
    </row>
    <row r="1145">
      <c r="A1145" s="45" t="n"/>
      <c r="B1145" s="46">
        <f>IF(A1145="","",YEAR(A1145)&amp;" Q"&amp;ROUNDUP(MONTH(A1145)/3,0))</f>
        <v/>
      </c>
      <c r="C1145" s="47" t="n"/>
      <c r="D1145" s="47" t="n"/>
      <c r="E1145" s="47" t="n"/>
      <c r="F1145" s="47" t="n"/>
      <c r="G1145" s="48" t="n"/>
      <c r="H1145" s="49" t="n"/>
      <c r="I1145" s="50">
        <f>IF(G1145="","",ROUND(G1145*H1145,2))</f>
        <v/>
      </c>
      <c r="J1145" s="50">
        <f>IF(G1145="","",G1145+N(I1145))</f>
        <v/>
      </c>
      <c r="K1145" s="45" t="n"/>
      <c r="L1145" s="47" t="n"/>
      <c r="M1145" s="48" t="n"/>
      <c r="N1145" s="49" t="n"/>
      <c r="O1145" s="50">
        <f>IF(M1145="","",ROUND(M1145*N1145,2))</f>
        <v/>
      </c>
      <c r="P1145" s="50">
        <f>IF(M1145="","",M1145+N(O1145))</f>
        <v/>
      </c>
      <c r="Q1145" s="45" t="n"/>
      <c r="R1145" s="45" t="n"/>
      <c r="S1145" s="51">
        <f>IF(L1145="","",IF(COUNTIF(L$6:L1145,L1145)&gt;1,"",SUMIF(L$6:L$2000,L1145,M$6:M$2000)-SUMIF(L$6:L$2000,L1145,G$6:G$2000)))</f>
        <v/>
      </c>
      <c r="T1145" s="46">
        <f>IF(AND(C1145="",G1145=""),"",IF(L1145="","Nog factureren",IF(AND(G1145&lt;&gt;"",OR(K1145="",K1145&gt;TODAY())),"Nog betalen",IF(OR(R1145="",R1145&gt;TODAY()),"Wacht op klant","Afgerond"))))</f>
        <v/>
      </c>
    </row>
    <row r="1146">
      <c r="A1146" s="45" t="n"/>
      <c r="B1146" s="46">
        <f>IF(A1146="","",YEAR(A1146)&amp;" Q"&amp;ROUNDUP(MONTH(A1146)/3,0))</f>
        <v/>
      </c>
      <c r="C1146" s="47" t="n"/>
      <c r="D1146" s="47" t="n"/>
      <c r="E1146" s="47" t="n"/>
      <c r="F1146" s="47" t="n"/>
      <c r="G1146" s="48" t="n"/>
      <c r="H1146" s="49" t="n"/>
      <c r="I1146" s="50">
        <f>IF(G1146="","",ROUND(G1146*H1146,2))</f>
        <v/>
      </c>
      <c r="J1146" s="50">
        <f>IF(G1146="","",G1146+N(I1146))</f>
        <v/>
      </c>
      <c r="K1146" s="45" t="n"/>
      <c r="L1146" s="47" t="n"/>
      <c r="M1146" s="48" t="n"/>
      <c r="N1146" s="49" t="n"/>
      <c r="O1146" s="50">
        <f>IF(M1146="","",ROUND(M1146*N1146,2))</f>
        <v/>
      </c>
      <c r="P1146" s="50">
        <f>IF(M1146="","",M1146+N(O1146))</f>
        <v/>
      </c>
      <c r="Q1146" s="45" t="n"/>
      <c r="R1146" s="45" t="n"/>
      <c r="S1146" s="51">
        <f>IF(L1146="","",IF(COUNTIF(L$6:L1146,L1146)&gt;1,"",SUMIF(L$6:L$2000,L1146,M$6:M$2000)-SUMIF(L$6:L$2000,L1146,G$6:G$2000)))</f>
        <v/>
      </c>
      <c r="T1146" s="46">
        <f>IF(AND(C1146="",G1146=""),"",IF(L1146="","Nog factureren",IF(AND(G1146&lt;&gt;"",OR(K1146="",K1146&gt;TODAY())),"Nog betalen",IF(OR(R1146="",R1146&gt;TODAY()),"Wacht op klant","Afgerond"))))</f>
        <v/>
      </c>
    </row>
    <row r="1147">
      <c r="A1147" s="45" t="n"/>
      <c r="B1147" s="46">
        <f>IF(A1147="","",YEAR(A1147)&amp;" Q"&amp;ROUNDUP(MONTH(A1147)/3,0))</f>
        <v/>
      </c>
      <c r="C1147" s="47" t="n"/>
      <c r="D1147" s="47" t="n"/>
      <c r="E1147" s="47" t="n"/>
      <c r="F1147" s="47" t="n"/>
      <c r="G1147" s="48" t="n"/>
      <c r="H1147" s="49" t="n"/>
      <c r="I1147" s="50">
        <f>IF(G1147="","",ROUND(G1147*H1147,2))</f>
        <v/>
      </c>
      <c r="J1147" s="50">
        <f>IF(G1147="","",G1147+N(I1147))</f>
        <v/>
      </c>
      <c r="K1147" s="45" t="n"/>
      <c r="L1147" s="47" t="n"/>
      <c r="M1147" s="48" t="n"/>
      <c r="N1147" s="49" t="n"/>
      <c r="O1147" s="50">
        <f>IF(M1147="","",ROUND(M1147*N1147,2))</f>
        <v/>
      </c>
      <c r="P1147" s="50">
        <f>IF(M1147="","",M1147+N(O1147))</f>
        <v/>
      </c>
      <c r="Q1147" s="45" t="n"/>
      <c r="R1147" s="45" t="n"/>
      <c r="S1147" s="51">
        <f>IF(L1147="","",IF(COUNTIF(L$6:L1147,L1147)&gt;1,"",SUMIF(L$6:L$2000,L1147,M$6:M$2000)-SUMIF(L$6:L$2000,L1147,G$6:G$2000)))</f>
        <v/>
      </c>
      <c r="T1147" s="46">
        <f>IF(AND(C1147="",G1147=""),"",IF(L1147="","Nog factureren",IF(AND(G1147&lt;&gt;"",OR(K1147="",K1147&gt;TODAY())),"Nog betalen",IF(OR(R1147="",R1147&gt;TODAY()),"Wacht op klant","Afgerond"))))</f>
        <v/>
      </c>
    </row>
    <row r="1148">
      <c r="A1148" s="45" t="n"/>
      <c r="B1148" s="46">
        <f>IF(A1148="","",YEAR(A1148)&amp;" Q"&amp;ROUNDUP(MONTH(A1148)/3,0))</f>
        <v/>
      </c>
      <c r="C1148" s="47" t="n"/>
      <c r="D1148" s="47" t="n"/>
      <c r="E1148" s="47" t="n"/>
      <c r="F1148" s="47" t="n"/>
      <c r="G1148" s="48" t="n"/>
      <c r="H1148" s="49" t="n"/>
      <c r="I1148" s="50">
        <f>IF(G1148="","",ROUND(G1148*H1148,2))</f>
        <v/>
      </c>
      <c r="J1148" s="50">
        <f>IF(G1148="","",G1148+N(I1148))</f>
        <v/>
      </c>
      <c r="K1148" s="45" t="n"/>
      <c r="L1148" s="47" t="n"/>
      <c r="M1148" s="48" t="n"/>
      <c r="N1148" s="49" t="n"/>
      <c r="O1148" s="50">
        <f>IF(M1148="","",ROUND(M1148*N1148,2))</f>
        <v/>
      </c>
      <c r="P1148" s="50">
        <f>IF(M1148="","",M1148+N(O1148))</f>
        <v/>
      </c>
      <c r="Q1148" s="45" t="n"/>
      <c r="R1148" s="45" t="n"/>
      <c r="S1148" s="51">
        <f>IF(L1148="","",IF(COUNTIF(L$6:L1148,L1148)&gt;1,"",SUMIF(L$6:L$2000,L1148,M$6:M$2000)-SUMIF(L$6:L$2000,L1148,G$6:G$2000)))</f>
        <v/>
      </c>
      <c r="T1148" s="46">
        <f>IF(AND(C1148="",G1148=""),"",IF(L1148="","Nog factureren",IF(AND(G1148&lt;&gt;"",OR(K1148="",K1148&gt;TODAY())),"Nog betalen",IF(OR(R1148="",R1148&gt;TODAY()),"Wacht op klant","Afgerond"))))</f>
        <v/>
      </c>
    </row>
    <row r="1149">
      <c r="A1149" s="45" t="n"/>
      <c r="B1149" s="46">
        <f>IF(A1149="","",YEAR(A1149)&amp;" Q"&amp;ROUNDUP(MONTH(A1149)/3,0))</f>
        <v/>
      </c>
      <c r="C1149" s="47" t="n"/>
      <c r="D1149" s="47" t="n"/>
      <c r="E1149" s="47" t="n"/>
      <c r="F1149" s="47" t="n"/>
      <c r="G1149" s="48" t="n"/>
      <c r="H1149" s="49" t="n"/>
      <c r="I1149" s="50">
        <f>IF(G1149="","",ROUND(G1149*H1149,2))</f>
        <v/>
      </c>
      <c r="J1149" s="50">
        <f>IF(G1149="","",G1149+N(I1149))</f>
        <v/>
      </c>
      <c r="K1149" s="45" t="n"/>
      <c r="L1149" s="47" t="n"/>
      <c r="M1149" s="48" t="n"/>
      <c r="N1149" s="49" t="n"/>
      <c r="O1149" s="50">
        <f>IF(M1149="","",ROUND(M1149*N1149,2))</f>
        <v/>
      </c>
      <c r="P1149" s="50">
        <f>IF(M1149="","",M1149+N(O1149))</f>
        <v/>
      </c>
      <c r="Q1149" s="45" t="n"/>
      <c r="R1149" s="45" t="n"/>
      <c r="S1149" s="51">
        <f>IF(L1149="","",IF(COUNTIF(L$6:L1149,L1149)&gt;1,"",SUMIF(L$6:L$2000,L1149,M$6:M$2000)-SUMIF(L$6:L$2000,L1149,G$6:G$2000)))</f>
        <v/>
      </c>
      <c r="T1149" s="46">
        <f>IF(AND(C1149="",G1149=""),"",IF(L1149="","Nog factureren",IF(AND(G1149&lt;&gt;"",OR(K1149="",K1149&gt;TODAY())),"Nog betalen",IF(OR(R1149="",R1149&gt;TODAY()),"Wacht op klant","Afgerond"))))</f>
        <v/>
      </c>
    </row>
    <row r="1150">
      <c r="A1150" s="45" t="n"/>
      <c r="B1150" s="46">
        <f>IF(A1150="","",YEAR(A1150)&amp;" Q"&amp;ROUNDUP(MONTH(A1150)/3,0))</f>
        <v/>
      </c>
      <c r="C1150" s="47" t="n"/>
      <c r="D1150" s="47" t="n"/>
      <c r="E1150" s="47" t="n"/>
      <c r="F1150" s="47" t="n"/>
      <c r="G1150" s="48" t="n"/>
      <c r="H1150" s="49" t="n"/>
      <c r="I1150" s="50">
        <f>IF(G1150="","",ROUND(G1150*H1150,2))</f>
        <v/>
      </c>
      <c r="J1150" s="50">
        <f>IF(G1150="","",G1150+N(I1150))</f>
        <v/>
      </c>
      <c r="K1150" s="45" t="n"/>
      <c r="L1150" s="47" t="n"/>
      <c r="M1150" s="48" t="n"/>
      <c r="N1150" s="49" t="n"/>
      <c r="O1150" s="50">
        <f>IF(M1150="","",ROUND(M1150*N1150,2))</f>
        <v/>
      </c>
      <c r="P1150" s="50">
        <f>IF(M1150="","",M1150+N(O1150))</f>
        <v/>
      </c>
      <c r="Q1150" s="45" t="n"/>
      <c r="R1150" s="45" t="n"/>
      <c r="S1150" s="51">
        <f>IF(L1150="","",IF(COUNTIF(L$6:L1150,L1150)&gt;1,"",SUMIF(L$6:L$2000,L1150,M$6:M$2000)-SUMIF(L$6:L$2000,L1150,G$6:G$2000)))</f>
        <v/>
      </c>
      <c r="T1150" s="46">
        <f>IF(AND(C1150="",G1150=""),"",IF(L1150="","Nog factureren",IF(AND(G1150&lt;&gt;"",OR(K1150="",K1150&gt;TODAY())),"Nog betalen",IF(OR(R1150="",R1150&gt;TODAY()),"Wacht op klant","Afgerond"))))</f>
        <v/>
      </c>
    </row>
    <row r="1151">
      <c r="A1151" s="45" t="n"/>
      <c r="B1151" s="46">
        <f>IF(A1151="","",YEAR(A1151)&amp;" Q"&amp;ROUNDUP(MONTH(A1151)/3,0))</f>
        <v/>
      </c>
      <c r="C1151" s="47" t="n"/>
      <c r="D1151" s="47" t="n"/>
      <c r="E1151" s="47" t="n"/>
      <c r="F1151" s="47" t="n"/>
      <c r="G1151" s="48" t="n"/>
      <c r="H1151" s="49" t="n"/>
      <c r="I1151" s="50">
        <f>IF(G1151="","",ROUND(G1151*H1151,2))</f>
        <v/>
      </c>
      <c r="J1151" s="50">
        <f>IF(G1151="","",G1151+N(I1151))</f>
        <v/>
      </c>
      <c r="K1151" s="45" t="n"/>
      <c r="L1151" s="47" t="n"/>
      <c r="M1151" s="48" t="n"/>
      <c r="N1151" s="49" t="n"/>
      <c r="O1151" s="50">
        <f>IF(M1151="","",ROUND(M1151*N1151,2))</f>
        <v/>
      </c>
      <c r="P1151" s="50">
        <f>IF(M1151="","",M1151+N(O1151))</f>
        <v/>
      </c>
      <c r="Q1151" s="45" t="n"/>
      <c r="R1151" s="45" t="n"/>
      <c r="S1151" s="51">
        <f>IF(L1151="","",IF(COUNTIF(L$6:L1151,L1151)&gt;1,"",SUMIF(L$6:L$2000,L1151,M$6:M$2000)-SUMIF(L$6:L$2000,L1151,G$6:G$2000)))</f>
        <v/>
      </c>
      <c r="T1151" s="46">
        <f>IF(AND(C1151="",G1151=""),"",IF(L1151="","Nog factureren",IF(AND(G1151&lt;&gt;"",OR(K1151="",K1151&gt;TODAY())),"Nog betalen",IF(OR(R1151="",R1151&gt;TODAY()),"Wacht op klant","Afgerond"))))</f>
        <v/>
      </c>
    </row>
    <row r="1152">
      <c r="A1152" s="45" t="n"/>
      <c r="B1152" s="46">
        <f>IF(A1152="","",YEAR(A1152)&amp;" Q"&amp;ROUNDUP(MONTH(A1152)/3,0))</f>
        <v/>
      </c>
      <c r="C1152" s="47" t="n"/>
      <c r="D1152" s="47" t="n"/>
      <c r="E1152" s="47" t="n"/>
      <c r="F1152" s="47" t="n"/>
      <c r="G1152" s="48" t="n"/>
      <c r="H1152" s="49" t="n"/>
      <c r="I1152" s="50">
        <f>IF(G1152="","",ROUND(G1152*H1152,2))</f>
        <v/>
      </c>
      <c r="J1152" s="50">
        <f>IF(G1152="","",G1152+N(I1152))</f>
        <v/>
      </c>
      <c r="K1152" s="45" t="n"/>
      <c r="L1152" s="47" t="n"/>
      <c r="M1152" s="48" t="n"/>
      <c r="N1152" s="49" t="n"/>
      <c r="O1152" s="50">
        <f>IF(M1152="","",ROUND(M1152*N1152,2))</f>
        <v/>
      </c>
      <c r="P1152" s="50">
        <f>IF(M1152="","",M1152+N(O1152))</f>
        <v/>
      </c>
      <c r="Q1152" s="45" t="n"/>
      <c r="R1152" s="45" t="n"/>
      <c r="S1152" s="51">
        <f>IF(L1152="","",IF(COUNTIF(L$6:L1152,L1152)&gt;1,"",SUMIF(L$6:L$2000,L1152,M$6:M$2000)-SUMIF(L$6:L$2000,L1152,G$6:G$2000)))</f>
        <v/>
      </c>
      <c r="T1152" s="46">
        <f>IF(AND(C1152="",G1152=""),"",IF(L1152="","Nog factureren",IF(AND(G1152&lt;&gt;"",OR(K1152="",K1152&gt;TODAY())),"Nog betalen",IF(OR(R1152="",R1152&gt;TODAY()),"Wacht op klant","Afgerond"))))</f>
        <v/>
      </c>
    </row>
    <row r="1153">
      <c r="A1153" s="45" t="n"/>
      <c r="B1153" s="46">
        <f>IF(A1153="","",YEAR(A1153)&amp;" Q"&amp;ROUNDUP(MONTH(A1153)/3,0))</f>
        <v/>
      </c>
      <c r="C1153" s="47" t="n"/>
      <c r="D1153" s="47" t="n"/>
      <c r="E1153" s="47" t="n"/>
      <c r="F1153" s="47" t="n"/>
      <c r="G1153" s="48" t="n"/>
      <c r="H1153" s="49" t="n"/>
      <c r="I1153" s="50">
        <f>IF(G1153="","",ROUND(G1153*H1153,2))</f>
        <v/>
      </c>
      <c r="J1153" s="50">
        <f>IF(G1153="","",G1153+N(I1153))</f>
        <v/>
      </c>
      <c r="K1153" s="45" t="n"/>
      <c r="L1153" s="47" t="n"/>
      <c r="M1153" s="48" t="n"/>
      <c r="N1153" s="49" t="n"/>
      <c r="O1153" s="50">
        <f>IF(M1153="","",ROUND(M1153*N1153,2))</f>
        <v/>
      </c>
      <c r="P1153" s="50">
        <f>IF(M1153="","",M1153+N(O1153))</f>
        <v/>
      </c>
      <c r="Q1153" s="45" t="n"/>
      <c r="R1153" s="45" t="n"/>
      <c r="S1153" s="51">
        <f>IF(L1153="","",IF(COUNTIF(L$6:L1153,L1153)&gt;1,"",SUMIF(L$6:L$2000,L1153,M$6:M$2000)-SUMIF(L$6:L$2000,L1153,G$6:G$2000)))</f>
        <v/>
      </c>
      <c r="T1153" s="46">
        <f>IF(AND(C1153="",G1153=""),"",IF(L1153="","Nog factureren",IF(AND(G1153&lt;&gt;"",OR(K1153="",K1153&gt;TODAY())),"Nog betalen",IF(OR(R1153="",R1153&gt;TODAY()),"Wacht op klant","Afgerond"))))</f>
        <v/>
      </c>
    </row>
    <row r="1154">
      <c r="A1154" s="45" t="n"/>
      <c r="B1154" s="46">
        <f>IF(A1154="","",YEAR(A1154)&amp;" Q"&amp;ROUNDUP(MONTH(A1154)/3,0))</f>
        <v/>
      </c>
      <c r="C1154" s="47" t="n"/>
      <c r="D1154" s="47" t="n"/>
      <c r="E1154" s="47" t="n"/>
      <c r="F1154" s="47" t="n"/>
      <c r="G1154" s="48" t="n"/>
      <c r="H1154" s="49" t="n"/>
      <c r="I1154" s="50">
        <f>IF(G1154="","",ROUND(G1154*H1154,2))</f>
        <v/>
      </c>
      <c r="J1154" s="50">
        <f>IF(G1154="","",G1154+N(I1154))</f>
        <v/>
      </c>
      <c r="K1154" s="45" t="n"/>
      <c r="L1154" s="47" t="n"/>
      <c r="M1154" s="48" t="n"/>
      <c r="N1154" s="49" t="n"/>
      <c r="O1154" s="50">
        <f>IF(M1154="","",ROUND(M1154*N1154,2))</f>
        <v/>
      </c>
      <c r="P1154" s="50">
        <f>IF(M1154="","",M1154+N(O1154))</f>
        <v/>
      </c>
      <c r="Q1154" s="45" t="n"/>
      <c r="R1154" s="45" t="n"/>
      <c r="S1154" s="51">
        <f>IF(L1154="","",IF(COUNTIF(L$6:L1154,L1154)&gt;1,"",SUMIF(L$6:L$2000,L1154,M$6:M$2000)-SUMIF(L$6:L$2000,L1154,G$6:G$2000)))</f>
        <v/>
      </c>
      <c r="T1154" s="46">
        <f>IF(AND(C1154="",G1154=""),"",IF(L1154="","Nog factureren",IF(AND(G1154&lt;&gt;"",OR(K1154="",K1154&gt;TODAY())),"Nog betalen",IF(OR(R1154="",R1154&gt;TODAY()),"Wacht op klant","Afgerond"))))</f>
        <v/>
      </c>
    </row>
    <row r="1155">
      <c r="A1155" s="45" t="n"/>
      <c r="B1155" s="46">
        <f>IF(A1155="","",YEAR(A1155)&amp;" Q"&amp;ROUNDUP(MONTH(A1155)/3,0))</f>
        <v/>
      </c>
      <c r="C1155" s="47" t="n"/>
      <c r="D1155" s="47" t="n"/>
      <c r="E1155" s="47" t="n"/>
      <c r="F1155" s="47" t="n"/>
      <c r="G1155" s="48" t="n"/>
      <c r="H1155" s="49" t="n"/>
      <c r="I1155" s="50">
        <f>IF(G1155="","",ROUND(G1155*H1155,2))</f>
        <v/>
      </c>
      <c r="J1155" s="50">
        <f>IF(G1155="","",G1155+N(I1155))</f>
        <v/>
      </c>
      <c r="K1155" s="45" t="n"/>
      <c r="L1155" s="47" t="n"/>
      <c r="M1155" s="48" t="n"/>
      <c r="N1155" s="49" t="n"/>
      <c r="O1155" s="50">
        <f>IF(M1155="","",ROUND(M1155*N1155,2))</f>
        <v/>
      </c>
      <c r="P1155" s="50">
        <f>IF(M1155="","",M1155+N(O1155))</f>
        <v/>
      </c>
      <c r="Q1155" s="45" t="n"/>
      <c r="R1155" s="45" t="n"/>
      <c r="S1155" s="51">
        <f>IF(L1155="","",IF(COUNTIF(L$6:L1155,L1155)&gt;1,"",SUMIF(L$6:L$2000,L1155,M$6:M$2000)-SUMIF(L$6:L$2000,L1155,G$6:G$2000)))</f>
        <v/>
      </c>
      <c r="T1155" s="46">
        <f>IF(AND(C1155="",G1155=""),"",IF(L1155="","Nog factureren",IF(AND(G1155&lt;&gt;"",OR(K1155="",K1155&gt;TODAY())),"Nog betalen",IF(OR(R1155="",R1155&gt;TODAY()),"Wacht op klant","Afgerond"))))</f>
        <v/>
      </c>
    </row>
    <row r="1156">
      <c r="A1156" s="45" t="n"/>
      <c r="B1156" s="46">
        <f>IF(A1156="","",YEAR(A1156)&amp;" Q"&amp;ROUNDUP(MONTH(A1156)/3,0))</f>
        <v/>
      </c>
      <c r="C1156" s="47" t="n"/>
      <c r="D1156" s="47" t="n"/>
      <c r="E1156" s="47" t="n"/>
      <c r="F1156" s="47" t="n"/>
      <c r="G1156" s="48" t="n"/>
      <c r="H1156" s="49" t="n"/>
      <c r="I1156" s="50">
        <f>IF(G1156="","",ROUND(G1156*H1156,2))</f>
        <v/>
      </c>
      <c r="J1156" s="50">
        <f>IF(G1156="","",G1156+N(I1156))</f>
        <v/>
      </c>
      <c r="K1156" s="45" t="n"/>
      <c r="L1156" s="47" t="n"/>
      <c r="M1156" s="48" t="n"/>
      <c r="N1156" s="49" t="n"/>
      <c r="O1156" s="50">
        <f>IF(M1156="","",ROUND(M1156*N1156,2))</f>
        <v/>
      </c>
      <c r="P1156" s="50">
        <f>IF(M1156="","",M1156+N(O1156))</f>
        <v/>
      </c>
      <c r="Q1156" s="45" t="n"/>
      <c r="R1156" s="45" t="n"/>
      <c r="S1156" s="51">
        <f>IF(L1156="","",IF(COUNTIF(L$6:L1156,L1156)&gt;1,"",SUMIF(L$6:L$2000,L1156,M$6:M$2000)-SUMIF(L$6:L$2000,L1156,G$6:G$2000)))</f>
        <v/>
      </c>
      <c r="T1156" s="46">
        <f>IF(AND(C1156="",G1156=""),"",IF(L1156="","Nog factureren",IF(AND(G1156&lt;&gt;"",OR(K1156="",K1156&gt;TODAY())),"Nog betalen",IF(OR(R1156="",R1156&gt;TODAY()),"Wacht op klant","Afgerond"))))</f>
        <v/>
      </c>
    </row>
    <row r="1157">
      <c r="A1157" s="45" t="n"/>
      <c r="B1157" s="46">
        <f>IF(A1157="","",YEAR(A1157)&amp;" Q"&amp;ROUNDUP(MONTH(A1157)/3,0))</f>
        <v/>
      </c>
      <c r="C1157" s="47" t="n"/>
      <c r="D1157" s="47" t="n"/>
      <c r="E1157" s="47" t="n"/>
      <c r="F1157" s="47" t="n"/>
      <c r="G1157" s="48" t="n"/>
      <c r="H1157" s="49" t="n"/>
      <c r="I1157" s="50">
        <f>IF(G1157="","",ROUND(G1157*H1157,2))</f>
        <v/>
      </c>
      <c r="J1157" s="50">
        <f>IF(G1157="","",G1157+N(I1157))</f>
        <v/>
      </c>
      <c r="K1157" s="45" t="n"/>
      <c r="L1157" s="47" t="n"/>
      <c r="M1157" s="48" t="n"/>
      <c r="N1157" s="49" t="n"/>
      <c r="O1157" s="50">
        <f>IF(M1157="","",ROUND(M1157*N1157,2))</f>
        <v/>
      </c>
      <c r="P1157" s="50">
        <f>IF(M1157="","",M1157+N(O1157))</f>
        <v/>
      </c>
      <c r="Q1157" s="45" t="n"/>
      <c r="R1157" s="45" t="n"/>
      <c r="S1157" s="51">
        <f>IF(L1157="","",IF(COUNTIF(L$6:L1157,L1157)&gt;1,"",SUMIF(L$6:L$2000,L1157,M$6:M$2000)-SUMIF(L$6:L$2000,L1157,G$6:G$2000)))</f>
        <v/>
      </c>
      <c r="T1157" s="46">
        <f>IF(AND(C1157="",G1157=""),"",IF(L1157="","Nog factureren",IF(AND(G1157&lt;&gt;"",OR(K1157="",K1157&gt;TODAY())),"Nog betalen",IF(OR(R1157="",R1157&gt;TODAY()),"Wacht op klant","Afgerond"))))</f>
        <v/>
      </c>
    </row>
    <row r="1158">
      <c r="A1158" s="45" t="n"/>
      <c r="B1158" s="46">
        <f>IF(A1158="","",YEAR(A1158)&amp;" Q"&amp;ROUNDUP(MONTH(A1158)/3,0))</f>
        <v/>
      </c>
      <c r="C1158" s="47" t="n"/>
      <c r="D1158" s="47" t="n"/>
      <c r="E1158" s="47" t="n"/>
      <c r="F1158" s="47" t="n"/>
      <c r="G1158" s="48" t="n"/>
      <c r="H1158" s="49" t="n"/>
      <c r="I1158" s="50">
        <f>IF(G1158="","",ROUND(G1158*H1158,2))</f>
        <v/>
      </c>
      <c r="J1158" s="50">
        <f>IF(G1158="","",G1158+N(I1158))</f>
        <v/>
      </c>
      <c r="K1158" s="45" t="n"/>
      <c r="L1158" s="47" t="n"/>
      <c r="M1158" s="48" t="n"/>
      <c r="N1158" s="49" t="n"/>
      <c r="O1158" s="50">
        <f>IF(M1158="","",ROUND(M1158*N1158,2))</f>
        <v/>
      </c>
      <c r="P1158" s="50">
        <f>IF(M1158="","",M1158+N(O1158))</f>
        <v/>
      </c>
      <c r="Q1158" s="45" t="n"/>
      <c r="R1158" s="45" t="n"/>
      <c r="S1158" s="51">
        <f>IF(L1158="","",IF(COUNTIF(L$6:L1158,L1158)&gt;1,"",SUMIF(L$6:L$2000,L1158,M$6:M$2000)-SUMIF(L$6:L$2000,L1158,G$6:G$2000)))</f>
        <v/>
      </c>
      <c r="T1158" s="46">
        <f>IF(AND(C1158="",G1158=""),"",IF(L1158="","Nog factureren",IF(AND(G1158&lt;&gt;"",OR(K1158="",K1158&gt;TODAY())),"Nog betalen",IF(OR(R1158="",R1158&gt;TODAY()),"Wacht op klant","Afgerond"))))</f>
        <v/>
      </c>
    </row>
    <row r="1159">
      <c r="A1159" s="45" t="n"/>
      <c r="B1159" s="46">
        <f>IF(A1159="","",YEAR(A1159)&amp;" Q"&amp;ROUNDUP(MONTH(A1159)/3,0))</f>
        <v/>
      </c>
      <c r="C1159" s="47" t="n"/>
      <c r="D1159" s="47" t="n"/>
      <c r="E1159" s="47" t="n"/>
      <c r="F1159" s="47" t="n"/>
      <c r="G1159" s="48" t="n"/>
      <c r="H1159" s="49" t="n"/>
      <c r="I1159" s="50">
        <f>IF(G1159="","",ROUND(G1159*H1159,2))</f>
        <v/>
      </c>
      <c r="J1159" s="50">
        <f>IF(G1159="","",G1159+N(I1159))</f>
        <v/>
      </c>
      <c r="K1159" s="45" t="n"/>
      <c r="L1159" s="47" t="n"/>
      <c r="M1159" s="48" t="n"/>
      <c r="N1159" s="49" t="n"/>
      <c r="O1159" s="50">
        <f>IF(M1159="","",ROUND(M1159*N1159,2))</f>
        <v/>
      </c>
      <c r="P1159" s="50">
        <f>IF(M1159="","",M1159+N(O1159))</f>
        <v/>
      </c>
      <c r="Q1159" s="45" t="n"/>
      <c r="R1159" s="45" t="n"/>
      <c r="S1159" s="51">
        <f>IF(L1159="","",IF(COUNTIF(L$6:L1159,L1159)&gt;1,"",SUMIF(L$6:L$2000,L1159,M$6:M$2000)-SUMIF(L$6:L$2000,L1159,G$6:G$2000)))</f>
        <v/>
      </c>
      <c r="T1159" s="46">
        <f>IF(AND(C1159="",G1159=""),"",IF(L1159="","Nog factureren",IF(AND(G1159&lt;&gt;"",OR(K1159="",K1159&gt;TODAY())),"Nog betalen",IF(OR(R1159="",R1159&gt;TODAY()),"Wacht op klant","Afgerond"))))</f>
        <v/>
      </c>
    </row>
    <row r="1160">
      <c r="A1160" s="45" t="n"/>
      <c r="B1160" s="46">
        <f>IF(A1160="","",YEAR(A1160)&amp;" Q"&amp;ROUNDUP(MONTH(A1160)/3,0))</f>
        <v/>
      </c>
      <c r="C1160" s="47" t="n"/>
      <c r="D1160" s="47" t="n"/>
      <c r="E1160" s="47" t="n"/>
      <c r="F1160" s="47" t="n"/>
      <c r="G1160" s="48" t="n"/>
      <c r="H1160" s="49" t="n"/>
      <c r="I1160" s="50">
        <f>IF(G1160="","",ROUND(G1160*H1160,2))</f>
        <v/>
      </c>
      <c r="J1160" s="50">
        <f>IF(G1160="","",G1160+N(I1160))</f>
        <v/>
      </c>
      <c r="K1160" s="45" t="n"/>
      <c r="L1160" s="47" t="n"/>
      <c r="M1160" s="48" t="n"/>
      <c r="N1160" s="49" t="n"/>
      <c r="O1160" s="50">
        <f>IF(M1160="","",ROUND(M1160*N1160,2))</f>
        <v/>
      </c>
      <c r="P1160" s="50">
        <f>IF(M1160="","",M1160+N(O1160))</f>
        <v/>
      </c>
      <c r="Q1160" s="45" t="n"/>
      <c r="R1160" s="45" t="n"/>
      <c r="S1160" s="51">
        <f>IF(L1160="","",IF(COUNTIF(L$6:L1160,L1160)&gt;1,"",SUMIF(L$6:L$2000,L1160,M$6:M$2000)-SUMIF(L$6:L$2000,L1160,G$6:G$2000)))</f>
        <v/>
      </c>
      <c r="T1160" s="46">
        <f>IF(AND(C1160="",G1160=""),"",IF(L1160="","Nog factureren",IF(AND(G1160&lt;&gt;"",OR(K1160="",K1160&gt;TODAY())),"Nog betalen",IF(OR(R1160="",R1160&gt;TODAY()),"Wacht op klant","Afgerond"))))</f>
        <v/>
      </c>
    </row>
    <row r="1161">
      <c r="A1161" s="45" t="n"/>
      <c r="B1161" s="46">
        <f>IF(A1161="","",YEAR(A1161)&amp;" Q"&amp;ROUNDUP(MONTH(A1161)/3,0))</f>
        <v/>
      </c>
      <c r="C1161" s="47" t="n"/>
      <c r="D1161" s="47" t="n"/>
      <c r="E1161" s="47" t="n"/>
      <c r="F1161" s="47" t="n"/>
      <c r="G1161" s="48" t="n"/>
      <c r="H1161" s="49" t="n"/>
      <c r="I1161" s="50">
        <f>IF(G1161="","",ROUND(G1161*H1161,2))</f>
        <v/>
      </c>
      <c r="J1161" s="50">
        <f>IF(G1161="","",G1161+N(I1161))</f>
        <v/>
      </c>
      <c r="K1161" s="45" t="n"/>
      <c r="L1161" s="47" t="n"/>
      <c r="M1161" s="48" t="n"/>
      <c r="N1161" s="49" t="n"/>
      <c r="O1161" s="50">
        <f>IF(M1161="","",ROUND(M1161*N1161,2))</f>
        <v/>
      </c>
      <c r="P1161" s="50">
        <f>IF(M1161="","",M1161+N(O1161))</f>
        <v/>
      </c>
      <c r="Q1161" s="45" t="n"/>
      <c r="R1161" s="45" t="n"/>
      <c r="S1161" s="51">
        <f>IF(L1161="","",IF(COUNTIF(L$6:L1161,L1161)&gt;1,"",SUMIF(L$6:L$2000,L1161,M$6:M$2000)-SUMIF(L$6:L$2000,L1161,G$6:G$2000)))</f>
        <v/>
      </c>
      <c r="T1161" s="46">
        <f>IF(AND(C1161="",G1161=""),"",IF(L1161="","Nog factureren",IF(AND(G1161&lt;&gt;"",OR(K1161="",K1161&gt;TODAY())),"Nog betalen",IF(OR(R1161="",R1161&gt;TODAY()),"Wacht op klant","Afgerond"))))</f>
        <v/>
      </c>
    </row>
    <row r="1162">
      <c r="A1162" s="45" t="n"/>
      <c r="B1162" s="46">
        <f>IF(A1162="","",YEAR(A1162)&amp;" Q"&amp;ROUNDUP(MONTH(A1162)/3,0))</f>
        <v/>
      </c>
      <c r="C1162" s="47" t="n"/>
      <c r="D1162" s="47" t="n"/>
      <c r="E1162" s="47" t="n"/>
      <c r="F1162" s="47" t="n"/>
      <c r="G1162" s="48" t="n"/>
      <c r="H1162" s="49" t="n"/>
      <c r="I1162" s="50">
        <f>IF(G1162="","",ROUND(G1162*H1162,2))</f>
        <v/>
      </c>
      <c r="J1162" s="50">
        <f>IF(G1162="","",G1162+N(I1162))</f>
        <v/>
      </c>
      <c r="K1162" s="45" t="n"/>
      <c r="L1162" s="47" t="n"/>
      <c r="M1162" s="48" t="n"/>
      <c r="N1162" s="49" t="n"/>
      <c r="O1162" s="50">
        <f>IF(M1162="","",ROUND(M1162*N1162,2))</f>
        <v/>
      </c>
      <c r="P1162" s="50">
        <f>IF(M1162="","",M1162+N(O1162))</f>
        <v/>
      </c>
      <c r="Q1162" s="45" t="n"/>
      <c r="R1162" s="45" t="n"/>
      <c r="S1162" s="51">
        <f>IF(L1162="","",IF(COUNTIF(L$6:L1162,L1162)&gt;1,"",SUMIF(L$6:L$2000,L1162,M$6:M$2000)-SUMIF(L$6:L$2000,L1162,G$6:G$2000)))</f>
        <v/>
      </c>
      <c r="T1162" s="46">
        <f>IF(AND(C1162="",G1162=""),"",IF(L1162="","Nog factureren",IF(AND(G1162&lt;&gt;"",OR(K1162="",K1162&gt;TODAY())),"Nog betalen",IF(OR(R1162="",R1162&gt;TODAY()),"Wacht op klant","Afgerond"))))</f>
        <v/>
      </c>
    </row>
    <row r="1163">
      <c r="A1163" s="45" t="n"/>
      <c r="B1163" s="46">
        <f>IF(A1163="","",YEAR(A1163)&amp;" Q"&amp;ROUNDUP(MONTH(A1163)/3,0))</f>
        <v/>
      </c>
      <c r="C1163" s="47" t="n"/>
      <c r="D1163" s="47" t="n"/>
      <c r="E1163" s="47" t="n"/>
      <c r="F1163" s="47" t="n"/>
      <c r="G1163" s="48" t="n"/>
      <c r="H1163" s="49" t="n"/>
      <c r="I1163" s="50">
        <f>IF(G1163="","",ROUND(G1163*H1163,2))</f>
        <v/>
      </c>
      <c r="J1163" s="50">
        <f>IF(G1163="","",G1163+N(I1163))</f>
        <v/>
      </c>
      <c r="K1163" s="45" t="n"/>
      <c r="L1163" s="47" t="n"/>
      <c r="M1163" s="48" t="n"/>
      <c r="N1163" s="49" t="n"/>
      <c r="O1163" s="50">
        <f>IF(M1163="","",ROUND(M1163*N1163,2))</f>
        <v/>
      </c>
      <c r="P1163" s="50">
        <f>IF(M1163="","",M1163+N(O1163))</f>
        <v/>
      </c>
      <c r="Q1163" s="45" t="n"/>
      <c r="R1163" s="45" t="n"/>
      <c r="S1163" s="51">
        <f>IF(L1163="","",IF(COUNTIF(L$6:L1163,L1163)&gt;1,"",SUMIF(L$6:L$2000,L1163,M$6:M$2000)-SUMIF(L$6:L$2000,L1163,G$6:G$2000)))</f>
        <v/>
      </c>
      <c r="T1163" s="46">
        <f>IF(AND(C1163="",G1163=""),"",IF(L1163="","Nog factureren",IF(AND(G1163&lt;&gt;"",OR(K1163="",K1163&gt;TODAY())),"Nog betalen",IF(OR(R1163="",R1163&gt;TODAY()),"Wacht op klant","Afgerond"))))</f>
        <v/>
      </c>
    </row>
    <row r="1164">
      <c r="A1164" s="45" t="n"/>
      <c r="B1164" s="46">
        <f>IF(A1164="","",YEAR(A1164)&amp;" Q"&amp;ROUNDUP(MONTH(A1164)/3,0))</f>
        <v/>
      </c>
      <c r="C1164" s="47" t="n"/>
      <c r="D1164" s="47" t="n"/>
      <c r="E1164" s="47" t="n"/>
      <c r="F1164" s="47" t="n"/>
      <c r="G1164" s="48" t="n"/>
      <c r="H1164" s="49" t="n"/>
      <c r="I1164" s="50">
        <f>IF(G1164="","",ROUND(G1164*H1164,2))</f>
        <v/>
      </c>
      <c r="J1164" s="50">
        <f>IF(G1164="","",G1164+N(I1164))</f>
        <v/>
      </c>
      <c r="K1164" s="45" t="n"/>
      <c r="L1164" s="47" t="n"/>
      <c r="M1164" s="48" t="n"/>
      <c r="N1164" s="49" t="n"/>
      <c r="O1164" s="50">
        <f>IF(M1164="","",ROUND(M1164*N1164,2))</f>
        <v/>
      </c>
      <c r="P1164" s="50">
        <f>IF(M1164="","",M1164+N(O1164))</f>
        <v/>
      </c>
      <c r="Q1164" s="45" t="n"/>
      <c r="R1164" s="45" t="n"/>
      <c r="S1164" s="51">
        <f>IF(L1164="","",IF(COUNTIF(L$6:L1164,L1164)&gt;1,"",SUMIF(L$6:L$2000,L1164,M$6:M$2000)-SUMIF(L$6:L$2000,L1164,G$6:G$2000)))</f>
        <v/>
      </c>
      <c r="T1164" s="46">
        <f>IF(AND(C1164="",G1164=""),"",IF(L1164="","Nog factureren",IF(AND(G1164&lt;&gt;"",OR(K1164="",K1164&gt;TODAY())),"Nog betalen",IF(OR(R1164="",R1164&gt;TODAY()),"Wacht op klant","Afgerond"))))</f>
        <v/>
      </c>
    </row>
    <row r="1165">
      <c r="A1165" s="45" t="n"/>
      <c r="B1165" s="46">
        <f>IF(A1165="","",YEAR(A1165)&amp;" Q"&amp;ROUNDUP(MONTH(A1165)/3,0))</f>
        <v/>
      </c>
      <c r="C1165" s="47" t="n"/>
      <c r="D1165" s="47" t="n"/>
      <c r="E1165" s="47" t="n"/>
      <c r="F1165" s="47" t="n"/>
      <c r="G1165" s="48" t="n"/>
      <c r="H1165" s="49" t="n"/>
      <c r="I1165" s="50">
        <f>IF(G1165="","",ROUND(G1165*H1165,2))</f>
        <v/>
      </c>
      <c r="J1165" s="50">
        <f>IF(G1165="","",G1165+N(I1165))</f>
        <v/>
      </c>
      <c r="K1165" s="45" t="n"/>
      <c r="L1165" s="47" t="n"/>
      <c r="M1165" s="48" t="n"/>
      <c r="N1165" s="49" t="n"/>
      <c r="O1165" s="50">
        <f>IF(M1165="","",ROUND(M1165*N1165,2))</f>
        <v/>
      </c>
      <c r="P1165" s="50">
        <f>IF(M1165="","",M1165+N(O1165))</f>
        <v/>
      </c>
      <c r="Q1165" s="45" t="n"/>
      <c r="R1165" s="45" t="n"/>
      <c r="S1165" s="51">
        <f>IF(L1165="","",IF(COUNTIF(L$6:L1165,L1165)&gt;1,"",SUMIF(L$6:L$2000,L1165,M$6:M$2000)-SUMIF(L$6:L$2000,L1165,G$6:G$2000)))</f>
        <v/>
      </c>
      <c r="T1165" s="46">
        <f>IF(AND(C1165="",G1165=""),"",IF(L1165="","Nog factureren",IF(AND(G1165&lt;&gt;"",OR(K1165="",K1165&gt;TODAY())),"Nog betalen",IF(OR(R1165="",R1165&gt;TODAY()),"Wacht op klant","Afgerond"))))</f>
        <v/>
      </c>
    </row>
    <row r="1166">
      <c r="A1166" s="45" t="n"/>
      <c r="B1166" s="46">
        <f>IF(A1166="","",YEAR(A1166)&amp;" Q"&amp;ROUNDUP(MONTH(A1166)/3,0))</f>
        <v/>
      </c>
      <c r="C1166" s="47" t="n"/>
      <c r="D1166" s="47" t="n"/>
      <c r="E1166" s="47" t="n"/>
      <c r="F1166" s="47" t="n"/>
      <c r="G1166" s="48" t="n"/>
      <c r="H1166" s="49" t="n"/>
      <c r="I1166" s="50">
        <f>IF(G1166="","",ROUND(G1166*H1166,2))</f>
        <v/>
      </c>
      <c r="J1166" s="50">
        <f>IF(G1166="","",G1166+N(I1166))</f>
        <v/>
      </c>
      <c r="K1166" s="45" t="n"/>
      <c r="L1166" s="47" t="n"/>
      <c r="M1166" s="48" t="n"/>
      <c r="N1166" s="49" t="n"/>
      <c r="O1166" s="50">
        <f>IF(M1166="","",ROUND(M1166*N1166,2))</f>
        <v/>
      </c>
      <c r="P1166" s="50">
        <f>IF(M1166="","",M1166+N(O1166))</f>
        <v/>
      </c>
      <c r="Q1166" s="45" t="n"/>
      <c r="R1166" s="45" t="n"/>
      <c r="S1166" s="51">
        <f>IF(L1166="","",IF(COUNTIF(L$6:L1166,L1166)&gt;1,"",SUMIF(L$6:L$2000,L1166,M$6:M$2000)-SUMIF(L$6:L$2000,L1166,G$6:G$2000)))</f>
        <v/>
      </c>
      <c r="T1166" s="46">
        <f>IF(AND(C1166="",G1166=""),"",IF(L1166="","Nog factureren",IF(AND(G1166&lt;&gt;"",OR(K1166="",K1166&gt;TODAY())),"Nog betalen",IF(OR(R1166="",R1166&gt;TODAY()),"Wacht op klant","Afgerond"))))</f>
        <v/>
      </c>
    </row>
    <row r="1167">
      <c r="A1167" s="45" t="n"/>
      <c r="B1167" s="46">
        <f>IF(A1167="","",YEAR(A1167)&amp;" Q"&amp;ROUNDUP(MONTH(A1167)/3,0))</f>
        <v/>
      </c>
      <c r="C1167" s="47" t="n"/>
      <c r="D1167" s="47" t="n"/>
      <c r="E1167" s="47" t="n"/>
      <c r="F1167" s="47" t="n"/>
      <c r="G1167" s="48" t="n"/>
      <c r="H1167" s="49" t="n"/>
      <c r="I1167" s="50">
        <f>IF(G1167="","",ROUND(G1167*H1167,2))</f>
        <v/>
      </c>
      <c r="J1167" s="50">
        <f>IF(G1167="","",G1167+N(I1167))</f>
        <v/>
      </c>
      <c r="K1167" s="45" t="n"/>
      <c r="L1167" s="47" t="n"/>
      <c r="M1167" s="48" t="n"/>
      <c r="N1167" s="49" t="n"/>
      <c r="O1167" s="50">
        <f>IF(M1167="","",ROUND(M1167*N1167,2))</f>
        <v/>
      </c>
      <c r="P1167" s="50">
        <f>IF(M1167="","",M1167+N(O1167))</f>
        <v/>
      </c>
      <c r="Q1167" s="45" t="n"/>
      <c r="R1167" s="45" t="n"/>
      <c r="S1167" s="51">
        <f>IF(L1167="","",IF(COUNTIF(L$6:L1167,L1167)&gt;1,"",SUMIF(L$6:L$2000,L1167,M$6:M$2000)-SUMIF(L$6:L$2000,L1167,G$6:G$2000)))</f>
        <v/>
      </c>
      <c r="T1167" s="46">
        <f>IF(AND(C1167="",G1167=""),"",IF(L1167="","Nog factureren",IF(AND(G1167&lt;&gt;"",OR(K1167="",K1167&gt;TODAY())),"Nog betalen",IF(OR(R1167="",R1167&gt;TODAY()),"Wacht op klant","Afgerond"))))</f>
        <v/>
      </c>
    </row>
    <row r="1168">
      <c r="A1168" s="45" t="n"/>
      <c r="B1168" s="46">
        <f>IF(A1168="","",YEAR(A1168)&amp;" Q"&amp;ROUNDUP(MONTH(A1168)/3,0))</f>
        <v/>
      </c>
      <c r="C1168" s="47" t="n"/>
      <c r="D1168" s="47" t="n"/>
      <c r="E1168" s="47" t="n"/>
      <c r="F1168" s="47" t="n"/>
      <c r="G1168" s="48" t="n"/>
      <c r="H1168" s="49" t="n"/>
      <c r="I1168" s="50">
        <f>IF(G1168="","",ROUND(G1168*H1168,2))</f>
        <v/>
      </c>
      <c r="J1168" s="50">
        <f>IF(G1168="","",G1168+N(I1168))</f>
        <v/>
      </c>
      <c r="K1168" s="45" t="n"/>
      <c r="L1168" s="47" t="n"/>
      <c r="M1168" s="48" t="n"/>
      <c r="N1168" s="49" t="n"/>
      <c r="O1168" s="50">
        <f>IF(M1168="","",ROUND(M1168*N1168,2))</f>
        <v/>
      </c>
      <c r="P1168" s="50">
        <f>IF(M1168="","",M1168+N(O1168))</f>
        <v/>
      </c>
      <c r="Q1168" s="45" t="n"/>
      <c r="R1168" s="45" t="n"/>
      <c r="S1168" s="51">
        <f>IF(L1168="","",IF(COUNTIF(L$6:L1168,L1168)&gt;1,"",SUMIF(L$6:L$2000,L1168,M$6:M$2000)-SUMIF(L$6:L$2000,L1168,G$6:G$2000)))</f>
        <v/>
      </c>
      <c r="T1168" s="46">
        <f>IF(AND(C1168="",G1168=""),"",IF(L1168="","Nog factureren",IF(AND(G1168&lt;&gt;"",OR(K1168="",K1168&gt;TODAY())),"Nog betalen",IF(OR(R1168="",R1168&gt;TODAY()),"Wacht op klant","Afgerond"))))</f>
        <v/>
      </c>
    </row>
    <row r="1169">
      <c r="A1169" s="45" t="n"/>
      <c r="B1169" s="46">
        <f>IF(A1169="","",YEAR(A1169)&amp;" Q"&amp;ROUNDUP(MONTH(A1169)/3,0))</f>
        <v/>
      </c>
      <c r="C1169" s="47" t="n"/>
      <c r="D1169" s="47" t="n"/>
      <c r="E1169" s="47" t="n"/>
      <c r="F1169" s="47" t="n"/>
      <c r="G1169" s="48" t="n"/>
      <c r="H1169" s="49" t="n"/>
      <c r="I1169" s="50">
        <f>IF(G1169="","",ROUND(G1169*H1169,2))</f>
        <v/>
      </c>
      <c r="J1169" s="50">
        <f>IF(G1169="","",G1169+N(I1169))</f>
        <v/>
      </c>
      <c r="K1169" s="45" t="n"/>
      <c r="L1169" s="47" t="n"/>
      <c r="M1169" s="48" t="n"/>
      <c r="N1169" s="49" t="n"/>
      <c r="O1169" s="50">
        <f>IF(M1169="","",ROUND(M1169*N1169,2))</f>
        <v/>
      </c>
      <c r="P1169" s="50">
        <f>IF(M1169="","",M1169+N(O1169))</f>
        <v/>
      </c>
      <c r="Q1169" s="45" t="n"/>
      <c r="R1169" s="45" t="n"/>
      <c r="S1169" s="51">
        <f>IF(L1169="","",IF(COUNTIF(L$6:L1169,L1169)&gt;1,"",SUMIF(L$6:L$2000,L1169,M$6:M$2000)-SUMIF(L$6:L$2000,L1169,G$6:G$2000)))</f>
        <v/>
      </c>
      <c r="T1169" s="46">
        <f>IF(AND(C1169="",G1169=""),"",IF(L1169="","Nog factureren",IF(AND(G1169&lt;&gt;"",OR(K1169="",K1169&gt;TODAY())),"Nog betalen",IF(OR(R1169="",R1169&gt;TODAY()),"Wacht op klant","Afgerond"))))</f>
        <v/>
      </c>
    </row>
    <row r="1170">
      <c r="A1170" s="45" t="n"/>
      <c r="B1170" s="46">
        <f>IF(A1170="","",YEAR(A1170)&amp;" Q"&amp;ROUNDUP(MONTH(A1170)/3,0))</f>
        <v/>
      </c>
      <c r="C1170" s="47" t="n"/>
      <c r="D1170" s="47" t="n"/>
      <c r="E1170" s="47" t="n"/>
      <c r="F1170" s="47" t="n"/>
      <c r="G1170" s="48" t="n"/>
      <c r="H1170" s="49" t="n"/>
      <c r="I1170" s="50">
        <f>IF(G1170="","",ROUND(G1170*H1170,2))</f>
        <v/>
      </c>
      <c r="J1170" s="50">
        <f>IF(G1170="","",G1170+N(I1170))</f>
        <v/>
      </c>
      <c r="K1170" s="45" t="n"/>
      <c r="L1170" s="47" t="n"/>
      <c r="M1170" s="48" t="n"/>
      <c r="N1170" s="49" t="n"/>
      <c r="O1170" s="50">
        <f>IF(M1170="","",ROUND(M1170*N1170,2))</f>
        <v/>
      </c>
      <c r="P1170" s="50">
        <f>IF(M1170="","",M1170+N(O1170))</f>
        <v/>
      </c>
      <c r="Q1170" s="45" t="n"/>
      <c r="R1170" s="45" t="n"/>
      <c r="S1170" s="51">
        <f>IF(L1170="","",IF(COUNTIF(L$6:L1170,L1170)&gt;1,"",SUMIF(L$6:L$2000,L1170,M$6:M$2000)-SUMIF(L$6:L$2000,L1170,G$6:G$2000)))</f>
        <v/>
      </c>
      <c r="T1170" s="46">
        <f>IF(AND(C1170="",G1170=""),"",IF(L1170="","Nog factureren",IF(AND(G1170&lt;&gt;"",OR(K1170="",K1170&gt;TODAY())),"Nog betalen",IF(OR(R1170="",R1170&gt;TODAY()),"Wacht op klant","Afgerond"))))</f>
        <v/>
      </c>
    </row>
    <row r="1171">
      <c r="A1171" s="45" t="n"/>
      <c r="B1171" s="46">
        <f>IF(A1171="","",YEAR(A1171)&amp;" Q"&amp;ROUNDUP(MONTH(A1171)/3,0))</f>
        <v/>
      </c>
      <c r="C1171" s="47" t="n"/>
      <c r="D1171" s="47" t="n"/>
      <c r="E1171" s="47" t="n"/>
      <c r="F1171" s="47" t="n"/>
      <c r="G1171" s="48" t="n"/>
      <c r="H1171" s="49" t="n"/>
      <c r="I1171" s="50">
        <f>IF(G1171="","",ROUND(G1171*H1171,2))</f>
        <v/>
      </c>
      <c r="J1171" s="50">
        <f>IF(G1171="","",G1171+N(I1171))</f>
        <v/>
      </c>
      <c r="K1171" s="45" t="n"/>
      <c r="L1171" s="47" t="n"/>
      <c r="M1171" s="48" t="n"/>
      <c r="N1171" s="49" t="n"/>
      <c r="O1171" s="50">
        <f>IF(M1171="","",ROUND(M1171*N1171,2))</f>
        <v/>
      </c>
      <c r="P1171" s="50">
        <f>IF(M1171="","",M1171+N(O1171))</f>
        <v/>
      </c>
      <c r="Q1171" s="45" t="n"/>
      <c r="R1171" s="45" t="n"/>
      <c r="S1171" s="51">
        <f>IF(L1171="","",IF(COUNTIF(L$6:L1171,L1171)&gt;1,"",SUMIF(L$6:L$2000,L1171,M$6:M$2000)-SUMIF(L$6:L$2000,L1171,G$6:G$2000)))</f>
        <v/>
      </c>
      <c r="T1171" s="46">
        <f>IF(AND(C1171="",G1171=""),"",IF(L1171="","Nog factureren",IF(AND(G1171&lt;&gt;"",OR(K1171="",K1171&gt;TODAY())),"Nog betalen",IF(OR(R1171="",R1171&gt;TODAY()),"Wacht op klant","Afgerond"))))</f>
        <v/>
      </c>
    </row>
    <row r="1172">
      <c r="A1172" s="45" t="n"/>
      <c r="B1172" s="46">
        <f>IF(A1172="","",YEAR(A1172)&amp;" Q"&amp;ROUNDUP(MONTH(A1172)/3,0))</f>
        <v/>
      </c>
      <c r="C1172" s="47" t="n"/>
      <c r="D1172" s="47" t="n"/>
      <c r="E1172" s="47" t="n"/>
      <c r="F1172" s="47" t="n"/>
      <c r="G1172" s="48" t="n"/>
      <c r="H1172" s="49" t="n"/>
      <c r="I1172" s="50">
        <f>IF(G1172="","",ROUND(G1172*H1172,2))</f>
        <v/>
      </c>
      <c r="J1172" s="50">
        <f>IF(G1172="","",G1172+N(I1172))</f>
        <v/>
      </c>
      <c r="K1172" s="45" t="n"/>
      <c r="L1172" s="47" t="n"/>
      <c r="M1172" s="48" t="n"/>
      <c r="N1172" s="49" t="n"/>
      <c r="O1172" s="50">
        <f>IF(M1172="","",ROUND(M1172*N1172,2))</f>
        <v/>
      </c>
      <c r="P1172" s="50">
        <f>IF(M1172="","",M1172+N(O1172))</f>
        <v/>
      </c>
      <c r="Q1172" s="45" t="n"/>
      <c r="R1172" s="45" t="n"/>
      <c r="S1172" s="51">
        <f>IF(L1172="","",IF(COUNTIF(L$6:L1172,L1172)&gt;1,"",SUMIF(L$6:L$2000,L1172,M$6:M$2000)-SUMIF(L$6:L$2000,L1172,G$6:G$2000)))</f>
        <v/>
      </c>
      <c r="T1172" s="46">
        <f>IF(AND(C1172="",G1172=""),"",IF(L1172="","Nog factureren",IF(AND(G1172&lt;&gt;"",OR(K1172="",K1172&gt;TODAY())),"Nog betalen",IF(OR(R1172="",R1172&gt;TODAY()),"Wacht op klant","Afgerond"))))</f>
        <v/>
      </c>
    </row>
    <row r="1173">
      <c r="A1173" s="45" t="n"/>
      <c r="B1173" s="46">
        <f>IF(A1173="","",YEAR(A1173)&amp;" Q"&amp;ROUNDUP(MONTH(A1173)/3,0))</f>
        <v/>
      </c>
      <c r="C1173" s="47" t="n"/>
      <c r="D1173" s="47" t="n"/>
      <c r="E1173" s="47" t="n"/>
      <c r="F1173" s="47" t="n"/>
      <c r="G1173" s="48" t="n"/>
      <c r="H1173" s="49" t="n"/>
      <c r="I1173" s="50">
        <f>IF(G1173="","",ROUND(G1173*H1173,2))</f>
        <v/>
      </c>
      <c r="J1173" s="50">
        <f>IF(G1173="","",G1173+N(I1173))</f>
        <v/>
      </c>
      <c r="K1173" s="45" t="n"/>
      <c r="L1173" s="47" t="n"/>
      <c r="M1173" s="48" t="n"/>
      <c r="N1173" s="49" t="n"/>
      <c r="O1173" s="50">
        <f>IF(M1173="","",ROUND(M1173*N1173,2))</f>
        <v/>
      </c>
      <c r="P1173" s="50">
        <f>IF(M1173="","",M1173+N(O1173))</f>
        <v/>
      </c>
      <c r="Q1173" s="45" t="n"/>
      <c r="R1173" s="45" t="n"/>
      <c r="S1173" s="51">
        <f>IF(L1173="","",IF(COUNTIF(L$6:L1173,L1173)&gt;1,"",SUMIF(L$6:L$2000,L1173,M$6:M$2000)-SUMIF(L$6:L$2000,L1173,G$6:G$2000)))</f>
        <v/>
      </c>
      <c r="T1173" s="46">
        <f>IF(AND(C1173="",G1173=""),"",IF(L1173="","Nog factureren",IF(AND(G1173&lt;&gt;"",OR(K1173="",K1173&gt;TODAY())),"Nog betalen",IF(OR(R1173="",R1173&gt;TODAY()),"Wacht op klant","Afgerond"))))</f>
        <v/>
      </c>
    </row>
    <row r="1174">
      <c r="A1174" s="45" t="n"/>
      <c r="B1174" s="46">
        <f>IF(A1174="","",YEAR(A1174)&amp;" Q"&amp;ROUNDUP(MONTH(A1174)/3,0))</f>
        <v/>
      </c>
      <c r="C1174" s="47" t="n"/>
      <c r="D1174" s="47" t="n"/>
      <c r="E1174" s="47" t="n"/>
      <c r="F1174" s="47" t="n"/>
      <c r="G1174" s="48" t="n"/>
      <c r="H1174" s="49" t="n"/>
      <c r="I1174" s="50">
        <f>IF(G1174="","",ROUND(G1174*H1174,2))</f>
        <v/>
      </c>
      <c r="J1174" s="50">
        <f>IF(G1174="","",G1174+N(I1174))</f>
        <v/>
      </c>
      <c r="K1174" s="45" t="n"/>
      <c r="L1174" s="47" t="n"/>
      <c r="M1174" s="48" t="n"/>
      <c r="N1174" s="49" t="n"/>
      <c r="O1174" s="50">
        <f>IF(M1174="","",ROUND(M1174*N1174,2))</f>
        <v/>
      </c>
      <c r="P1174" s="50">
        <f>IF(M1174="","",M1174+N(O1174))</f>
        <v/>
      </c>
      <c r="Q1174" s="45" t="n"/>
      <c r="R1174" s="45" t="n"/>
      <c r="S1174" s="51">
        <f>IF(L1174="","",IF(COUNTIF(L$6:L1174,L1174)&gt;1,"",SUMIF(L$6:L$2000,L1174,M$6:M$2000)-SUMIF(L$6:L$2000,L1174,G$6:G$2000)))</f>
        <v/>
      </c>
      <c r="T1174" s="46">
        <f>IF(AND(C1174="",G1174=""),"",IF(L1174="","Nog factureren",IF(AND(G1174&lt;&gt;"",OR(K1174="",K1174&gt;TODAY())),"Nog betalen",IF(OR(R1174="",R1174&gt;TODAY()),"Wacht op klant","Afgerond"))))</f>
        <v/>
      </c>
    </row>
    <row r="1175">
      <c r="A1175" s="45" t="n"/>
      <c r="B1175" s="46">
        <f>IF(A1175="","",YEAR(A1175)&amp;" Q"&amp;ROUNDUP(MONTH(A1175)/3,0))</f>
        <v/>
      </c>
      <c r="C1175" s="47" t="n"/>
      <c r="D1175" s="47" t="n"/>
      <c r="E1175" s="47" t="n"/>
      <c r="F1175" s="47" t="n"/>
      <c r="G1175" s="48" t="n"/>
      <c r="H1175" s="49" t="n"/>
      <c r="I1175" s="50">
        <f>IF(G1175="","",ROUND(G1175*H1175,2))</f>
        <v/>
      </c>
      <c r="J1175" s="50">
        <f>IF(G1175="","",G1175+N(I1175))</f>
        <v/>
      </c>
      <c r="K1175" s="45" t="n"/>
      <c r="L1175" s="47" t="n"/>
      <c r="M1175" s="48" t="n"/>
      <c r="N1175" s="49" t="n"/>
      <c r="O1175" s="50">
        <f>IF(M1175="","",ROUND(M1175*N1175,2))</f>
        <v/>
      </c>
      <c r="P1175" s="50">
        <f>IF(M1175="","",M1175+N(O1175))</f>
        <v/>
      </c>
      <c r="Q1175" s="45" t="n"/>
      <c r="R1175" s="45" t="n"/>
      <c r="S1175" s="51">
        <f>IF(L1175="","",IF(COUNTIF(L$6:L1175,L1175)&gt;1,"",SUMIF(L$6:L$2000,L1175,M$6:M$2000)-SUMIF(L$6:L$2000,L1175,G$6:G$2000)))</f>
        <v/>
      </c>
      <c r="T1175" s="46">
        <f>IF(AND(C1175="",G1175=""),"",IF(L1175="","Nog factureren",IF(AND(G1175&lt;&gt;"",OR(K1175="",K1175&gt;TODAY())),"Nog betalen",IF(OR(R1175="",R1175&gt;TODAY()),"Wacht op klant","Afgerond"))))</f>
        <v/>
      </c>
    </row>
    <row r="1176">
      <c r="A1176" s="45" t="n"/>
      <c r="B1176" s="46">
        <f>IF(A1176="","",YEAR(A1176)&amp;" Q"&amp;ROUNDUP(MONTH(A1176)/3,0))</f>
        <v/>
      </c>
      <c r="C1176" s="47" t="n"/>
      <c r="D1176" s="47" t="n"/>
      <c r="E1176" s="47" t="n"/>
      <c r="F1176" s="47" t="n"/>
      <c r="G1176" s="48" t="n"/>
      <c r="H1176" s="49" t="n"/>
      <c r="I1176" s="50">
        <f>IF(G1176="","",ROUND(G1176*H1176,2))</f>
        <v/>
      </c>
      <c r="J1176" s="50">
        <f>IF(G1176="","",G1176+N(I1176))</f>
        <v/>
      </c>
      <c r="K1176" s="45" t="n"/>
      <c r="L1176" s="47" t="n"/>
      <c r="M1176" s="48" t="n"/>
      <c r="N1176" s="49" t="n"/>
      <c r="O1176" s="50">
        <f>IF(M1176="","",ROUND(M1176*N1176,2))</f>
        <v/>
      </c>
      <c r="P1176" s="50">
        <f>IF(M1176="","",M1176+N(O1176))</f>
        <v/>
      </c>
      <c r="Q1176" s="45" t="n"/>
      <c r="R1176" s="45" t="n"/>
      <c r="S1176" s="51">
        <f>IF(L1176="","",IF(COUNTIF(L$6:L1176,L1176)&gt;1,"",SUMIF(L$6:L$2000,L1176,M$6:M$2000)-SUMIF(L$6:L$2000,L1176,G$6:G$2000)))</f>
        <v/>
      </c>
      <c r="T1176" s="46">
        <f>IF(AND(C1176="",G1176=""),"",IF(L1176="","Nog factureren",IF(AND(G1176&lt;&gt;"",OR(K1176="",K1176&gt;TODAY())),"Nog betalen",IF(OR(R1176="",R1176&gt;TODAY()),"Wacht op klant","Afgerond"))))</f>
        <v/>
      </c>
    </row>
    <row r="1177">
      <c r="A1177" s="45" t="n"/>
      <c r="B1177" s="46">
        <f>IF(A1177="","",YEAR(A1177)&amp;" Q"&amp;ROUNDUP(MONTH(A1177)/3,0))</f>
        <v/>
      </c>
      <c r="C1177" s="47" t="n"/>
      <c r="D1177" s="47" t="n"/>
      <c r="E1177" s="47" t="n"/>
      <c r="F1177" s="47" t="n"/>
      <c r="G1177" s="48" t="n"/>
      <c r="H1177" s="49" t="n"/>
      <c r="I1177" s="50">
        <f>IF(G1177="","",ROUND(G1177*H1177,2))</f>
        <v/>
      </c>
      <c r="J1177" s="50">
        <f>IF(G1177="","",G1177+N(I1177))</f>
        <v/>
      </c>
      <c r="K1177" s="45" t="n"/>
      <c r="L1177" s="47" t="n"/>
      <c r="M1177" s="48" t="n"/>
      <c r="N1177" s="49" t="n"/>
      <c r="O1177" s="50">
        <f>IF(M1177="","",ROUND(M1177*N1177,2))</f>
        <v/>
      </c>
      <c r="P1177" s="50">
        <f>IF(M1177="","",M1177+N(O1177))</f>
        <v/>
      </c>
      <c r="Q1177" s="45" t="n"/>
      <c r="R1177" s="45" t="n"/>
      <c r="S1177" s="51">
        <f>IF(L1177="","",IF(COUNTIF(L$6:L1177,L1177)&gt;1,"",SUMIF(L$6:L$2000,L1177,M$6:M$2000)-SUMIF(L$6:L$2000,L1177,G$6:G$2000)))</f>
        <v/>
      </c>
      <c r="T1177" s="46">
        <f>IF(AND(C1177="",G1177=""),"",IF(L1177="","Nog factureren",IF(AND(G1177&lt;&gt;"",OR(K1177="",K1177&gt;TODAY())),"Nog betalen",IF(OR(R1177="",R1177&gt;TODAY()),"Wacht op klant","Afgerond"))))</f>
        <v/>
      </c>
    </row>
    <row r="1178">
      <c r="A1178" s="45" t="n"/>
      <c r="B1178" s="46">
        <f>IF(A1178="","",YEAR(A1178)&amp;" Q"&amp;ROUNDUP(MONTH(A1178)/3,0))</f>
        <v/>
      </c>
      <c r="C1178" s="47" t="n"/>
      <c r="D1178" s="47" t="n"/>
      <c r="E1178" s="47" t="n"/>
      <c r="F1178" s="47" t="n"/>
      <c r="G1178" s="48" t="n"/>
      <c r="H1178" s="49" t="n"/>
      <c r="I1178" s="50">
        <f>IF(G1178="","",ROUND(G1178*H1178,2))</f>
        <v/>
      </c>
      <c r="J1178" s="50">
        <f>IF(G1178="","",G1178+N(I1178))</f>
        <v/>
      </c>
      <c r="K1178" s="45" t="n"/>
      <c r="L1178" s="47" t="n"/>
      <c r="M1178" s="48" t="n"/>
      <c r="N1178" s="49" t="n"/>
      <c r="O1178" s="50">
        <f>IF(M1178="","",ROUND(M1178*N1178,2))</f>
        <v/>
      </c>
      <c r="P1178" s="50">
        <f>IF(M1178="","",M1178+N(O1178))</f>
        <v/>
      </c>
      <c r="Q1178" s="45" t="n"/>
      <c r="R1178" s="45" t="n"/>
      <c r="S1178" s="51">
        <f>IF(L1178="","",IF(COUNTIF(L$6:L1178,L1178)&gt;1,"",SUMIF(L$6:L$2000,L1178,M$6:M$2000)-SUMIF(L$6:L$2000,L1178,G$6:G$2000)))</f>
        <v/>
      </c>
      <c r="T1178" s="46">
        <f>IF(AND(C1178="",G1178=""),"",IF(L1178="","Nog factureren",IF(AND(G1178&lt;&gt;"",OR(K1178="",K1178&gt;TODAY())),"Nog betalen",IF(OR(R1178="",R1178&gt;TODAY()),"Wacht op klant","Afgerond"))))</f>
        <v/>
      </c>
    </row>
    <row r="1179">
      <c r="A1179" s="45" t="n"/>
      <c r="B1179" s="46">
        <f>IF(A1179="","",YEAR(A1179)&amp;" Q"&amp;ROUNDUP(MONTH(A1179)/3,0))</f>
        <v/>
      </c>
      <c r="C1179" s="47" t="n"/>
      <c r="D1179" s="47" t="n"/>
      <c r="E1179" s="47" t="n"/>
      <c r="F1179" s="47" t="n"/>
      <c r="G1179" s="48" t="n"/>
      <c r="H1179" s="49" t="n"/>
      <c r="I1179" s="50">
        <f>IF(G1179="","",ROUND(G1179*H1179,2))</f>
        <v/>
      </c>
      <c r="J1179" s="50">
        <f>IF(G1179="","",G1179+N(I1179))</f>
        <v/>
      </c>
      <c r="K1179" s="45" t="n"/>
      <c r="L1179" s="47" t="n"/>
      <c r="M1179" s="48" t="n"/>
      <c r="N1179" s="49" t="n"/>
      <c r="O1179" s="50">
        <f>IF(M1179="","",ROUND(M1179*N1179,2))</f>
        <v/>
      </c>
      <c r="P1179" s="50">
        <f>IF(M1179="","",M1179+N(O1179))</f>
        <v/>
      </c>
      <c r="Q1179" s="45" t="n"/>
      <c r="R1179" s="45" t="n"/>
      <c r="S1179" s="51">
        <f>IF(L1179="","",IF(COUNTIF(L$6:L1179,L1179)&gt;1,"",SUMIF(L$6:L$2000,L1179,M$6:M$2000)-SUMIF(L$6:L$2000,L1179,G$6:G$2000)))</f>
        <v/>
      </c>
      <c r="T1179" s="46">
        <f>IF(AND(C1179="",G1179=""),"",IF(L1179="","Nog factureren",IF(AND(G1179&lt;&gt;"",OR(K1179="",K1179&gt;TODAY())),"Nog betalen",IF(OR(R1179="",R1179&gt;TODAY()),"Wacht op klant","Afgerond"))))</f>
        <v/>
      </c>
    </row>
    <row r="1180">
      <c r="A1180" s="45" t="n"/>
      <c r="B1180" s="46">
        <f>IF(A1180="","",YEAR(A1180)&amp;" Q"&amp;ROUNDUP(MONTH(A1180)/3,0))</f>
        <v/>
      </c>
      <c r="C1180" s="47" t="n"/>
      <c r="D1180" s="47" t="n"/>
      <c r="E1180" s="47" t="n"/>
      <c r="F1180" s="47" t="n"/>
      <c r="G1180" s="48" t="n"/>
      <c r="H1180" s="49" t="n"/>
      <c r="I1180" s="50">
        <f>IF(G1180="","",ROUND(G1180*H1180,2))</f>
        <v/>
      </c>
      <c r="J1180" s="50">
        <f>IF(G1180="","",G1180+N(I1180))</f>
        <v/>
      </c>
      <c r="K1180" s="45" t="n"/>
      <c r="L1180" s="47" t="n"/>
      <c r="M1180" s="48" t="n"/>
      <c r="N1180" s="49" t="n"/>
      <c r="O1180" s="50">
        <f>IF(M1180="","",ROUND(M1180*N1180,2))</f>
        <v/>
      </c>
      <c r="P1180" s="50">
        <f>IF(M1180="","",M1180+N(O1180))</f>
        <v/>
      </c>
      <c r="Q1180" s="45" t="n"/>
      <c r="R1180" s="45" t="n"/>
      <c r="S1180" s="51">
        <f>IF(L1180="","",IF(COUNTIF(L$6:L1180,L1180)&gt;1,"",SUMIF(L$6:L$2000,L1180,M$6:M$2000)-SUMIF(L$6:L$2000,L1180,G$6:G$2000)))</f>
        <v/>
      </c>
      <c r="T1180" s="46">
        <f>IF(AND(C1180="",G1180=""),"",IF(L1180="","Nog factureren",IF(AND(G1180&lt;&gt;"",OR(K1180="",K1180&gt;TODAY())),"Nog betalen",IF(OR(R1180="",R1180&gt;TODAY()),"Wacht op klant","Afgerond"))))</f>
        <v/>
      </c>
    </row>
    <row r="1181">
      <c r="A1181" s="45" t="n"/>
      <c r="B1181" s="46">
        <f>IF(A1181="","",YEAR(A1181)&amp;" Q"&amp;ROUNDUP(MONTH(A1181)/3,0))</f>
        <v/>
      </c>
      <c r="C1181" s="47" t="n"/>
      <c r="D1181" s="47" t="n"/>
      <c r="E1181" s="47" t="n"/>
      <c r="F1181" s="47" t="n"/>
      <c r="G1181" s="48" t="n"/>
      <c r="H1181" s="49" t="n"/>
      <c r="I1181" s="50">
        <f>IF(G1181="","",ROUND(G1181*H1181,2))</f>
        <v/>
      </c>
      <c r="J1181" s="50">
        <f>IF(G1181="","",G1181+N(I1181))</f>
        <v/>
      </c>
      <c r="K1181" s="45" t="n"/>
      <c r="L1181" s="47" t="n"/>
      <c r="M1181" s="48" t="n"/>
      <c r="N1181" s="49" t="n"/>
      <c r="O1181" s="50">
        <f>IF(M1181="","",ROUND(M1181*N1181,2))</f>
        <v/>
      </c>
      <c r="P1181" s="50">
        <f>IF(M1181="","",M1181+N(O1181))</f>
        <v/>
      </c>
      <c r="Q1181" s="45" t="n"/>
      <c r="R1181" s="45" t="n"/>
      <c r="S1181" s="51">
        <f>IF(L1181="","",IF(COUNTIF(L$6:L1181,L1181)&gt;1,"",SUMIF(L$6:L$2000,L1181,M$6:M$2000)-SUMIF(L$6:L$2000,L1181,G$6:G$2000)))</f>
        <v/>
      </c>
      <c r="T1181" s="46">
        <f>IF(AND(C1181="",G1181=""),"",IF(L1181="","Nog factureren",IF(AND(G1181&lt;&gt;"",OR(K1181="",K1181&gt;TODAY())),"Nog betalen",IF(OR(R1181="",R1181&gt;TODAY()),"Wacht op klant","Afgerond"))))</f>
        <v/>
      </c>
    </row>
    <row r="1182">
      <c r="A1182" s="45" t="n"/>
      <c r="B1182" s="46">
        <f>IF(A1182="","",YEAR(A1182)&amp;" Q"&amp;ROUNDUP(MONTH(A1182)/3,0))</f>
        <v/>
      </c>
      <c r="C1182" s="47" t="n"/>
      <c r="D1182" s="47" t="n"/>
      <c r="E1182" s="47" t="n"/>
      <c r="F1182" s="47" t="n"/>
      <c r="G1182" s="48" t="n"/>
      <c r="H1182" s="49" t="n"/>
      <c r="I1182" s="50">
        <f>IF(G1182="","",ROUND(G1182*H1182,2))</f>
        <v/>
      </c>
      <c r="J1182" s="50">
        <f>IF(G1182="","",G1182+N(I1182))</f>
        <v/>
      </c>
      <c r="K1182" s="45" t="n"/>
      <c r="L1182" s="47" t="n"/>
      <c r="M1182" s="48" t="n"/>
      <c r="N1182" s="49" t="n"/>
      <c r="O1182" s="50">
        <f>IF(M1182="","",ROUND(M1182*N1182,2))</f>
        <v/>
      </c>
      <c r="P1182" s="50">
        <f>IF(M1182="","",M1182+N(O1182))</f>
        <v/>
      </c>
      <c r="Q1182" s="45" t="n"/>
      <c r="R1182" s="45" t="n"/>
      <c r="S1182" s="51">
        <f>IF(L1182="","",IF(COUNTIF(L$6:L1182,L1182)&gt;1,"",SUMIF(L$6:L$2000,L1182,M$6:M$2000)-SUMIF(L$6:L$2000,L1182,G$6:G$2000)))</f>
        <v/>
      </c>
      <c r="T1182" s="46">
        <f>IF(AND(C1182="",G1182=""),"",IF(L1182="","Nog factureren",IF(AND(G1182&lt;&gt;"",OR(K1182="",K1182&gt;TODAY())),"Nog betalen",IF(OR(R1182="",R1182&gt;TODAY()),"Wacht op klant","Afgerond"))))</f>
        <v/>
      </c>
    </row>
    <row r="1183">
      <c r="A1183" s="45" t="n"/>
      <c r="B1183" s="46">
        <f>IF(A1183="","",YEAR(A1183)&amp;" Q"&amp;ROUNDUP(MONTH(A1183)/3,0))</f>
        <v/>
      </c>
      <c r="C1183" s="47" t="n"/>
      <c r="D1183" s="47" t="n"/>
      <c r="E1183" s="47" t="n"/>
      <c r="F1183" s="47" t="n"/>
      <c r="G1183" s="48" t="n"/>
      <c r="H1183" s="49" t="n"/>
      <c r="I1183" s="50">
        <f>IF(G1183="","",ROUND(G1183*H1183,2))</f>
        <v/>
      </c>
      <c r="J1183" s="50">
        <f>IF(G1183="","",G1183+N(I1183))</f>
        <v/>
      </c>
      <c r="K1183" s="45" t="n"/>
      <c r="L1183" s="47" t="n"/>
      <c r="M1183" s="48" t="n"/>
      <c r="N1183" s="49" t="n"/>
      <c r="O1183" s="50">
        <f>IF(M1183="","",ROUND(M1183*N1183,2))</f>
        <v/>
      </c>
      <c r="P1183" s="50">
        <f>IF(M1183="","",M1183+N(O1183))</f>
        <v/>
      </c>
      <c r="Q1183" s="45" t="n"/>
      <c r="R1183" s="45" t="n"/>
      <c r="S1183" s="51">
        <f>IF(L1183="","",IF(COUNTIF(L$6:L1183,L1183)&gt;1,"",SUMIF(L$6:L$2000,L1183,M$6:M$2000)-SUMIF(L$6:L$2000,L1183,G$6:G$2000)))</f>
        <v/>
      </c>
      <c r="T1183" s="46">
        <f>IF(AND(C1183="",G1183=""),"",IF(L1183="","Nog factureren",IF(AND(G1183&lt;&gt;"",OR(K1183="",K1183&gt;TODAY())),"Nog betalen",IF(OR(R1183="",R1183&gt;TODAY()),"Wacht op klant","Afgerond"))))</f>
        <v/>
      </c>
    </row>
    <row r="1184">
      <c r="A1184" s="45" t="n"/>
      <c r="B1184" s="46">
        <f>IF(A1184="","",YEAR(A1184)&amp;" Q"&amp;ROUNDUP(MONTH(A1184)/3,0))</f>
        <v/>
      </c>
      <c r="C1184" s="47" t="n"/>
      <c r="D1184" s="47" t="n"/>
      <c r="E1184" s="47" t="n"/>
      <c r="F1184" s="47" t="n"/>
      <c r="G1184" s="48" t="n"/>
      <c r="H1184" s="49" t="n"/>
      <c r="I1184" s="50">
        <f>IF(G1184="","",ROUND(G1184*H1184,2))</f>
        <v/>
      </c>
      <c r="J1184" s="50">
        <f>IF(G1184="","",G1184+N(I1184))</f>
        <v/>
      </c>
      <c r="K1184" s="45" t="n"/>
      <c r="L1184" s="47" t="n"/>
      <c r="M1184" s="48" t="n"/>
      <c r="N1184" s="49" t="n"/>
      <c r="O1184" s="50">
        <f>IF(M1184="","",ROUND(M1184*N1184,2))</f>
        <v/>
      </c>
      <c r="P1184" s="50">
        <f>IF(M1184="","",M1184+N(O1184))</f>
        <v/>
      </c>
      <c r="Q1184" s="45" t="n"/>
      <c r="R1184" s="45" t="n"/>
      <c r="S1184" s="51">
        <f>IF(L1184="","",IF(COUNTIF(L$6:L1184,L1184)&gt;1,"",SUMIF(L$6:L$2000,L1184,M$6:M$2000)-SUMIF(L$6:L$2000,L1184,G$6:G$2000)))</f>
        <v/>
      </c>
      <c r="T1184" s="46">
        <f>IF(AND(C1184="",G1184=""),"",IF(L1184="","Nog factureren",IF(AND(G1184&lt;&gt;"",OR(K1184="",K1184&gt;TODAY())),"Nog betalen",IF(OR(R1184="",R1184&gt;TODAY()),"Wacht op klant","Afgerond"))))</f>
        <v/>
      </c>
    </row>
    <row r="1185">
      <c r="A1185" s="45" t="n"/>
      <c r="B1185" s="46">
        <f>IF(A1185="","",YEAR(A1185)&amp;" Q"&amp;ROUNDUP(MONTH(A1185)/3,0))</f>
        <v/>
      </c>
      <c r="C1185" s="47" t="n"/>
      <c r="D1185" s="47" t="n"/>
      <c r="E1185" s="47" t="n"/>
      <c r="F1185" s="47" t="n"/>
      <c r="G1185" s="48" t="n"/>
      <c r="H1185" s="49" t="n"/>
      <c r="I1185" s="50">
        <f>IF(G1185="","",ROUND(G1185*H1185,2))</f>
        <v/>
      </c>
      <c r="J1185" s="50">
        <f>IF(G1185="","",G1185+N(I1185))</f>
        <v/>
      </c>
      <c r="K1185" s="45" t="n"/>
      <c r="L1185" s="47" t="n"/>
      <c r="M1185" s="48" t="n"/>
      <c r="N1185" s="49" t="n"/>
      <c r="O1185" s="50">
        <f>IF(M1185="","",ROUND(M1185*N1185,2))</f>
        <v/>
      </c>
      <c r="P1185" s="50">
        <f>IF(M1185="","",M1185+N(O1185))</f>
        <v/>
      </c>
      <c r="Q1185" s="45" t="n"/>
      <c r="R1185" s="45" t="n"/>
      <c r="S1185" s="51">
        <f>IF(L1185="","",IF(COUNTIF(L$6:L1185,L1185)&gt;1,"",SUMIF(L$6:L$2000,L1185,M$6:M$2000)-SUMIF(L$6:L$2000,L1185,G$6:G$2000)))</f>
        <v/>
      </c>
      <c r="T1185" s="46">
        <f>IF(AND(C1185="",G1185=""),"",IF(L1185="","Nog factureren",IF(AND(G1185&lt;&gt;"",OR(K1185="",K1185&gt;TODAY())),"Nog betalen",IF(OR(R1185="",R1185&gt;TODAY()),"Wacht op klant","Afgerond"))))</f>
        <v/>
      </c>
    </row>
    <row r="1186">
      <c r="A1186" s="45" t="n"/>
      <c r="B1186" s="46">
        <f>IF(A1186="","",YEAR(A1186)&amp;" Q"&amp;ROUNDUP(MONTH(A1186)/3,0))</f>
        <v/>
      </c>
      <c r="C1186" s="47" t="n"/>
      <c r="D1186" s="47" t="n"/>
      <c r="E1186" s="47" t="n"/>
      <c r="F1186" s="47" t="n"/>
      <c r="G1186" s="48" t="n"/>
      <c r="H1186" s="49" t="n"/>
      <c r="I1186" s="50">
        <f>IF(G1186="","",ROUND(G1186*H1186,2))</f>
        <v/>
      </c>
      <c r="J1186" s="50">
        <f>IF(G1186="","",G1186+N(I1186))</f>
        <v/>
      </c>
      <c r="K1186" s="45" t="n"/>
      <c r="L1186" s="47" t="n"/>
      <c r="M1186" s="48" t="n"/>
      <c r="N1186" s="49" t="n"/>
      <c r="O1186" s="50">
        <f>IF(M1186="","",ROUND(M1186*N1186,2))</f>
        <v/>
      </c>
      <c r="P1186" s="50">
        <f>IF(M1186="","",M1186+N(O1186))</f>
        <v/>
      </c>
      <c r="Q1186" s="45" t="n"/>
      <c r="R1186" s="45" t="n"/>
      <c r="S1186" s="51">
        <f>IF(L1186="","",IF(COUNTIF(L$6:L1186,L1186)&gt;1,"",SUMIF(L$6:L$2000,L1186,M$6:M$2000)-SUMIF(L$6:L$2000,L1186,G$6:G$2000)))</f>
        <v/>
      </c>
      <c r="T1186" s="46">
        <f>IF(AND(C1186="",G1186=""),"",IF(L1186="","Nog factureren",IF(AND(G1186&lt;&gt;"",OR(K1186="",K1186&gt;TODAY())),"Nog betalen",IF(OR(R1186="",R1186&gt;TODAY()),"Wacht op klant","Afgerond"))))</f>
        <v/>
      </c>
    </row>
    <row r="1187">
      <c r="A1187" s="45" t="n"/>
      <c r="B1187" s="46">
        <f>IF(A1187="","",YEAR(A1187)&amp;" Q"&amp;ROUNDUP(MONTH(A1187)/3,0))</f>
        <v/>
      </c>
      <c r="C1187" s="47" t="n"/>
      <c r="D1187" s="47" t="n"/>
      <c r="E1187" s="47" t="n"/>
      <c r="F1187" s="47" t="n"/>
      <c r="G1187" s="48" t="n"/>
      <c r="H1187" s="49" t="n"/>
      <c r="I1187" s="50">
        <f>IF(G1187="","",ROUND(G1187*H1187,2))</f>
        <v/>
      </c>
      <c r="J1187" s="50">
        <f>IF(G1187="","",G1187+N(I1187))</f>
        <v/>
      </c>
      <c r="K1187" s="45" t="n"/>
      <c r="L1187" s="47" t="n"/>
      <c r="M1187" s="48" t="n"/>
      <c r="N1187" s="49" t="n"/>
      <c r="O1187" s="50">
        <f>IF(M1187="","",ROUND(M1187*N1187,2))</f>
        <v/>
      </c>
      <c r="P1187" s="50">
        <f>IF(M1187="","",M1187+N(O1187))</f>
        <v/>
      </c>
      <c r="Q1187" s="45" t="n"/>
      <c r="R1187" s="45" t="n"/>
      <c r="S1187" s="51">
        <f>IF(L1187="","",IF(COUNTIF(L$6:L1187,L1187)&gt;1,"",SUMIF(L$6:L$2000,L1187,M$6:M$2000)-SUMIF(L$6:L$2000,L1187,G$6:G$2000)))</f>
        <v/>
      </c>
      <c r="T1187" s="46">
        <f>IF(AND(C1187="",G1187=""),"",IF(L1187="","Nog factureren",IF(AND(G1187&lt;&gt;"",OR(K1187="",K1187&gt;TODAY())),"Nog betalen",IF(OR(R1187="",R1187&gt;TODAY()),"Wacht op klant","Afgerond"))))</f>
        <v/>
      </c>
    </row>
    <row r="1188">
      <c r="A1188" s="45" t="n"/>
      <c r="B1188" s="46">
        <f>IF(A1188="","",YEAR(A1188)&amp;" Q"&amp;ROUNDUP(MONTH(A1188)/3,0))</f>
        <v/>
      </c>
      <c r="C1188" s="47" t="n"/>
      <c r="D1188" s="47" t="n"/>
      <c r="E1188" s="47" t="n"/>
      <c r="F1188" s="47" t="n"/>
      <c r="G1188" s="48" t="n"/>
      <c r="H1188" s="49" t="n"/>
      <c r="I1188" s="50">
        <f>IF(G1188="","",ROUND(G1188*H1188,2))</f>
        <v/>
      </c>
      <c r="J1188" s="50">
        <f>IF(G1188="","",G1188+N(I1188))</f>
        <v/>
      </c>
      <c r="K1188" s="45" t="n"/>
      <c r="L1188" s="47" t="n"/>
      <c r="M1188" s="48" t="n"/>
      <c r="N1188" s="49" t="n"/>
      <c r="O1188" s="50">
        <f>IF(M1188="","",ROUND(M1188*N1188,2))</f>
        <v/>
      </c>
      <c r="P1188" s="50">
        <f>IF(M1188="","",M1188+N(O1188))</f>
        <v/>
      </c>
      <c r="Q1188" s="45" t="n"/>
      <c r="R1188" s="45" t="n"/>
      <c r="S1188" s="51">
        <f>IF(L1188="","",IF(COUNTIF(L$6:L1188,L1188)&gt;1,"",SUMIF(L$6:L$2000,L1188,M$6:M$2000)-SUMIF(L$6:L$2000,L1188,G$6:G$2000)))</f>
        <v/>
      </c>
      <c r="T1188" s="46">
        <f>IF(AND(C1188="",G1188=""),"",IF(L1188="","Nog factureren",IF(AND(G1188&lt;&gt;"",OR(K1188="",K1188&gt;TODAY())),"Nog betalen",IF(OR(R1188="",R1188&gt;TODAY()),"Wacht op klant","Afgerond"))))</f>
        <v/>
      </c>
    </row>
    <row r="1189">
      <c r="A1189" s="45" t="n"/>
      <c r="B1189" s="46">
        <f>IF(A1189="","",YEAR(A1189)&amp;" Q"&amp;ROUNDUP(MONTH(A1189)/3,0))</f>
        <v/>
      </c>
      <c r="C1189" s="47" t="n"/>
      <c r="D1189" s="47" t="n"/>
      <c r="E1189" s="47" t="n"/>
      <c r="F1189" s="47" t="n"/>
      <c r="G1189" s="48" t="n"/>
      <c r="H1189" s="49" t="n"/>
      <c r="I1189" s="50">
        <f>IF(G1189="","",ROUND(G1189*H1189,2))</f>
        <v/>
      </c>
      <c r="J1189" s="50">
        <f>IF(G1189="","",G1189+N(I1189))</f>
        <v/>
      </c>
      <c r="K1189" s="45" t="n"/>
      <c r="L1189" s="47" t="n"/>
      <c r="M1189" s="48" t="n"/>
      <c r="N1189" s="49" t="n"/>
      <c r="O1189" s="50">
        <f>IF(M1189="","",ROUND(M1189*N1189,2))</f>
        <v/>
      </c>
      <c r="P1189" s="50">
        <f>IF(M1189="","",M1189+N(O1189))</f>
        <v/>
      </c>
      <c r="Q1189" s="45" t="n"/>
      <c r="R1189" s="45" t="n"/>
      <c r="S1189" s="51">
        <f>IF(L1189="","",IF(COUNTIF(L$6:L1189,L1189)&gt;1,"",SUMIF(L$6:L$2000,L1189,M$6:M$2000)-SUMIF(L$6:L$2000,L1189,G$6:G$2000)))</f>
        <v/>
      </c>
      <c r="T1189" s="46">
        <f>IF(AND(C1189="",G1189=""),"",IF(L1189="","Nog factureren",IF(AND(G1189&lt;&gt;"",OR(K1189="",K1189&gt;TODAY())),"Nog betalen",IF(OR(R1189="",R1189&gt;TODAY()),"Wacht op klant","Afgerond"))))</f>
        <v/>
      </c>
    </row>
    <row r="1190">
      <c r="A1190" s="45" t="n"/>
      <c r="B1190" s="46">
        <f>IF(A1190="","",YEAR(A1190)&amp;" Q"&amp;ROUNDUP(MONTH(A1190)/3,0))</f>
        <v/>
      </c>
      <c r="C1190" s="47" t="n"/>
      <c r="D1190" s="47" t="n"/>
      <c r="E1190" s="47" t="n"/>
      <c r="F1190" s="47" t="n"/>
      <c r="G1190" s="48" t="n"/>
      <c r="H1190" s="49" t="n"/>
      <c r="I1190" s="50">
        <f>IF(G1190="","",ROUND(G1190*H1190,2))</f>
        <v/>
      </c>
      <c r="J1190" s="50">
        <f>IF(G1190="","",G1190+N(I1190))</f>
        <v/>
      </c>
      <c r="K1190" s="45" t="n"/>
      <c r="L1190" s="47" t="n"/>
      <c r="M1190" s="48" t="n"/>
      <c r="N1190" s="49" t="n"/>
      <c r="O1190" s="50">
        <f>IF(M1190="","",ROUND(M1190*N1190,2))</f>
        <v/>
      </c>
      <c r="P1190" s="50">
        <f>IF(M1190="","",M1190+N(O1190))</f>
        <v/>
      </c>
      <c r="Q1190" s="45" t="n"/>
      <c r="R1190" s="45" t="n"/>
      <c r="S1190" s="51">
        <f>IF(L1190="","",IF(COUNTIF(L$6:L1190,L1190)&gt;1,"",SUMIF(L$6:L$2000,L1190,M$6:M$2000)-SUMIF(L$6:L$2000,L1190,G$6:G$2000)))</f>
        <v/>
      </c>
      <c r="T1190" s="46">
        <f>IF(AND(C1190="",G1190=""),"",IF(L1190="","Nog factureren",IF(AND(G1190&lt;&gt;"",OR(K1190="",K1190&gt;TODAY())),"Nog betalen",IF(OR(R1190="",R1190&gt;TODAY()),"Wacht op klant","Afgerond"))))</f>
        <v/>
      </c>
    </row>
    <row r="1191">
      <c r="A1191" s="45" t="n"/>
      <c r="B1191" s="46">
        <f>IF(A1191="","",YEAR(A1191)&amp;" Q"&amp;ROUNDUP(MONTH(A1191)/3,0))</f>
        <v/>
      </c>
      <c r="C1191" s="47" t="n"/>
      <c r="D1191" s="47" t="n"/>
      <c r="E1191" s="47" t="n"/>
      <c r="F1191" s="47" t="n"/>
      <c r="G1191" s="48" t="n"/>
      <c r="H1191" s="49" t="n"/>
      <c r="I1191" s="50">
        <f>IF(G1191="","",ROUND(G1191*H1191,2))</f>
        <v/>
      </c>
      <c r="J1191" s="50">
        <f>IF(G1191="","",G1191+N(I1191))</f>
        <v/>
      </c>
      <c r="K1191" s="45" t="n"/>
      <c r="L1191" s="47" t="n"/>
      <c r="M1191" s="48" t="n"/>
      <c r="N1191" s="49" t="n"/>
      <c r="O1191" s="50">
        <f>IF(M1191="","",ROUND(M1191*N1191,2))</f>
        <v/>
      </c>
      <c r="P1191" s="50">
        <f>IF(M1191="","",M1191+N(O1191))</f>
        <v/>
      </c>
      <c r="Q1191" s="45" t="n"/>
      <c r="R1191" s="45" t="n"/>
      <c r="S1191" s="51">
        <f>IF(L1191="","",IF(COUNTIF(L$6:L1191,L1191)&gt;1,"",SUMIF(L$6:L$2000,L1191,M$6:M$2000)-SUMIF(L$6:L$2000,L1191,G$6:G$2000)))</f>
        <v/>
      </c>
      <c r="T1191" s="46">
        <f>IF(AND(C1191="",G1191=""),"",IF(L1191="","Nog factureren",IF(AND(G1191&lt;&gt;"",OR(K1191="",K1191&gt;TODAY())),"Nog betalen",IF(OR(R1191="",R1191&gt;TODAY()),"Wacht op klant","Afgerond"))))</f>
        <v/>
      </c>
    </row>
    <row r="1192">
      <c r="A1192" s="45" t="n"/>
      <c r="B1192" s="46">
        <f>IF(A1192="","",YEAR(A1192)&amp;" Q"&amp;ROUNDUP(MONTH(A1192)/3,0))</f>
        <v/>
      </c>
      <c r="C1192" s="47" t="n"/>
      <c r="D1192" s="47" t="n"/>
      <c r="E1192" s="47" t="n"/>
      <c r="F1192" s="47" t="n"/>
      <c r="G1192" s="48" t="n"/>
      <c r="H1192" s="49" t="n"/>
      <c r="I1192" s="50">
        <f>IF(G1192="","",ROUND(G1192*H1192,2))</f>
        <v/>
      </c>
      <c r="J1192" s="50">
        <f>IF(G1192="","",G1192+N(I1192))</f>
        <v/>
      </c>
      <c r="K1192" s="45" t="n"/>
      <c r="L1192" s="47" t="n"/>
      <c r="M1192" s="48" t="n"/>
      <c r="N1192" s="49" t="n"/>
      <c r="O1192" s="50">
        <f>IF(M1192="","",ROUND(M1192*N1192,2))</f>
        <v/>
      </c>
      <c r="P1192" s="50">
        <f>IF(M1192="","",M1192+N(O1192))</f>
        <v/>
      </c>
      <c r="Q1192" s="45" t="n"/>
      <c r="R1192" s="45" t="n"/>
      <c r="S1192" s="51">
        <f>IF(L1192="","",IF(COUNTIF(L$6:L1192,L1192)&gt;1,"",SUMIF(L$6:L$2000,L1192,M$6:M$2000)-SUMIF(L$6:L$2000,L1192,G$6:G$2000)))</f>
        <v/>
      </c>
      <c r="T1192" s="46">
        <f>IF(AND(C1192="",G1192=""),"",IF(L1192="","Nog factureren",IF(AND(G1192&lt;&gt;"",OR(K1192="",K1192&gt;TODAY())),"Nog betalen",IF(OR(R1192="",R1192&gt;TODAY()),"Wacht op klant","Afgerond"))))</f>
        <v/>
      </c>
    </row>
    <row r="1193">
      <c r="A1193" s="45" t="n"/>
      <c r="B1193" s="46">
        <f>IF(A1193="","",YEAR(A1193)&amp;" Q"&amp;ROUNDUP(MONTH(A1193)/3,0))</f>
        <v/>
      </c>
      <c r="C1193" s="47" t="n"/>
      <c r="D1193" s="47" t="n"/>
      <c r="E1193" s="47" t="n"/>
      <c r="F1193" s="47" t="n"/>
      <c r="G1193" s="48" t="n"/>
      <c r="H1193" s="49" t="n"/>
      <c r="I1193" s="50">
        <f>IF(G1193="","",ROUND(G1193*H1193,2))</f>
        <v/>
      </c>
      <c r="J1193" s="50">
        <f>IF(G1193="","",G1193+N(I1193))</f>
        <v/>
      </c>
      <c r="K1193" s="45" t="n"/>
      <c r="L1193" s="47" t="n"/>
      <c r="M1193" s="48" t="n"/>
      <c r="N1193" s="49" t="n"/>
      <c r="O1193" s="50">
        <f>IF(M1193="","",ROUND(M1193*N1193,2))</f>
        <v/>
      </c>
      <c r="P1193" s="50">
        <f>IF(M1193="","",M1193+N(O1193))</f>
        <v/>
      </c>
      <c r="Q1193" s="45" t="n"/>
      <c r="R1193" s="45" t="n"/>
      <c r="S1193" s="51">
        <f>IF(L1193="","",IF(COUNTIF(L$6:L1193,L1193)&gt;1,"",SUMIF(L$6:L$2000,L1193,M$6:M$2000)-SUMIF(L$6:L$2000,L1193,G$6:G$2000)))</f>
        <v/>
      </c>
      <c r="T1193" s="46">
        <f>IF(AND(C1193="",G1193=""),"",IF(L1193="","Nog factureren",IF(AND(G1193&lt;&gt;"",OR(K1193="",K1193&gt;TODAY())),"Nog betalen",IF(OR(R1193="",R1193&gt;TODAY()),"Wacht op klant","Afgerond"))))</f>
        <v/>
      </c>
    </row>
    <row r="1194">
      <c r="A1194" s="45" t="n"/>
      <c r="B1194" s="46">
        <f>IF(A1194="","",YEAR(A1194)&amp;" Q"&amp;ROUNDUP(MONTH(A1194)/3,0))</f>
        <v/>
      </c>
      <c r="C1194" s="47" t="n"/>
      <c r="D1194" s="47" t="n"/>
      <c r="E1194" s="47" t="n"/>
      <c r="F1194" s="47" t="n"/>
      <c r="G1194" s="48" t="n"/>
      <c r="H1194" s="49" t="n"/>
      <c r="I1194" s="50">
        <f>IF(G1194="","",ROUND(G1194*H1194,2))</f>
        <v/>
      </c>
      <c r="J1194" s="50">
        <f>IF(G1194="","",G1194+N(I1194))</f>
        <v/>
      </c>
      <c r="K1194" s="45" t="n"/>
      <c r="L1194" s="47" t="n"/>
      <c r="M1194" s="48" t="n"/>
      <c r="N1194" s="49" t="n"/>
      <c r="O1194" s="50">
        <f>IF(M1194="","",ROUND(M1194*N1194,2))</f>
        <v/>
      </c>
      <c r="P1194" s="50">
        <f>IF(M1194="","",M1194+N(O1194))</f>
        <v/>
      </c>
      <c r="Q1194" s="45" t="n"/>
      <c r="R1194" s="45" t="n"/>
      <c r="S1194" s="51">
        <f>IF(L1194="","",IF(COUNTIF(L$6:L1194,L1194)&gt;1,"",SUMIF(L$6:L$2000,L1194,M$6:M$2000)-SUMIF(L$6:L$2000,L1194,G$6:G$2000)))</f>
        <v/>
      </c>
      <c r="T1194" s="46">
        <f>IF(AND(C1194="",G1194=""),"",IF(L1194="","Nog factureren",IF(AND(G1194&lt;&gt;"",OR(K1194="",K1194&gt;TODAY())),"Nog betalen",IF(OR(R1194="",R1194&gt;TODAY()),"Wacht op klant","Afgerond"))))</f>
        <v/>
      </c>
    </row>
    <row r="1195">
      <c r="A1195" s="45" t="n"/>
      <c r="B1195" s="46">
        <f>IF(A1195="","",YEAR(A1195)&amp;" Q"&amp;ROUNDUP(MONTH(A1195)/3,0))</f>
        <v/>
      </c>
      <c r="C1195" s="47" t="n"/>
      <c r="D1195" s="47" t="n"/>
      <c r="E1195" s="47" t="n"/>
      <c r="F1195" s="47" t="n"/>
      <c r="G1195" s="48" t="n"/>
      <c r="H1195" s="49" t="n"/>
      <c r="I1195" s="50">
        <f>IF(G1195="","",ROUND(G1195*H1195,2))</f>
        <v/>
      </c>
      <c r="J1195" s="50">
        <f>IF(G1195="","",G1195+N(I1195))</f>
        <v/>
      </c>
      <c r="K1195" s="45" t="n"/>
      <c r="L1195" s="47" t="n"/>
      <c r="M1195" s="48" t="n"/>
      <c r="N1195" s="49" t="n"/>
      <c r="O1195" s="50">
        <f>IF(M1195="","",ROUND(M1195*N1195,2))</f>
        <v/>
      </c>
      <c r="P1195" s="50">
        <f>IF(M1195="","",M1195+N(O1195))</f>
        <v/>
      </c>
      <c r="Q1195" s="45" t="n"/>
      <c r="R1195" s="45" t="n"/>
      <c r="S1195" s="51">
        <f>IF(L1195="","",IF(COUNTIF(L$6:L1195,L1195)&gt;1,"",SUMIF(L$6:L$2000,L1195,M$6:M$2000)-SUMIF(L$6:L$2000,L1195,G$6:G$2000)))</f>
        <v/>
      </c>
      <c r="T1195" s="46">
        <f>IF(AND(C1195="",G1195=""),"",IF(L1195="","Nog factureren",IF(AND(G1195&lt;&gt;"",OR(K1195="",K1195&gt;TODAY())),"Nog betalen",IF(OR(R1195="",R1195&gt;TODAY()),"Wacht op klant","Afgerond"))))</f>
        <v/>
      </c>
    </row>
    <row r="1196">
      <c r="A1196" s="45" t="n"/>
      <c r="B1196" s="46">
        <f>IF(A1196="","",YEAR(A1196)&amp;" Q"&amp;ROUNDUP(MONTH(A1196)/3,0))</f>
        <v/>
      </c>
      <c r="C1196" s="47" t="n"/>
      <c r="D1196" s="47" t="n"/>
      <c r="E1196" s="47" t="n"/>
      <c r="F1196" s="47" t="n"/>
      <c r="G1196" s="48" t="n"/>
      <c r="H1196" s="49" t="n"/>
      <c r="I1196" s="50">
        <f>IF(G1196="","",ROUND(G1196*H1196,2))</f>
        <v/>
      </c>
      <c r="J1196" s="50">
        <f>IF(G1196="","",G1196+N(I1196))</f>
        <v/>
      </c>
      <c r="K1196" s="45" t="n"/>
      <c r="L1196" s="47" t="n"/>
      <c r="M1196" s="48" t="n"/>
      <c r="N1196" s="49" t="n"/>
      <c r="O1196" s="50">
        <f>IF(M1196="","",ROUND(M1196*N1196,2))</f>
        <v/>
      </c>
      <c r="P1196" s="50">
        <f>IF(M1196="","",M1196+N(O1196))</f>
        <v/>
      </c>
      <c r="Q1196" s="45" t="n"/>
      <c r="R1196" s="45" t="n"/>
      <c r="S1196" s="51">
        <f>IF(L1196="","",IF(COUNTIF(L$6:L1196,L1196)&gt;1,"",SUMIF(L$6:L$2000,L1196,M$6:M$2000)-SUMIF(L$6:L$2000,L1196,G$6:G$2000)))</f>
        <v/>
      </c>
      <c r="T1196" s="46">
        <f>IF(AND(C1196="",G1196=""),"",IF(L1196="","Nog factureren",IF(AND(G1196&lt;&gt;"",OR(K1196="",K1196&gt;TODAY())),"Nog betalen",IF(OR(R1196="",R1196&gt;TODAY()),"Wacht op klant","Afgerond"))))</f>
        <v/>
      </c>
    </row>
    <row r="1197">
      <c r="A1197" s="45" t="n"/>
      <c r="B1197" s="46">
        <f>IF(A1197="","",YEAR(A1197)&amp;" Q"&amp;ROUNDUP(MONTH(A1197)/3,0))</f>
        <v/>
      </c>
      <c r="C1197" s="47" t="n"/>
      <c r="D1197" s="47" t="n"/>
      <c r="E1197" s="47" t="n"/>
      <c r="F1197" s="47" t="n"/>
      <c r="G1197" s="48" t="n"/>
      <c r="H1197" s="49" t="n"/>
      <c r="I1197" s="50">
        <f>IF(G1197="","",ROUND(G1197*H1197,2))</f>
        <v/>
      </c>
      <c r="J1197" s="50">
        <f>IF(G1197="","",G1197+N(I1197))</f>
        <v/>
      </c>
      <c r="K1197" s="45" t="n"/>
      <c r="L1197" s="47" t="n"/>
      <c r="M1197" s="48" t="n"/>
      <c r="N1197" s="49" t="n"/>
      <c r="O1197" s="50">
        <f>IF(M1197="","",ROUND(M1197*N1197,2))</f>
        <v/>
      </c>
      <c r="P1197" s="50">
        <f>IF(M1197="","",M1197+N(O1197))</f>
        <v/>
      </c>
      <c r="Q1197" s="45" t="n"/>
      <c r="R1197" s="45" t="n"/>
      <c r="S1197" s="51">
        <f>IF(L1197="","",IF(COUNTIF(L$6:L1197,L1197)&gt;1,"",SUMIF(L$6:L$2000,L1197,M$6:M$2000)-SUMIF(L$6:L$2000,L1197,G$6:G$2000)))</f>
        <v/>
      </c>
      <c r="T1197" s="46">
        <f>IF(AND(C1197="",G1197=""),"",IF(L1197="","Nog factureren",IF(AND(G1197&lt;&gt;"",OR(K1197="",K1197&gt;TODAY())),"Nog betalen",IF(OR(R1197="",R1197&gt;TODAY()),"Wacht op klant","Afgerond"))))</f>
        <v/>
      </c>
    </row>
    <row r="1198">
      <c r="A1198" s="45" t="n"/>
      <c r="B1198" s="46">
        <f>IF(A1198="","",YEAR(A1198)&amp;" Q"&amp;ROUNDUP(MONTH(A1198)/3,0))</f>
        <v/>
      </c>
      <c r="C1198" s="47" t="n"/>
      <c r="D1198" s="47" t="n"/>
      <c r="E1198" s="47" t="n"/>
      <c r="F1198" s="47" t="n"/>
      <c r="G1198" s="48" t="n"/>
      <c r="H1198" s="49" t="n"/>
      <c r="I1198" s="50">
        <f>IF(G1198="","",ROUND(G1198*H1198,2))</f>
        <v/>
      </c>
      <c r="J1198" s="50">
        <f>IF(G1198="","",G1198+N(I1198))</f>
        <v/>
      </c>
      <c r="K1198" s="45" t="n"/>
      <c r="L1198" s="47" t="n"/>
      <c r="M1198" s="48" t="n"/>
      <c r="N1198" s="49" t="n"/>
      <c r="O1198" s="50">
        <f>IF(M1198="","",ROUND(M1198*N1198,2))</f>
        <v/>
      </c>
      <c r="P1198" s="50">
        <f>IF(M1198="","",M1198+N(O1198))</f>
        <v/>
      </c>
      <c r="Q1198" s="45" t="n"/>
      <c r="R1198" s="45" t="n"/>
      <c r="S1198" s="51">
        <f>IF(L1198="","",IF(COUNTIF(L$6:L1198,L1198)&gt;1,"",SUMIF(L$6:L$2000,L1198,M$6:M$2000)-SUMIF(L$6:L$2000,L1198,G$6:G$2000)))</f>
        <v/>
      </c>
      <c r="T1198" s="46">
        <f>IF(AND(C1198="",G1198=""),"",IF(L1198="","Nog factureren",IF(AND(G1198&lt;&gt;"",OR(K1198="",K1198&gt;TODAY())),"Nog betalen",IF(OR(R1198="",R1198&gt;TODAY()),"Wacht op klant","Afgerond"))))</f>
        <v/>
      </c>
    </row>
    <row r="1199">
      <c r="A1199" s="45" t="n"/>
      <c r="B1199" s="46">
        <f>IF(A1199="","",YEAR(A1199)&amp;" Q"&amp;ROUNDUP(MONTH(A1199)/3,0))</f>
        <v/>
      </c>
      <c r="C1199" s="47" t="n"/>
      <c r="D1199" s="47" t="n"/>
      <c r="E1199" s="47" t="n"/>
      <c r="F1199" s="47" t="n"/>
      <c r="G1199" s="48" t="n"/>
      <c r="H1199" s="49" t="n"/>
      <c r="I1199" s="50">
        <f>IF(G1199="","",ROUND(G1199*H1199,2))</f>
        <v/>
      </c>
      <c r="J1199" s="50">
        <f>IF(G1199="","",G1199+N(I1199))</f>
        <v/>
      </c>
      <c r="K1199" s="45" t="n"/>
      <c r="L1199" s="47" t="n"/>
      <c r="M1199" s="48" t="n"/>
      <c r="N1199" s="49" t="n"/>
      <c r="O1199" s="50">
        <f>IF(M1199="","",ROUND(M1199*N1199,2))</f>
        <v/>
      </c>
      <c r="P1199" s="50">
        <f>IF(M1199="","",M1199+N(O1199))</f>
        <v/>
      </c>
      <c r="Q1199" s="45" t="n"/>
      <c r="R1199" s="45" t="n"/>
      <c r="S1199" s="51">
        <f>IF(L1199="","",IF(COUNTIF(L$6:L1199,L1199)&gt;1,"",SUMIF(L$6:L$2000,L1199,M$6:M$2000)-SUMIF(L$6:L$2000,L1199,G$6:G$2000)))</f>
        <v/>
      </c>
      <c r="T1199" s="46">
        <f>IF(AND(C1199="",G1199=""),"",IF(L1199="","Nog factureren",IF(AND(G1199&lt;&gt;"",OR(K1199="",K1199&gt;TODAY())),"Nog betalen",IF(OR(R1199="",R1199&gt;TODAY()),"Wacht op klant","Afgerond"))))</f>
        <v/>
      </c>
    </row>
    <row r="1200">
      <c r="A1200" s="45" t="n"/>
      <c r="B1200" s="46">
        <f>IF(A1200="","",YEAR(A1200)&amp;" Q"&amp;ROUNDUP(MONTH(A1200)/3,0))</f>
        <v/>
      </c>
      <c r="C1200" s="47" t="n"/>
      <c r="D1200" s="47" t="n"/>
      <c r="E1200" s="47" t="n"/>
      <c r="F1200" s="47" t="n"/>
      <c r="G1200" s="48" t="n"/>
      <c r="H1200" s="49" t="n"/>
      <c r="I1200" s="50">
        <f>IF(G1200="","",ROUND(G1200*H1200,2))</f>
        <v/>
      </c>
      <c r="J1200" s="50">
        <f>IF(G1200="","",G1200+N(I1200))</f>
        <v/>
      </c>
      <c r="K1200" s="45" t="n"/>
      <c r="L1200" s="47" t="n"/>
      <c r="M1200" s="48" t="n"/>
      <c r="N1200" s="49" t="n"/>
      <c r="O1200" s="50">
        <f>IF(M1200="","",ROUND(M1200*N1200,2))</f>
        <v/>
      </c>
      <c r="P1200" s="50">
        <f>IF(M1200="","",M1200+N(O1200))</f>
        <v/>
      </c>
      <c r="Q1200" s="45" t="n"/>
      <c r="R1200" s="45" t="n"/>
      <c r="S1200" s="51">
        <f>IF(L1200="","",IF(COUNTIF(L$6:L1200,L1200)&gt;1,"",SUMIF(L$6:L$2000,L1200,M$6:M$2000)-SUMIF(L$6:L$2000,L1200,G$6:G$2000)))</f>
        <v/>
      </c>
      <c r="T1200" s="46">
        <f>IF(AND(C1200="",G1200=""),"",IF(L1200="","Nog factureren",IF(AND(G1200&lt;&gt;"",OR(K1200="",K1200&gt;TODAY())),"Nog betalen",IF(OR(R1200="",R1200&gt;TODAY()),"Wacht op klant","Afgerond"))))</f>
        <v/>
      </c>
    </row>
    <row r="1201">
      <c r="A1201" s="45" t="n"/>
      <c r="B1201" s="46">
        <f>IF(A1201="","",YEAR(A1201)&amp;" Q"&amp;ROUNDUP(MONTH(A1201)/3,0))</f>
        <v/>
      </c>
      <c r="C1201" s="47" t="n"/>
      <c r="D1201" s="47" t="n"/>
      <c r="E1201" s="47" t="n"/>
      <c r="F1201" s="47" t="n"/>
      <c r="G1201" s="48" t="n"/>
      <c r="H1201" s="49" t="n"/>
      <c r="I1201" s="50">
        <f>IF(G1201="","",ROUND(G1201*H1201,2))</f>
        <v/>
      </c>
      <c r="J1201" s="50">
        <f>IF(G1201="","",G1201+N(I1201))</f>
        <v/>
      </c>
      <c r="K1201" s="45" t="n"/>
      <c r="L1201" s="47" t="n"/>
      <c r="M1201" s="48" t="n"/>
      <c r="N1201" s="49" t="n"/>
      <c r="O1201" s="50">
        <f>IF(M1201="","",ROUND(M1201*N1201,2))</f>
        <v/>
      </c>
      <c r="P1201" s="50">
        <f>IF(M1201="","",M1201+N(O1201))</f>
        <v/>
      </c>
      <c r="Q1201" s="45" t="n"/>
      <c r="R1201" s="45" t="n"/>
      <c r="S1201" s="51">
        <f>IF(L1201="","",IF(COUNTIF(L$6:L1201,L1201)&gt;1,"",SUMIF(L$6:L$2000,L1201,M$6:M$2000)-SUMIF(L$6:L$2000,L1201,G$6:G$2000)))</f>
        <v/>
      </c>
      <c r="T1201" s="46">
        <f>IF(AND(C1201="",G1201=""),"",IF(L1201="","Nog factureren",IF(AND(G1201&lt;&gt;"",OR(K1201="",K1201&gt;TODAY())),"Nog betalen",IF(OR(R1201="",R1201&gt;TODAY()),"Wacht op klant","Afgerond"))))</f>
        <v/>
      </c>
    </row>
    <row r="1202">
      <c r="A1202" s="45" t="n"/>
      <c r="B1202" s="46">
        <f>IF(A1202="","",YEAR(A1202)&amp;" Q"&amp;ROUNDUP(MONTH(A1202)/3,0))</f>
        <v/>
      </c>
      <c r="C1202" s="47" t="n"/>
      <c r="D1202" s="47" t="n"/>
      <c r="E1202" s="47" t="n"/>
      <c r="F1202" s="47" t="n"/>
      <c r="G1202" s="48" t="n"/>
      <c r="H1202" s="49" t="n"/>
      <c r="I1202" s="50">
        <f>IF(G1202="","",ROUND(G1202*H1202,2))</f>
        <v/>
      </c>
      <c r="J1202" s="50">
        <f>IF(G1202="","",G1202+N(I1202))</f>
        <v/>
      </c>
      <c r="K1202" s="45" t="n"/>
      <c r="L1202" s="47" t="n"/>
      <c r="M1202" s="48" t="n"/>
      <c r="N1202" s="49" t="n"/>
      <c r="O1202" s="50">
        <f>IF(M1202="","",ROUND(M1202*N1202,2))</f>
        <v/>
      </c>
      <c r="P1202" s="50">
        <f>IF(M1202="","",M1202+N(O1202))</f>
        <v/>
      </c>
      <c r="Q1202" s="45" t="n"/>
      <c r="R1202" s="45" t="n"/>
      <c r="S1202" s="51">
        <f>IF(L1202="","",IF(COUNTIF(L$6:L1202,L1202)&gt;1,"",SUMIF(L$6:L$2000,L1202,M$6:M$2000)-SUMIF(L$6:L$2000,L1202,G$6:G$2000)))</f>
        <v/>
      </c>
      <c r="T1202" s="46">
        <f>IF(AND(C1202="",G1202=""),"",IF(L1202="","Nog factureren",IF(AND(G1202&lt;&gt;"",OR(K1202="",K1202&gt;TODAY())),"Nog betalen",IF(OR(R1202="",R1202&gt;TODAY()),"Wacht op klant","Afgerond"))))</f>
        <v/>
      </c>
    </row>
    <row r="1203">
      <c r="A1203" s="45" t="n"/>
      <c r="B1203" s="46">
        <f>IF(A1203="","",YEAR(A1203)&amp;" Q"&amp;ROUNDUP(MONTH(A1203)/3,0))</f>
        <v/>
      </c>
      <c r="C1203" s="47" t="n"/>
      <c r="D1203" s="47" t="n"/>
      <c r="E1203" s="47" t="n"/>
      <c r="F1203" s="47" t="n"/>
      <c r="G1203" s="48" t="n"/>
      <c r="H1203" s="49" t="n"/>
      <c r="I1203" s="50">
        <f>IF(G1203="","",ROUND(G1203*H1203,2))</f>
        <v/>
      </c>
      <c r="J1203" s="50">
        <f>IF(G1203="","",G1203+N(I1203))</f>
        <v/>
      </c>
      <c r="K1203" s="45" t="n"/>
      <c r="L1203" s="47" t="n"/>
      <c r="M1203" s="48" t="n"/>
      <c r="N1203" s="49" t="n"/>
      <c r="O1203" s="50">
        <f>IF(M1203="","",ROUND(M1203*N1203,2))</f>
        <v/>
      </c>
      <c r="P1203" s="50">
        <f>IF(M1203="","",M1203+N(O1203))</f>
        <v/>
      </c>
      <c r="Q1203" s="45" t="n"/>
      <c r="R1203" s="45" t="n"/>
      <c r="S1203" s="51">
        <f>IF(L1203="","",IF(COUNTIF(L$6:L1203,L1203)&gt;1,"",SUMIF(L$6:L$2000,L1203,M$6:M$2000)-SUMIF(L$6:L$2000,L1203,G$6:G$2000)))</f>
        <v/>
      </c>
      <c r="T1203" s="46">
        <f>IF(AND(C1203="",G1203=""),"",IF(L1203="","Nog factureren",IF(AND(G1203&lt;&gt;"",OR(K1203="",K1203&gt;TODAY())),"Nog betalen",IF(OR(R1203="",R1203&gt;TODAY()),"Wacht op klant","Afgerond"))))</f>
        <v/>
      </c>
    </row>
    <row r="1204">
      <c r="A1204" s="45" t="n"/>
      <c r="B1204" s="46">
        <f>IF(A1204="","",YEAR(A1204)&amp;" Q"&amp;ROUNDUP(MONTH(A1204)/3,0))</f>
        <v/>
      </c>
      <c r="C1204" s="47" t="n"/>
      <c r="D1204" s="47" t="n"/>
      <c r="E1204" s="47" t="n"/>
      <c r="F1204" s="47" t="n"/>
      <c r="G1204" s="48" t="n"/>
      <c r="H1204" s="49" t="n"/>
      <c r="I1204" s="50">
        <f>IF(G1204="","",ROUND(G1204*H1204,2))</f>
        <v/>
      </c>
      <c r="J1204" s="50">
        <f>IF(G1204="","",G1204+N(I1204))</f>
        <v/>
      </c>
      <c r="K1204" s="45" t="n"/>
      <c r="L1204" s="47" t="n"/>
      <c r="M1204" s="48" t="n"/>
      <c r="N1204" s="49" t="n"/>
      <c r="O1204" s="50">
        <f>IF(M1204="","",ROUND(M1204*N1204,2))</f>
        <v/>
      </c>
      <c r="P1204" s="50">
        <f>IF(M1204="","",M1204+N(O1204))</f>
        <v/>
      </c>
      <c r="Q1204" s="45" t="n"/>
      <c r="R1204" s="45" t="n"/>
      <c r="S1204" s="51">
        <f>IF(L1204="","",IF(COUNTIF(L$6:L1204,L1204)&gt;1,"",SUMIF(L$6:L$2000,L1204,M$6:M$2000)-SUMIF(L$6:L$2000,L1204,G$6:G$2000)))</f>
        <v/>
      </c>
      <c r="T1204" s="46">
        <f>IF(AND(C1204="",G1204=""),"",IF(L1204="","Nog factureren",IF(AND(G1204&lt;&gt;"",OR(K1204="",K1204&gt;TODAY())),"Nog betalen",IF(OR(R1204="",R1204&gt;TODAY()),"Wacht op klant","Afgerond"))))</f>
        <v/>
      </c>
    </row>
    <row r="1205">
      <c r="A1205" s="45" t="n"/>
      <c r="B1205" s="46">
        <f>IF(A1205="","",YEAR(A1205)&amp;" Q"&amp;ROUNDUP(MONTH(A1205)/3,0))</f>
        <v/>
      </c>
      <c r="C1205" s="47" t="n"/>
      <c r="D1205" s="47" t="n"/>
      <c r="E1205" s="47" t="n"/>
      <c r="F1205" s="47" t="n"/>
      <c r="G1205" s="48" t="n"/>
      <c r="H1205" s="49" t="n"/>
      <c r="I1205" s="50">
        <f>IF(G1205="","",ROUND(G1205*H1205,2))</f>
        <v/>
      </c>
      <c r="J1205" s="50">
        <f>IF(G1205="","",G1205+N(I1205))</f>
        <v/>
      </c>
      <c r="K1205" s="45" t="n"/>
      <c r="L1205" s="47" t="n"/>
      <c r="M1205" s="48" t="n"/>
      <c r="N1205" s="49" t="n"/>
      <c r="O1205" s="50">
        <f>IF(M1205="","",ROUND(M1205*N1205,2))</f>
        <v/>
      </c>
      <c r="P1205" s="50">
        <f>IF(M1205="","",M1205+N(O1205))</f>
        <v/>
      </c>
      <c r="Q1205" s="45" t="n"/>
      <c r="R1205" s="45" t="n"/>
      <c r="S1205" s="51">
        <f>IF(L1205="","",IF(COUNTIF(L$6:L1205,L1205)&gt;1,"",SUMIF(L$6:L$2000,L1205,M$6:M$2000)-SUMIF(L$6:L$2000,L1205,G$6:G$2000)))</f>
        <v/>
      </c>
      <c r="T1205" s="46">
        <f>IF(AND(C1205="",G1205=""),"",IF(L1205="","Nog factureren",IF(AND(G1205&lt;&gt;"",OR(K1205="",K1205&gt;TODAY())),"Nog betalen",IF(OR(R1205="",R1205&gt;TODAY()),"Wacht op klant","Afgerond"))))</f>
        <v/>
      </c>
    </row>
    <row r="1206">
      <c r="A1206" s="45" t="n"/>
      <c r="B1206" s="46">
        <f>IF(A1206="","",YEAR(A1206)&amp;" Q"&amp;ROUNDUP(MONTH(A1206)/3,0))</f>
        <v/>
      </c>
      <c r="C1206" s="47" t="n"/>
      <c r="D1206" s="47" t="n"/>
      <c r="E1206" s="47" t="n"/>
      <c r="F1206" s="47" t="n"/>
      <c r="G1206" s="48" t="n"/>
      <c r="H1206" s="49" t="n"/>
      <c r="I1206" s="50">
        <f>IF(G1206="","",ROUND(G1206*H1206,2))</f>
        <v/>
      </c>
      <c r="J1206" s="50">
        <f>IF(G1206="","",G1206+N(I1206))</f>
        <v/>
      </c>
      <c r="K1206" s="45" t="n"/>
      <c r="L1206" s="47" t="n"/>
      <c r="M1206" s="48" t="n"/>
      <c r="N1206" s="49" t="n"/>
      <c r="O1206" s="50">
        <f>IF(M1206="","",ROUND(M1206*N1206,2))</f>
        <v/>
      </c>
      <c r="P1206" s="50">
        <f>IF(M1206="","",M1206+N(O1206))</f>
        <v/>
      </c>
      <c r="Q1206" s="45" t="n"/>
      <c r="R1206" s="45" t="n"/>
      <c r="S1206" s="51">
        <f>IF(L1206="","",IF(COUNTIF(L$6:L1206,L1206)&gt;1,"",SUMIF(L$6:L$2000,L1206,M$6:M$2000)-SUMIF(L$6:L$2000,L1206,G$6:G$2000)))</f>
        <v/>
      </c>
      <c r="T1206" s="46">
        <f>IF(AND(C1206="",G1206=""),"",IF(L1206="","Nog factureren",IF(AND(G1206&lt;&gt;"",OR(K1206="",K1206&gt;TODAY())),"Nog betalen",IF(OR(R1206="",R1206&gt;TODAY()),"Wacht op klant","Afgerond"))))</f>
        <v/>
      </c>
    </row>
    <row r="1207">
      <c r="A1207" s="45" t="n"/>
      <c r="B1207" s="46">
        <f>IF(A1207="","",YEAR(A1207)&amp;" Q"&amp;ROUNDUP(MONTH(A1207)/3,0))</f>
        <v/>
      </c>
      <c r="C1207" s="47" t="n"/>
      <c r="D1207" s="47" t="n"/>
      <c r="E1207" s="47" t="n"/>
      <c r="F1207" s="47" t="n"/>
      <c r="G1207" s="48" t="n"/>
      <c r="H1207" s="49" t="n"/>
      <c r="I1207" s="50">
        <f>IF(G1207="","",ROUND(G1207*H1207,2))</f>
        <v/>
      </c>
      <c r="J1207" s="50">
        <f>IF(G1207="","",G1207+N(I1207))</f>
        <v/>
      </c>
      <c r="K1207" s="45" t="n"/>
      <c r="L1207" s="47" t="n"/>
      <c r="M1207" s="48" t="n"/>
      <c r="N1207" s="49" t="n"/>
      <c r="O1207" s="50">
        <f>IF(M1207="","",ROUND(M1207*N1207,2))</f>
        <v/>
      </c>
      <c r="P1207" s="50">
        <f>IF(M1207="","",M1207+N(O1207))</f>
        <v/>
      </c>
      <c r="Q1207" s="45" t="n"/>
      <c r="R1207" s="45" t="n"/>
      <c r="S1207" s="51">
        <f>IF(L1207="","",IF(COUNTIF(L$6:L1207,L1207)&gt;1,"",SUMIF(L$6:L$2000,L1207,M$6:M$2000)-SUMIF(L$6:L$2000,L1207,G$6:G$2000)))</f>
        <v/>
      </c>
      <c r="T1207" s="46">
        <f>IF(AND(C1207="",G1207=""),"",IF(L1207="","Nog factureren",IF(AND(G1207&lt;&gt;"",OR(K1207="",K1207&gt;TODAY())),"Nog betalen",IF(OR(R1207="",R1207&gt;TODAY()),"Wacht op klant","Afgerond"))))</f>
        <v/>
      </c>
    </row>
    <row r="1208">
      <c r="A1208" s="45" t="n"/>
      <c r="B1208" s="46">
        <f>IF(A1208="","",YEAR(A1208)&amp;" Q"&amp;ROUNDUP(MONTH(A1208)/3,0))</f>
        <v/>
      </c>
      <c r="C1208" s="47" t="n"/>
      <c r="D1208" s="47" t="n"/>
      <c r="E1208" s="47" t="n"/>
      <c r="F1208" s="47" t="n"/>
      <c r="G1208" s="48" t="n"/>
      <c r="H1208" s="49" t="n"/>
      <c r="I1208" s="50">
        <f>IF(G1208="","",ROUND(G1208*H1208,2))</f>
        <v/>
      </c>
      <c r="J1208" s="50">
        <f>IF(G1208="","",G1208+N(I1208))</f>
        <v/>
      </c>
      <c r="K1208" s="45" t="n"/>
      <c r="L1208" s="47" t="n"/>
      <c r="M1208" s="48" t="n"/>
      <c r="N1208" s="49" t="n"/>
      <c r="O1208" s="50">
        <f>IF(M1208="","",ROUND(M1208*N1208,2))</f>
        <v/>
      </c>
      <c r="P1208" s="50">
        <f>IF(M1208="","",M1208+N(O1208))</f>
        <v/>
      </c>
      <c r="Q1208" s="45" t="n"/>
      <c r="R1208" s="45" t="n"/>
      <c r="S1208" s="51">
        <f>IF(L1208="","",IF(COUNTIF(L$6:L1208,L1208)&gt;1,"",SUMIF(L$6:L$2000,L1208,M$6:M$2000)-SUMIF(L$6:L$2000,L1208,G$6:G$2000)))</f>
        <v/>
      </c>
      <c r="T1208" s="46">
        <f>IF(AND(C1208="",G1208=""),"",IF(L1208="","Nog factureren",IF(AND(G1208&lt;&gt;"",OR(K1208="",K1208&gt;TODAY())),"Nog betalen",IF(OR(R1208="",R1208&gt;TODAY()),"Wacht op klant","Afgerond"))))</f>
        <v/>
      </c>
    </row>
    <row r="1209">
      <c r="A1209" s="45" t="n"/>
      <c r="B1209" s="46">
        <f>IF(A1209="","",YEAR(A1209)&amp;" Q"&amp;ROUNDUP(MONTH(A1209)/3,0))</f>
        <v/>
      </c>
      <c r="C1209" s="47" t="n"/>
      <c r="D1209" s="47" t="n"/>
      <c r="E1209" s="47" t="n"/>
      <c r="F1209" s="47" t="n"/>
      <c r="G1209" s="48" t="n"/>
      <c r="H1209" s="49" t="n"/>
      <c r="I1209" s="50">
        <f>IF(G1209="","",ROUND(G1209*H1209,2))</f>
        <v/>
      </c>
      <c r="J1209" s="50">
        <f>IF(G1209="","",G1209+N(I1209))</f>
        <v/>
      </c>
      <c r="K1209" s="45" t="n"/>
      <c r="L1209" s="47" t="n"/>
      <c r="M1209" s="48" t="n"/>
      <c r="N1209" s="49" t="n"/>
      <c r="O1209" s="50">
        <f>IF(M1209="","",ROUND(M1209*N1209,2))</f>
        <v/>
      </c>
      <c r="P1209" s="50">
        <f>IF(M1209="","",M1209+N(O1209))</f>
        <v/>
      </c>
      <c r="Q1209" s="45" t="n"/>
      <c r="R1209" s="45" t="n"/>
      <c r="S1209" s="51">
        <f>IF(L1209="","",IF(COUNTIF(L$6:L1209,L1209)&gt;1,"",SUMIF(L$6:L$2000,L1209,M$6:M$2000)-SUMIF(L$6:L$2000,L1209,G$6:G$2000)))</f>
        <v/>
      </c>
      <c r="T1209" s="46">
        <f>IF(AND(C1209="",G1209=""),"",IF(L1209="","Nog factureren",IF(AND(G1209&lt;&gt;"",OR(K1209="",K1209&gt;TODAY())),"Nog betalen",IF(OR(R1209="",R1209&gt;TODAY()),"Wacht op klant","Afgerond"))))</f>
        <v/>
      </c>
    </row>
    <row r="1210">
      <c r="A1210" s="45" t="n"/>
      <c r="B1210" s="46">
        <f>IF(A1210="","",YEAR(A1210)&amp;" Q"&amp;ROUNDUP(MONTH(A1210)/3,0))</f>
        <v/>
      </c>
      <c r="C1210" s="47" t="n"/>
      <c r="D1210" s="47" t="n"/>
      <c r="E1210" s="47" t="n"/>
      <c r="F1210" s="47" t="n"/>
      <c r="G1210" s="48" t="n"/>
      <c r="H1210" s="49" t="n"/>
      <c r="I1210" s="50">
        <f>IF(G1210="","",ROUND(G1210*H1210,2))</f>
        <v/>
      </c>
      <c r="J1210" s="50">
        <f>IF(G1210="","",G1210+N(I1210))</f>
        <v/>
      </c>
      <c r="K1210" s="45" t="n"/>
      <c r="L1210" s="47" t="n"/>
      <c r="M1210" s="48" t="n"/>
      <c r="N1210" s="49" t="n"/>
      <c r="O1210" s="50">
        <f>IF(M1210="","",ROUND(M1210*N1210,2))</f>
        <v/>
      </c>
      <c r="P1210" s="50">
        <f>IF(M1210="","",M1210+N(O1210))</f>
        <v/>
      </c>
      <c r="Q1210" s="45" t="n"/>
      <c r="R1210" s="45" t="n"/>
      <c r="S1210" s="51">
        <f>IF(L1210="","",IF(COUNTIF(L$6:L1210,L1210)&gt;1,"",SUMIF(L$6:L$2000,L1210,M$6:M$2000)-SUMIF(L$6:L$2000,L1210,G$6:G$2000)))</f>
        <v/>
      </c>
      <c r="T1210" s="46">
        <f>IF(AND(C1210="",G1210=""),"",IF(L1210="","Nog factureren",IF(AND(G1210&lt;&gt;"",OR(K1210="",K1210&gt;TODAY())),"Nog betalen",IF(OR(R1210="",R1210&gt;TODAY()),"Wacht op klant","Afgerond"))))</f>
        <v/>
      </c>
    </row>
    <row r="1211">
      <c r="A1211" s="45" t="n"/>
      <c r="B1211" s="46">
        <f>IF(A1211="","",YEAR(A1211)&amp;" Q"&amp;ROUNDUP(MONTH(A1211)/3,0))</f>
        <v/>
      </c>
      <c r="C1211" s="47" t="n"/>
      <c r="D1211" s="47" t="n"/>
      <c r="E1211" s="47" t="n"/>
      <c r="F1211" s="47" t="n"/>
      <c r="G1211" s="48" t="n"/>
      <c r="H1211" s="49" t="n"/>
      <c r="I1211" s="50">
        <f>IF(G1211="","",ROUND(G1211*H1211,2))</f>
        <v/>
      </c>
      <c r="J1211" s="50">
        <f>IF(G1211="","",G1211+N(I1211))</f>
        <v/>
      </c>
      <c r="K1211" s="45" t="n"/>
      <c r="L1211" s="47" t="n"/>
      <c r="M1211" s="48" t="n"/>
      <c r="N1211" s="49" t="n"/>
      <c r="O1211" s="50">
        <f>IF(M1211="","",ROUND(M1211*N1211,2))</f>
        <v/>
      </c>
      <c r="P1211" s="50">
        <f>IF(M1211="","",M1211+N(O1211))</f>
        <v/>
      </c>
      <c r="Q1211" s="45" t="n"/>
      <c r="R1211" s="45" t="n"/>
      <c r="S1211" s="51">
        <f>IF(L1211="","",IF(COUNTIF(L$6:L1211,L1211)&gt;1,"",SUMIF(L$6:L$2000,L1211,M$6:M$2000)-SUMIF(L$6:L$2000,L1211,G$6:G$2000)))</f>
        <v/>
      </c>
      <c r="T1211" s="46">
        <f>IF(AND(C1211="",G1211=""),"",IF(L1211="","Nog factureren",IF(AND(G1211&lt;&gt;"",OR(K1211="",K1211&gt;TODAY())),"Nog betalen",IF(OR(R1211="",R1211&gt;TODAY()),"Wacht op klant","Afgerond"))))</f>
        <v/>
      </c>
    </row>
    <row r="1212">
      <c r="A1212" s="45" t="n"/>
      <c r="B1212" s="46">
        <f>IF(A1212="","",YEAR(A1212)&amp;" Q"&amp;ROUNDUP(MONTH(A1212)/3,0))</f>
        <v/>
      </c>
      <c r="C1212" s="47" t="n"/>
      <c r="D1212" s="47" t="n"/>
      <c r="E1212" s="47" t="n"/>
      <c r="F1212" s="47" t="n"/>
      <c r="G1212" s="48" t="n"/>
      <c r="H1212" s="49" t="n"/>
      <c r="I1212" s="50">
        <f>IF(G1212="","",ROUND(G1212*H1212,2))</f>
        <v/>
      </c>
      <c r="J1212" s="50">
        <f>IF(G1212="","",G1212+N(I1212))</f>
        <v/>
      </c>
      <c r="K1212" s="45" t="n"/>
      <c r="L1212" s="47" t="n"/>
      <c r="M1212" s="48" t="n"/>
      <c r="N1212" s="49" t="n"/>
      <c r="O1212" s="50">
        <f>IF(M1212="","",ROUND(M1212*N1212,2))</f>
        <v/>
      </c>
      <c r="P1212" s="50">
        <f>IF(M1212="","",M1212+N(O1212))</f>
        <v/>
      </c>
      <c r="Q1212" s="45" t="n"/>
      <c r="R1212" s="45" t="n"/>
      <c r="S1212" s="51">
        <f>IF(L1212="","",IF(COUNTIF(L$6:L1212,L1212)&gt;1,"",SUMIF(L$6:L$2000,L1212,M$6:M$2000)-SUMIF(L$6:L$2000,L1212,G$6:G$2000)))</f>
        <v/>
      </c>
      <c r="T1212" s="46">
        <f>IF(AND(C1212="",G1212=""),"",IF(L1212="","Nog factureren",IF(AND(G1212&lt;&gt;"",OR(K1212="",K1212&gt;TODAY())),"Nog betalen",IF(OR(R1212="",R1212&gt;TODAY()),"Wacht op klant","Afgerond"))))</f>
        <v/>
      </c>
    </row>
    <row r="1213">
      <c r="A1213" s="45" t="n"/>
      <c r="B1213" s="46">
        <f>IF(A1213="","",YEAR(A1213)&amp;" Q"&amp;ROUNDUP(MONTH(A1213)/3,0))</f>
        <v/>
      </c>
      <c r="C1213" s="47" t="n"/>
      <c r="D1213" s="47" t="n"/>
      <c r="E1213" s="47" t="n"/>
      <c r="F1213" s="47" t="n"/>
      <c r="G1213" s="48" t="n"/>
      <c r="H1213" s="49" t="n"/>
      <c r="I1213" s="50">
        <f>IF(G1213="","",ROUND(G1213*H1213,2))</f>
        <v/>
      </c>
      <c r="J1213" s="50">
        <f>IF(G1213="","",G1213+N(I1213))</f>
        <v/>
      </c>
      <c r="K1213" s="45" t="n"/>
      <c r="L1213" s="47" t="n"/>
      <c r="M1213" s="48" t="n"/>
      <c r="N1213" s="49" t="n"/>
      <c r="O1213" s="50">
        <f>IF(M1213="","",ROUND(M1213*N1213,2))</f>
        <v/>
      </c>
      <c r="P1213" s="50">
        <f>IF(M1213="","",M1213+N(O1213))</f>
        <v/>
      </c>
      <c r="Q1213" s="45" t="n"/>
      <c r="R1213" s="45" t="n"/>
      <c r="S1213" s="51">
        <f>IF(L1213="","",IF(COUNTIF(L$6:L1213,L1213)&gt;1,"",SUMIF(L$6:L$2000,L1213,M$6:M$2000)-SUMIF(L$6:L$2000,L1213,G$6:G$2000)))</f>
        <v/>
      </c>
      <c r="T1213" s="46">
        <f>IF(AND(C1213="",G1213=""),"",IF(L1213="","Nog factureren",IF(AND(G1213&lt;&gt;"",OR(K1213="",K1213&gt;TODAY())),"Nog betalen",IF(OR(R1213="",R1213&gt;TODAY()),"Wacht op klant","Afgerond"))))</f>
        <v/>
      </c>
    </row>
    <row r="1214">
      <c r="A1214" s="45" t="n"/>
      <c r="B1214" s="46">
        <f>IF(A1214="","",YEAR(A1214)&amp;" Q"&amp;ROUNDUP(MONTH(A1214)/3,0))</f>
        <v/>
      </c>
      <c r="C1214" s="47" t="n"/>
      <c r="D1214" s="47" t="n"/>
      <c r="E1214" s="47" t="n"/>
      <c r="F1214" s="47" t="n"/>
      <c r="G1214" s="48" t="n"/>
      <c r="H1214" s="49" t="n"/>
      <c r="I1214" s="50">
        <f>IF(G1214="","",ROUND(G1214*H1214,2))</f>
        <v/>
      </c>
      <c r="J1214" s="50">
        <f>IF(G1214="","",G1214+N(I1214))</f>
        <v/>
      </c>
      <c r="K1214" s="45" t="n"/>
      <c r="L1214" s="47" t="n"/>
      <c r="M1214" s="48" t="n"/>
      <c r="N1214" s="49" t="n"/>
      <c r="O1214" s="50">
        <f>IF(M1214="","",ROUND(M1214*N1214,2))</f>
        <v/>
      </c>
      <c r="P1214" s="50">
        <f>IF(M1214="","",M1214+N(O1214))</f>
        <v/>
      </c>
      <c r="Q1214" s="45" t="n"/>
      <c r="R1214" s="45" t="n"/>
      <c r="S1214" s="51">
        <f>IF(L1214="","",IF(COUNTIF(L$6:L1214,L1214)&gt;1,"",SUMIF(L$6:L$2000,L1214,M$6:M$2000)-SUMIF(L$6:L$2000,L1214,G$6:G$2000)))</f>
        <v/>
      </c>
      <c r="T1214" s="46">
        <f>IF(AND(C1214="",G1214=""),"",IF(L1214="","Nog factureren",IF(AND(G1214&lt;&gt;"",OR(K1214="",K1214&gt;TODAY())),"Nog betalen",IF(OR(R1214="",R1214&gt;TODAY()),"Wacht op klant","Afgerond"))))</f>
        <v/>
      </c>
    </row>
    <row r="1215">
      <c r="A1215" s="45" t="n"/>
      <c r="B1215" s="46">
        <f>IF(A1215="","",YEAR(A1215)&amp;" Q"&amp;ROUNDUP(MONTH(A1215)/3,0))</f>
        <v/>
      </c>
      <c r="C1215" s="47" t="n"/>
      <c r="D1215" s="47" t="n"/>
      <c r="E1215" s="47" t="n"/>
      <c r="F1215" s="47" t="n"/>
      <c r="G1215" s="48" t="n"/>
      <c r="H1215" s="49" t="n"/>
      <c r="I1215" s="50">
        <f>IF(G1215="","",ROUND(G1215*H1215,2))</f>
        <v/>
      </c>
      <c r="J1215" s="50">
        <f>IF(G1215="","",G1215+N(I1215))</f>
        <v/>
      </c>
      <c r="K1215" s="45" t="n"/>
      <c r="L1215" s="47" t="n"/>
      <c r="M1215" s="48" t="n"/>
      <c r="N1215" s="49" t="n"/>
      <c r="O1215" s="50">
        <f>IF(M1215="","",ROUND(M1215*N1215,2))</f>
        <v/>
      </c>
      <c r="P1215" s="50">
        <f>IF(M1215="","",M1215+N(O1215))</f>
        <v/>
      </c>
      <c r="Q1215" s="45" t="n"/>
      <c r="R1215" s="45" t="n"/>
      <c r="S1215" s="51">
        <f>IF(L1215="","",IF(COUNTIF(L$6:L1215,L1215)&gt;1,"",SUMIF(L$6:L$2000,L1215,M$6:M$2000)-SUMIF(L$6:L$2000,L1215,G$6:G$2000)))</f>
        <v/>
      </c>
      <c r="T1215" s="46">
        <f>IF(AND(C1215="",G1215=""),"",IF(L1215="","Nog factureren",IF(AND(G1215&lt;&gt;"",OR(K1215="",K1215&gt;TODAY())),"Nog betalen",IF(OR(R1215="",R1215&gt;TODAY()),"Wacht op klant","Afgerond"))))</f>
        <v/>
      </c>
    </row>
    <row r="1216">
      <c r="A1216" s="45" t="n"/>
      <c r="B1216" s="46">
        <f>IF(A1216="","",YEAR(A1216)&amp;" Q"&amp;ROUNDUP(MONTH(A1216)/3,0))</f>
        <v/>
      </c>
      <c r="C1216" s="47" t="n"/>
      <c r="D1216" s="47" t="n"/>
      <c r="E1216" s="47" t="n"/>
      <c r="F1216" s="47" t="n"/>
      <c r="G1216" s="48" t="n"/>
      <c r="H1216" s="49" t="n"/>
      <c r="I1216" s="50">
        <f>IF(G1216="","",ROUND(G1216*H1216,2))</f>
        <v/>
      </c>
      <c r="J1216" s="50">
        <f>IF(G1216="","",G1216+N(I1216))</f>
        <v/>
      </c>
      <c r="K1216" s="45" t="n"/>
      <c r="L1216" s="47" t="n"/>
      <c r="M1216" s="48" t="n"/>
      <c r="N1216" s="49" t="n"/>
      <c r="O1216" s="50">
        <f>IF(M1216="","",ROUND(M1216*N1216,2))</f>
        <v/>
      </c>
      <c r="P1216" s="50">
        <f>IF(M1216="","",M1216+N(O1216))</f>
        <v/>
      </c>
      <c r="Q1216" s="45" t="n"/>
      <c r="R1216" s="45" t="n"/>
      <c r="S1216" s="51">
        <f>IF(L1216="","",IF(COUNTIF(L$6:L1216,L1216)&gt;1,"",SUMIF(L$6:L$2000,L1216,M$6:M$2000)-SUMIF(L$6:L$2000,L1216,G$6:G$2000)))</f>
        <v/>
      </c>
      <c r="T1216" s="46">
        <f>IF(AND(C1216="",G1216=""),"",IF(L1216="","Nog factureren",IF(AND(G1216&lt;&gt;"",OR(K1216="",K1216&gt;TODAY())),"Nog betalen",IF(OR(R1216="",R1216&gt;TODAY()),"Wacht op klant","Afgerond"))))</f>
        <v/>
      </c>
    </row>
    <row r="1217">
      <c r="A1217" s="45" t="n"/>
      <c r="B1217" s="46">
        <f>IF(A1217="","",YEAR(A1217)&amp;" Q"&amp;ROUNDUP(MONTH(A1217)/3,0))</f>
        <v/>
      </c>
      <c r="C1217" s="47" t="n"/>
      <c r="D1217" s="47" t="n"/>
      <c r="E1217" s="47" t="n"/>
      <c r="F1217" s="47" t="n"/>
      <c r="G1217" s="48" t="n"/>
      <c r="H1217" s="49" t="n"/>
      <c r="I1217" s="50">
        <f>IF(G1217="","",ROUND(G1217*H1217,2))</f>
        <v/>
      </c>
      <c r="J1217" s="50">
        <f>IF(G1217="","",G1217+N(I1217))</f>
        <v/>
      </c>
      <c r="K1217" s="45" t="n"/>
      <c r="L1217" s="47" t="n"/>
      <c r="M1217" s="48" t="n"/>
      <c r="N1217" s="49" t="n"/>
      <c r="O1217" s="50">
        <f>IF(M1217="","",ROUND(M1217*N1217,2))</f>
        <v/>
      </c>
      <c r="P1217" s="50">
        <f>IF(M1217="","",M1217+N(O1217))</f>
        <v/>
      </c>
      <c r="Q1217" s="45" t="n"/>
      <c r="R1217" s="45" t="n"/>
      <c r="S1217" s="51">
        <f>IF(L1217="","",IF(COUNTIF(L$6:L1217,L1217)&gt;1,"",SUMIF(L$6:L$2000,L1217,M$6:M$2000)-SUMIF(L$6:L$2000,L1217,G$6:G$2000)))</f>
        <v/>
      </c>
      <c r="T1217" s="46">
        <f>IF(AND(C1217="",G1217=""),"",IF(L1217="","Nog factureren",IF(AND(G1217&lt;&gt;"",OR(K1217="",K1217&gt;TODAY())),"Nog betalen",IF(OR(R1217="",R1217&gt;TODAY()),"Wacht op klant","Afgerond"))))</f>
        <v/>
      </c>
    </row>
    <row r="1218">
      <c r="A1218" s="45" t="n"/>
      <c r="B1218" s="46">
        <f>IF(A1218="","",YEAR(A1218)&amp;" Q"&amp;ROUNDUP(MONTH(A1218)/3,0))</f>
        <v/>
      </c>
      <c r="C1218" s="47" t="n"/>
      <c r="D1218" s="47" t="n"/>
      <c r="E1218" s="47" t="n"/>
      <c r="F1218" s="47" t="n"/>
      <c r="G1218" s="48" t="n"/>
      <c r="H1218" s="49" t="n"/>
      <c r="I1218" s="50">
        <f>IF(G1218="","",ROUND(G1218*H1218,2))</f>
        <v/>
      </c>
      <c r="J1218" s="50">
        <f>IF(G1218="","",G1218+N(I1218))</f>
        <v/>
      </c>
      <c r="K1218" s="45" t="n"/>
      <c r="L1218" s="47" t="n"/>
      <c r="M1218" s="48" t="n"/>
      <c r="N1218" s="49" t="n"/>
      <c r="O1218" s="50">
        <f>IF(M1218="","",ROUND(M1218*N1218,2))</f>
        <v/>
      </c>
      <c r="P1218" s="50">
        <f>IF(M1218="","",M1218+N(O1218))</f>
        <v/>
      </c>
      <c r="Q1218" s="45" t="n"/>
      <c r="R1218" s="45" t="n"/>
      <c r="S1218" s="51">
        <f>IF(L1218="","",IF(COUNTIF(L$6:L1218,L1218)&gt;1,"",SUMIF(L$6:L$2000,L1218,M$6:M$2000)-SUMIF(L$6:L$2000,L1218,G$6:G$2000)))</f>
        <v/>
      </c>
      <c r="T1218" s="46">
        <f>IF(AND(C1218="",G1218=""),"",IF(L1218="","Nog factureren",IF(AND(G1218&lt;&gt;"",OR(K1218="",K1218&gt;TODAY())),"Nog betalen",IF(OR(R1218="",R1218&gt;TODAY()),"Wacht op klant","Afgerond"))))</f>
        <v/>
      </c>
    </row>
    <row r="1219">
      <c r="A1219" s="45" t="n"/>
      <c r="B1219" s="46">
        <f>IF(A1219="","",YEAR(A1219)&amp;" Q"&amp;ROUNDUP(MONTH(A1219)/3,0))</f>
        <v/>
      </c>
      <c r="C1219" s="47" t="n"/>
      <c r="D1219" s="47" t="n"/>
      <c r="E1219" s="47" t="n"/>
      <c r="F1219" s="47" t="n"/>
      <c r="G1219" s="48" t="n"/>
      <c r="H1219" s="49" t="n"/>
      <c r="I1219" s="50">
        <f>IF(G1219="","",ROUND(G1219*H1219,2))</f>
        <v/>
      </c>
      <c r="J1219" s="50">
        <f>IF(G1219="","",G1219+N(I1219))</f>
        <v/>
      </c>
      <c r="K1219" s="45" t="n"/>
      <c r="L1219" s="47" t="n"/>
      <c r="M1219" s="48" t="n"/>
      <c r="N1219" s="49" t="n"/>
      <c r="O1219" s="50">
        <f>IF(M1219="","",ROUND(M1219*N1219,2))</f>
        <v/>
      </c>
      <c r="P1219" s="50">
        <f>IF(M1219="","",M1219+N(O1219))</f>
        <v/>
      </c>
      <c r="Q1219" s="45" t="n"/>
      <c r="R1219" s="45" t="n"/>
      <c r="S1219" s="51">
        <f>IF(L1219="","",IF(COUNTIF(L$6:L1219,L1219)&gt;1,"",SUMIF(L$6:L$2000,L1219,M$6:M$2000)-SUMIF(L$6:L$2000,L1219,G$6:G$2000)))</f>
        <v/>
      </c>
      <c r="T1219" s="46">
        <f>IF(AND(C1219="",G1219=""),"",IF(L1219="","Nog factureren",IF(AND(G1219&lt;&gt;"",OR(K1219="",K1219&gt;TODAY())),"Nog betalen",IF(OR(R1219="",R1219&gt;TODAY()),"Wacht op klant","Afgerond"))))</f>
        <v/>
      </c>
    </row>
    <row r="1220">
      <c r="A1220" s="45" t="n"/>
      <c r="B1220" s="46">
        <f>IF(A1220="","",YEAR(A1220)&amp;" Q"&amp;ROUNDUP(MONTH(A1220)/3,0))</f>
        <v/>
      </c>
      <c r="C1220" s="47" t="n"/>
      <c r="D1220" s="47" t="n"/>
      <c r="E1220" s="47" t="n"/>
      <c r="F1220" s="47" t="n"/>
      <c r="G1220" s="48" t="n"/>
      <c r="H1220" s="49" t="n"/>
      <c r="I1220" s="50">
        <f>IF(G1220="","",ROUND(G1220*H1220,2))</f>
        <v/>
      </c>
      <c r="J1220" s="50">
        <f>IF(G1220="","",G1220+N(I1220))</f>
        <v/>
      </c>
      <c r="K1220" s="45" t="n"/>
      <c r="L1220" s="47" t="n"/>
      <c r="M1220" s="48" t="n"/>
      <c r="N1220" s="49" t="n"/>
      <c r="O1220" s="50">
        <f>IF(M1220="","",ROUND(M1220*N1220,2))</f>
        <v/>
      </c>
      <c r="P1220" s="50">
        <f>IF(M1220="","",M1220+N(O1220))</f>
        <v/>
      </c>
      <c r="Q1220" s="45" t="n"/>
      <c r="R1220" s="45" t="n"/>
      <c r="S1220" s="51">
        <f>IF(L1220="","",IF(COUNTIF(L$6:L1220,L1220)&gt;1,"",SUMIF(L$6:L$2000,L1220,M$6:M$2000)-SUMIF(L$6:L$2000,L1220,G$6:G$2000)))</f>
        <v/>
      </c>
      <c r="T1220" s="46">
        <f>IF(AND(C1220="",G1220=""),"",IF(L1220="","Nog factureren",IF(AND(G1220&lt;&gt;"",OR(K1220="",K1220&gt;TODAY())),"Nog betalen",IF(OR(R1220="",R1220&gt;TODAY()),"Wacht op klant","Afgerond"))))</f>
        <v/>
      </c>
    </row>
    <row r="1221">
      <c r="A1221" s="45" t="n"/>
      <c r="B1221" s="46">
        <f>IF(A1221="","",YEAR(A1221)&amp;" Q"&amp;ROUNDUP(MONTH(A1221)/3,0))</f>
        <v/>
      </c>
      <c r="C1221" s="47" t="n"/>
      <c r="D1221" s="47" t="n"/>
      <c r="E1221" s="47" t="n"/>
      <c r="F1221" s="47" t="n"/>
      <c r="G1221" s="48" t="n"/>
      <c r="H1221" s="49" t="n"/>
      <c r="I1221" s="50">
        <f>IF(G1221="","",ROUND(G1221*H1221,2))</f>
        <v/>
      </c>
      <c r="J1221" s="50">
        <f>IF(G1221="","",G1221+N(I1221))</f>
        <v/>
      </c>
      <c r="K1221" s="45" t="n"/>
      <c r="L1221" s="47" t="n"/>
      <c r="M1221" s="48" t="n"/>
      <c r="N1221" s="49" t="n"/>
      <c r="O1221" s="50">
        <f>IF(M1221="","",ROUND(M1221*N1221,2))</f>
        <v/>
      </c>
      <c r="P1221" s="50">
        <f>IF(M1221="","",M1221+N(O1221))</f>
        <v/>
      </c>
      <c r="Q1221" s="45" t="n"/>
      <c r="R1221" s="45" t="n"/>
      <c r="S1221" s="51">
        <f>IF(L1221="","",IF(COUNTIF(L$6:L1221,L1221)&gt;1,"",SUMIF(L$6:L$2000,L1221,M$6:M$2000)-SUMIF(L$6:L$2000,L1221,G$6:G$2000)))</f>
        <v/>
      </c>
      <c r="T1221" s="46">
        <f>IF(AND(C1221="",G1221=""),"",IF(L1221="","Nog factureren",IF(AND(G1221&lt;&gt;"",OR(K1221="",K1221&gt;TODAY())),"Nog betalen",IF(OR(R1221="",R1221&gt;TODAY()),"Wacht op klant","Afgerond"))))</f>
        <v/>
      </c>
    </row>
    <row r="1222">
      <c r="A1222" s="45" t="n"/>
      <c r="B1222" s="46">
        <f>IF(A1222="","",YEAR(A1222)&amp;" Q"&amp;ROUNDUP(MONTH(A1222)/3,0))</f>
        <v/>
      </c>
      <c r="C1222" s="47" t="n"/>
      <c r="D1222" s="47" t="n"/>
      <c r="E1222" s="47" t="n"/>
      <c r="F1222" s="47" t="n"/>
      <c r="G1222" s="48" t="n"/>
      <c r="H1222" s="49" t="n"/>
      <c r="I1222" s="50">
        <f>IF(G1222="","",ROUND(G1222*H1222,2))</f>
        <v/>
      </c>
      <c r="J1222" s="50">
        <f>IF(G1222="","",G1222+N(I1222))</f>
        <v/>
      </c>
      <c r="K1222" s="45" t="n"/>
      <c r="L1222" s="47" t="n"/>
      <c r="M1222" s="48" t="n"/>
      <c r="N1222" s="49" t="n"/>
      <c r="O1222" s="50">
        <f>IF(M1222="","",ROUND(M1222*N1222,2))</f>
        <v/>
      </c>
      <c r="P1222" s="50">
        <f>IF(M1222="","",M1222+N(O1222))</f>
        <v/>
      </c>
      <c r="Q1222" s="45" t="n"/>
      <c r="R1222" s="45" t="n"/>
      <c r="S1222" s="51">
        <f>IF(L1222="","",IF(COUNTIF(L$6:L1222,L1222)&gt;1,"",SUMIF(L$6:L$2000,L1222,M$6:M$2000)-SUMIF(L$6:L$2000,L1222,G$6:G$2000)))</f>
        <v/>
      </c>
      <c r="T1222" s="46">
        <f>IF(AND(C1222="",G1222=""),"",IF(L1222="","Nog factureren",IF(AND(G1222&lt;&gt;"",OR(K1222="",K1222&gt;TODAY())),"Nog betalen",IF(OR(R1222="",R1222&gt;TODAY()),"Wacht op klant","Afgerond"))))</f>
        <v/>
      </c>
    </row>
    <row r="1223">
      <c r="A1223" s="45" t="n"/>
      <c r="B1223" s="46">
        <f>IF(A1223="","",YEAR(A1223)&amp;" Q"&amp;ROUNDUP(MONTH(A1223)/3,0))</f>
        <v/>
      </c>
      <c r="C1223" s="47" t="n"/>
      <c r="D1223" s="47" t="n"/>
      <c r="E1223" s="47" t="n"/>
      <c r="F1223" s="47" t="n"/>
      <c r="G1223" s="48" t="n"/>
      <c r="H1223" s="49" t="n"/>
      <c r="I1223" s="50">
        <f>IF(G1223="","",ROUND(G1223*H1223,2))</f>
        <v/>
      </c>
      <c r="J1223" s="50">
        <f>IF(G1223="","",G1223+N(I1223))</f>
        <v/>
      </c>
      <c r="K1223" s="45" t="n"/>
      <c r="L1223" s="47" t="n"/>
      <c r="M1223" s="48" t="n"/>
      <c r="N1223" s="49" t="n"/>
      <c r="O1223" s="50">
        <f>IF(M1223="","",ROUND(M1223*N1223,2))</f>
        <v/>
      </c>
      <c r="P1223" s="50">
        <f>IF(M1223="","",M1223+N(O1223))</f>
        <v/>
      </c>
      <c r="Q1223" s="45" t="n"/>
      <c r="R1223" s="45" t="n"/>
      <c r="S1223" s="51">
        <f>IF(L1223="","",IF(COUNTIF(L$6:L1223,L1223)&gt;1,"",SUMIF(L$6:L$2000,L1223,M$6:M$2000)-SUMIF(L$6:L$2000,L1223,G$6:G$2000)))</f>
        <v/>
      </c>
      <c r="T1223" s="46">
        <f>IF(AND(C1223="",G1223=""),"",IF(L1223="","Nog factureren",IF(AND(G1223&lt;&gt;"",OR(K1223="",K1223&gt;TODAY())),"Nog betalen",IF(OR(R1223="",R1223&gt;TODAY()),"Wacht op klant","Afgerond"))))</f>
        <v/>
      </c>
    </row>
    <row r="1224">
      <c r="A1224" s="45" t="n"/>
      <c r="B1224" s="46">
        <f>IF(A1224="","",YEAR(A1224)&amp;" Q"&amp;ROUNDUP(MONTH(A1224)/3,0))</f>
        <v/>
      </c>
      <c r="C1224" s="47" t="n"/>
      <c r="D1224" s="47" t="n"/>
      <c r="E1224" s="47" t="n"/>
      <c r="F1224" s="47" t="n"/>
      <c r="G1224" s="48" t="n"/>
      <c r="H1224" s="49" t="n"/>
      <c r="I1224" s="50">
        <f>IF(G1224="","",ROUND(G1224*H1224,2))</f>
        <v/>
      </c>
      <c r="J1224" s="50">
        <f>IF(G1224="","",G1224+N(I1224))</f>
        <v/>
      </c>
      <c r="K1224" s="45" t="n"/>
      <c r="L1224" s="47" t="n"/>
      <c r="M1224" s="48" t="n"/>
      <c r="N1224" s="49" t="n"/>
      <c r="O1224" s="50">
        <f>IF(M1224="","",ROUND(M1224*N1224,2))</f>
        <v/>
      </c>
      <c r="P1224" s="50">
        <f>IF(M1224="","",M1224+N(O1224))</f>
        <v/>
      </c>
      <c r="Q1224" s="45" t="n"/>
      <c r="R1224" s="45" t="n"/>
      <c r="S1224" s="51">
        <f>IF(L1224="","",IF(COUNTIF(L$6:L1224,L1224)&gt;1,"",SUMIF(L$6:L$2000,L1224,M$6:M$2000)-SUMIF(L$6:L$2000,L1224,G$6:G$2000)))</f>
        <v/>
      </c>
      <c r="T1224" s="46">
        <f>IF(AND(C1224="",G1224=""),"",IF(L1224="","Nog factureren",IF(AND(G1224&lt;&gt;"",OR(K1224="",K1224&gt;TODAY())),"Nog betalen",IF(OR(R1224="",R1224&gt;TODAY()),"Wacht op klant","Afgerond"))))</f>
        <v/>
      </c>
    </row>
    <row r="1225">
      <c r="A1225" s="45" t="n"/>
      <c r="B1225" s="46">
        <f>IF(A1225="","",YEAR(A1225)&amp;" Q"&amp;ROUNDUP(MONTH(A1225)/3,0))</f>
        <v/>
      </c>
      <c r="C1225" s="47" t="n"/>
      <c r="D1225" s="47" t="n"/>
      <c r="E1225" s="47" t="n"/>
      <c r="F1225" s="47" t="n"/>
      <c r="G1225" s="48" t="n"/>
      <c r="H1225" s="49" t="n"/>
      <c r="I1225" s="50">
        <f>IF(G1225="","",ROUND(G1225*H1225,2))</f>
        <v/>
      </c>
      <c r="J1225" s="50">
        <f>IF(G1225="","",G1225+N(I1225))</f>
        <v/>
      </c>
      <c r="K1225" s="45" t="n"/>
      <c r="L1225" s="47" t="n"/>
      <c r="M1225" s="48" t="n"/>
      <c r="N1225" s="49" t="n"/>
      <c r="O1225" s="50">
        <f>IF(M1225="","",ROUND(M1225*N1225,2))</f>
        <v/>
      </c>
      <c r="P1225" s="50">
        <f>IF(M1225="","",M1225+N(O1225))</f>
        <v/>
      </c>
      <c r="Q1225" s="45" t="n"/>
      <c r="R1225" s="45" t="n"/>
      <c r="S1225" s="51">
        <f>IF(L1225="","",IF(COUNTIF(L$6:L1225,L1225)&gt;1,"",SUMIF(L$6:L$2000,L1225,M$6:M$2000)-SUMIF(L$6:L$2000,L1225,G$6:G$2000)))</f>
        <v/>
      </c>
      <c r="T1225" s="46">
        <f>IF(AND(C1225="",G1225=""),"",IF(L1225="","Nog factureren",IF(AND(G1225&lt;&gt;"",OR(K1225="",K1225&gt;TODAY())),"Nog betalen",IF(OR(R1225="",R1225&gt;TODAY()),"Wacht op klant","Afgerond"))))</f>
        <v/>
      </c>
    </row>
    <row r="1226">
      <c r="A1226" s="45" t="n"/>
      <c r="B1226" s="46">
        <f>IF(A1226="","",YEAR(A1226)&amp;" Q"&amp;ROUNDUP(MONTH(A1226)/3,0))</f>
        <v/>
      </c>
      <c r="C1226" s="47" t="n"/>
      <c r="D1226" s="47" t="n"/>
      <c r="E1226" s="47" t="n"/>
      <c r="F1226" s="47" t="n"/>
      <c r="G1226" s="48" t="n"/>
      <c r="H1226" s="49" t="n"/>
      <c r="I1226" s="50">
        <f>IF(G1226="","",ROUND(G1226*H1226,2))</f>
        <v/>
      </c>
      <c r="J1226" s="50">
        <f>IF(G1226="","",G1226+N(I1226))</f>
        <v/>
      </c>
      <c r="K1226" s="45" t="n"/>
      <c r="L1226" s="47" t="n"/>
      <c r="M1226" s="48" t="n"/>
      <c r="N1226" s="49" t="n"/>
      <c r="O1226" s="50">
        <f>IF(M1226="","",ROUND(M1226*N1226,2))</f>
        <v/>
      </c>
      <c r="P1226" s="50">
        <f>IF(M1226="","",M1226+N(O1226))</f>
        <v/>
      </c>
      <c r="Q1226" s="45" t="n"/>
      <c r="R1226" s="45" t="n"/>
      <c r="S1226" s="51">
        <f>IF(L1226="","",IF(COUNTIF(L$6:L1226,L1226)&gt;1,"",SUMIF(L$6:L$2000,L1226,M$6:M$2000)-SUMIF(L$6:L$2000,L1226,G$6:G$2000)))</f>
        <v/>
      </c>
      <c r="T1226" s="46">
        <f>IF(AND(C1226="",G1226=""),"",IF(L1226="","Nog factureren",IF(AND(G1226&lt;&gt;"",OR(K1226="",K1226&gt;TODAY())),"Nog betalen",IF(OR(R1226="",R1226&gt;TODAY()),"Wacht op klant","Afgerond"))))</f>
        <v/>
      </c>
    </row>
    <row r="1227">
      <c r="A1227" s="45" t="n"/>
      <c r="B1227" s="46">
        <f>IF(A1227="","",YEAR(A1227)&amp;" Q"&amp;ROUNDUP(MONTH(A1227)/3,0))</f>
        <v/>
      </c>
      <c r="C1227" s="47" t="n"/>
      <c r="D1227" s="47" t="n"/>
      <c r="E1227" s="47" t="n"/>
      <c r="F1227" s="47" t="n"/>
      <c r="G1227" s="48" t="n"/>
      <c r="H1227" s="49" t="n"/>
      <c r="I1227" s="50">
        <f>IF(G1227="","",ROUND(G1227*H1227,2))</f>
        <v/>
      </c>
      <c r="J1227" s="50">
        <f>IF(G1227="","",G1227+N(I1227))</f>
        <v/>
      </c>
      <c r="K1227" s="45" t="n"/>
      <c r="L1227" s="47" t="n"/>
      <c r="M1227" s="48" t="n"/>
      <c r="N1227" s="49" t="n"/>
      <c r="O1227" s="50">
        <f>IF(M1227="","",ROUND(M1227*N1227,2))</f>
        <v/>
      </c>
      <c r="P1227" s="50">
        <f>IF(M1227="","",M1227+N(O1227))</f>
        <v/>
      </c>
      <c r="Q1227" s="45" t="n"/>
      <c r="R1227" s="45" t="n"/>
      <c r="S1227" s="51">
        <f>IF(L1227="","",IF(COUNTIF(L$6:L1227,L1227)&gt;1,"",SUMIF(L$6:L$2000,L1227,M$6:M$2000)-SUMIF(L$6:L$2000,L1227,G$6:G$2000)))</f>
        <v/>
      </c>
      <c r="T1227" s="46">
        <f>IF(AND(C1227="",G1227=""),"",IF(L1227="","Nog factureren",IF(AND(G1227&lt;&gt;"",OR(K1227="",K1227&gt;TODAY())),"Nog betalen",IF(OR(R1227="",R1227&gt;TODAY()),"Wacht op klant","Afgerond"))))</f>
        <v/>
      </c>
    </row>
    <row r="1228">
      <c r="A1228" s="45" t="n"/>
      <c r="B1228" s="46">
        <f>IF(A1228="","",YEAR(A1228)&amp;" Q"&amp;ROUNDUP(MONTH(A1228)/3,0))</f>
        <v/>
      </c>
      <c r="C1228" s="47" t="n"/>
      <c r="D1228" s="47" t="n"/>
      <c r="E1228" s="47" t="n"/>
      <c r="F1228" s="47" t="n"/>
      <c r="G1228" s="48" t="n"/>
      <c r="H1228" s="49" t="n"/>
      <c r="I1228" s="50">
        <f>IF(G1228="","",ROUND(G1228*H1228,2))</f>
        <v/>
      </c>
      <c r="J1228" s="50">
        <f>IF(G1228="","",G1228+N(I1228))</f>
        <v/>
      </c>
      <c r="K1228" s="45" t="n"/>
      <c r="L1228" s="47" t="n"/>
      <c r="M1228" s="48" t="n"/>
      <c r="N1228" s="49" t="n"/>
      <c r="O1228" s="50">
        <f>IF(M1228="","",ROUND(M1228*N1228,2))</f>
        <v/>
      </c>
      <c r="P1228" s="50">
        <f>IF(M1228="","",M1228+N(O1228))</f>
        <v/>
      </c>
      <c r="Q1228" s="45" t="n"/>
      <c r="R1228" s="45" t="n"/>
      <c r="S1228" s="51">
        <f>IF(L1228="","",IF(COUNTIF(L$6:L1228,L1228)&gt;1,"",SUMIF(L$6:L$2000,L1228,M$6:M$2000)-SUMIF(L$6:L$2000,L1228,G$6:G$2000)))</f>
        <v/>
      </c>
      <c r="T1228" s="46">
        <f>IF(AND(C1228="",G1228=""),"",IF(L1228="","Nog factureren",IF(AND(G1228&lt;&gt;"",OR(K1228="",K1228&gt;TODAY())),"Nog betalen",IF(OR(R1228="",R1228&gt;TODAY()),"Wacht op klant","Afgerond"))))</f>
        <v/>
      </c>
    </row>
    <row r="1229">
      <c r="A1229" s="45" t="n"/>
      <c r="B1229" s="46">
        <f>IF(A1229="","",YEAR(A1229)&amp;" Q"&amp;ROUNDUP(MONTH(A1229)/3,0))</f>
        <v/>
      </c>
      <c r="C1229" s="47" t="n"/>
      <c r="D1229" s="47" t="n"/>
      <c r="E1229" s="47" t="n"/>
      <c r="F1229" s="47" t="n"/>
      <c r="G1229" s="48" t="n"/>
      <c r="H1229" s="49" t="n"/>
      <c r="I1229" s="50">
        <f>IF(G1229="","",ROUND(G1229*H1229,2))</f>
        <v/>
      </c>
      <c r="J1229" s="50">
        <f>IF(G1229="","",G1229+N(I1229))</f>
        <v/>
      </c>
      <c r="K1229" s="45" t="n"/>
      <c r="L1229" s="47" t="n"/>
      <c r="M1229" s="48" t="n"/>
      <c r="N1229" s="49" t="n"/>
      <c r="O1229" s="50">
        <f>IF(M1229="","",ROUND(M1229*N1229,2))</f>
        <v/>
      </c>
      <c r="P1229" s="50">
        <f>IF(M1229="","",M1229+N(O1229))</f>
        <v/>
      </c>
      <c r="Q1229" s="45" t="n"/>
      <c r="R1229" s="45" t="n"/>
      <c r="S1229" s="51">
        <f>IF(L1229="","",IF(COUNTIF(L$6:L1229,L1229)&gt;1,"",SUMIF(L$6:L$2000,L1229,M$6:M$2000)-SUMIF(L$6:L$2000,L1229,G$6:G$2000)))</f>
        <v/>
      </c>
      <c r="T1229" s="46">
        <f>IF(AND(C1229="",G1229=""),"",IF(L1229="","Nog factureren",IF(AND(G1229&lt;&gt;"",OR(K1229="",K1229&gt;TODAY())),"Nog betalen",IF(OR(R1229="",R1229&gt;TODAY()),"Wacht op klant","Afgerond"))))</f>
        <v/>
      </c>
    </row>
    <row r="1230">
      <c r="A1230" s="45" t="n"/>
      <c r="B1230" s="46">
        <f>IF(A1230="","",YEAR(A1230)&amp;" Q"&amp;ROUNDUP(MONTH(A1230)/3,0))</f>
        <v/>
      </c>
      <c r="C1230" s="47" t="n"/>
      <c r="D1230" s="47" t="n"/>
      <c r="E1230" s="47" t="n"/>
      <c r="F1230" s="47" t="n"/>
      <c r="G1230" s="48" t="n"/>
      <c r="H1230" s="49" t="n"/>
      <c r="I1230" s="50">
        <f>IF(G1230="","",ROUND(G1230*H1230,2))</f>
        <v/>
      </c>
      <c r="J1230" s="50">
        <f>IF(G1230="","",G1230+N(I1230))</f>
        <v/>
      </c>
      <c r="K1230" s="45" t="n"/>
      <c r="L1230" s="47" t="n"/>
      <c r="M1230" s="48" t="n"/>
      <c r="N1230" s="49" t="n"/>
      <c r="O1230" s="50">
        <f>IF(M1230="","",ROUND(M1230*N1230,2))</f>
        <v/>
      </c>
      <c r="P1230" s="50">
        <f>IF(M1230="","",M1230+N(O1230))</f>
        <v/>
      </c>
      <c r="Q1230" s="45" t="n"/>
      <c r="R1230" s="45" t="n"/>
      <c r="S1230" s="51">
        <f>IF(L1230="","",IF(COUNTIF(L$6:L1230,L1230)&gt;1,"",SUMIF(L$6:L$2000,L1230,M$6:M$2000)-SUMIF(L$6:L$2000,L1230,G$6:G$2000)))</f>
        <v/>
      </c>
      <c r="T1230" s="46">
        <f>IF(AND(C1230="",G1230=""),"",IF(L1230="","Nog factureren",IF(AND(G1230&lt;&gt;"",OR(K1230="",K1230&gt;TODAY())),"Nog betalen",IF(OR(R1230="",R1230&gt;TODAY()),"Wacht op klant","Afgerond"))))</f>
        <v/>
      </c>
    </row>
    <row r="1231">
      <c r="A1231" s="45" t="n"/>
      <c r="B1231" s="46">
        <f>IF(A1231="","",YEAR(A1231)&amp;" Q"&amp;ROUNDUP(MONTH(A1231)/3,0))</f>
        <v/>
      </c>
      <c r="C1231" s="47" t="n"/>
      <c r="D1231" s="47" t="n"/>
      <c r="E1231" s="47" t="n"/>
      <c r="F1231" s="47" t="n"/>
      <c r="G1231" s="48" t="n"/>
      <c r="H1231" s="49" t="n"/>
      <c r="I1231" s="50">
        <f>IF(G1231="","",ROUND(G1231*H1231,2))</f>
        <v/>
      </c>
      <c r="J1231" s="50">
        <f>IF(G1231="","",G1231+N(I1231))</f>
        <v/>
      </c>
      <c r="K1231" s="45" t="n"/>
      <c r="L1231" s="47" t="n"/>
      <c r="M1231" s="48" t="n"/>
      <c r="N1231" s="49" t="n"/>
      <c r="O1231" s="50">
        <f>IF(M1231="","",ROUND(M1231*N1231,2))</f>
        <v/>
      </c>
      <c r="P1231" s="50">
        <f>IF(M1231="","",M1231+N(O1231))</f>
        <v/>
      </c>
      <c r="Q1231" s="45" t="n"/>
      <c r="R1231" s="45" t="n"/>
      <c r="S1231" s="51">
        <f>IF(L1231="","",IF(COUNTIF(L$6:L1231,L1231)&gt;1,"",SUMIF(L$6:L$2000,L1231,M$6:M$2000)-SUMIF(L$6:L$2000,L1231,G$6:G$2000)))</f>
        <v/>
      </c>
      <c r="T1231" s="46">
        <f>IF(AND(C1231="",G1231=""),"",IF(L1231="","Nog factureren",IF(AND(G1231&lt;&gt;"",OR(K1231="",K1231&gt;TODAY())),"Nog betalen",IF(OR(R1231="",R1231&gt;TODAY()),"Wacht op klant","Afgerond"))))</f>
        <v/>
      </c>
    </row>
    <row r="1232">
      <c r="A1232" s="45" t="n"/>
      <c r="B1232" s="46">
        <f>IF(A1232="","",YEAR(A1232)&amp;" Q"&amp;ROUNDUP(MONTH(A1232)/3,0))</f>
        <v/>
      </c>
      <c r="C1232" s="47" t="n"/>
      <c r="D1232" s="47" t="n"/>
      <c r="E1232" s="47" t="n"/>
      <c r="F1232" s="47" t="n"/>
      <c r="G1232" s="48" t="n"/>
      <c r="H1232" s="49" t="n"/>
      <c r="I1232" s="50">
        <f>IF(G1232="","",ROUND(G1232*H1232,2))</f>
        <v/>
      </c>
      <c r="J1232" s="50">
        <f>IF(G1232="","",G1232+N(I1232))</f>
        <v/>
      </c>
      <c r="K1232" s="45" t="n"/>
      <c r="L1232" s="47" t="n"/>
      <c r="M1232" s="48" t="n"/>
      <c r="N1232" s="49" t="n"/>
      <c r="O1232" s="50">
        <f>IF(M1232="","",ROUND(M1232*N1232,2))</f>
        <v/>
      </c>
      <c r="P1232" s="50">
        <f>IF(M1232="","",M1232+N(O1232))</f>
        <v/>
      </c>
      <c r="Q1232" s="45" t="n"/>
      <c r="R1232" s="45" t="n"/>
      <c r="S1232" s="51">
        <f>IF(L1232="","",IF(COUNTIF(L$6:L1232,L1232)&gt;1,"",SUMIF(L$6:L$2000,L1232,M$6:M$2000)-SUMIF(L$6:L$2000,L1232,G$6:G$2000)))</f>
        <v/>
      </c>
      <c r="T1232" s="46">
        <f>IF(AND(C1232="",G1232=""),"",IF(L1232="","Nog factureren",IF(AND(G1232&lt;&gt;"",OR(K1232="",K1232&gt;TODAY())),"Nog betalen",IF(OR(R1232="",R1232&gt;TODAY()),"Wacht op klant","Afgerond"))))</f>
        <v/>
      </c>
    </row>
    <row r="1233">
      <c r="A1233" s="45" t="n"/>
      <c r="B1233" s="46">
        <f>IF(A1233="","",YEAR(A1233)&amp;" Q"&amp;ROUNDUP(MONTH(A1233)/3,0))</f>
        <v/>
      </c>
      <c r="C1233" s="47" t="n"/>
      <c r="D1233" s="47" t="n"/>
      <c r="E1233" s="47" t="n"/>
      <c r="F1233" s="47" t="n"/>
      <c r="G1233" s="48" t="n"/>
      <c r="H1233" s="49" t="n"/>
      <c r="I1233" s="50">
        <f>IF(G1233="","",ROUND(G1233*H1233,2))</f>
        <v/>
      </c>
      <c r="J1233" s="50">
        <f>IF(G1233="","",G1233+N(I1233))</f>
        <v/>
      </c>
      <c r="K1233" s="45" t="n"/>
      <c r="L1233" s="47" t="n"/>
      <c r="M1233" s="48" t="n"/>
      <c r="N1233" s="49" t="n"/>
      <c r="O1233" s="50">
        <f>IF(M1233="","",ROUND(M1233*N1233,2))</f>
        <v/>
      </c>
      <c r="P1233" s="50">
        <f>IF(M1233="","",M1233+N(O1233))</f>
        <v/>
      </c>
      <c r="Q1233" s="45" t="n"/>
      <c r="R1233" s="45" t="n"/>
      <c r="S1233" s="51">
        <f>IF(L1233="","",IF(COUNTIF(L$6:L1233,L1233)&gt;1,"",SUMIF(L$6:L$2000,L1233,M$6:M$2000)-SUMIF(L$6:L$2000,L1233,G$6:G$2000)))</f>
        <v/>
      </c>
      <c r="T1233" s="46">
        <f>IF(AND(C1233="",G1233=""),"",IF(L1233="","Nog factureren",IF(AND(G1233&lt;&gt;"",OR(K1233="",K1233&gt;TODAY())),"Nog betalen",IF(OR(R1233="",R1233&gt;TODAY()),"Wacht op klant","Afgerond"))))</f>
        <v/>
      </c>
    </row>
    <row r="1234">
      <c r="A1234" s="45" t="n"/>
      <c r="B1234" s="46">
        <f>IF(A1234="","",YEAR(A1234)&amp;" Q"&amp;ROUNDUP(MONTH(A1234)/3,0))</f>
        <v/>
      </c>
      <c r="C1234" s="47" t="n"/>
      <c r="D1234" s="47" t="n"/>
      <c r="E1234" s="47" t="n"/>
      <c r="F1234" s="47" t="n"/>
      <c r="G1234" s="48" t="n"/>
      <c r="H1234" s="49" t="n"/>
      <c r="I1234" s="50">
        <f>IF(G1234="","",ROUND(G1234*H1234,2))</f>
        <v/>
      </c>
      <c r="J1234" s="50">
        <f>IF(G1234="","",G1234+N(I1234))</f>
        <v/>
      </c>
      <c r="K1234" s="45" t="n"/>
      <c r="L1234" s="47" t="n"/>
      <c r="M1234" s="48" t="n"/>
      <c r="N1234" s="49" t="n"/>
      <c r="O1234" s="50">
        <f>IF(M1234="","",ROUND(M1234*N1234,2))</f>
        <v/>
      </c>
      <c r="P1234" s="50">
        <f>IF(M1234="","",M1234+N(O1234))</f>
        <v/>
      </c>
      <c r="Q1234" s="45" t="n"/>
      <c r="R1234" s="45" t="n"/>
      <c r="S1234" s="51">
        <f>IF(L1234="","",IF(COUNTIF(L$6:L1234,L1234)&gt;1,"",SUMIF(L$6:L$2000,L1234,M$6:M$2000)-SUMIF(L$6:L$2000,L1234,G$6:G$2000)))</f>
        <v/>
      </c>
      <c r="T1234" s="46">
        <f>IF(AND(C1234="",G1234=""),"",IF(L1234="","Nog factureren",IF(AND(G1234&lt;&gt;"",OR(K1234="",K1234&gt;TODAY())),"Nog betalen",IF(OR(R1234="",R1234&gt;TODAY()),"Wacht op klant","Afgerond"))))</f>
        <v/>
      </c>
    </row>
    <row r="1235">
      <c r="A1235" s="45" t="n"/>
      <c r="B1235" s="46">
        <f>IF(A1235="","",YEAR(A1235)&amp;" Q"&amp;ROUNDUP(MONTH(A1235)/3,0))</f>
        <v/>
      </c>
      <c r="C1235" s="47" t="n"/>
      <c r="D1235" s="47" t="n"/>
      <c r="E1235" s="47" t="n"/>
      <c r="F1235" s="47" t="n"/>
      <c r="G1235" s="48" t="n"/>
      <c r="H1235" s="49" t="n"/>
      <c r="I1235" s="50">
        <f>IF(G1235="","",ROUND(G1235*H1235,2))</f>
        <v/>
      </c>
      <c r="J1235" s="50">
        <f>IF(G1235="","",G1235+N(I1235))</f>
        <v/>
      </c>
      <c r="K1235" s="45" t="n"/>
      <c r="L1235" s="47" t="n"/>
      <c r="M1235" s="48" t="n"/>
      <c r="N1235" s="49" t="n"/>
      <c r="O1235" s="50">
        <f>IF(M1235="","",ROUND(M1235*N1235,2))</f>
        <v/>
      </c>
      <c r="P1235" s="50">
        <f>IF(M1235="","",M1235+N(O1235))</f>
        <v/>
      </c>
      <c r="Q1235" s="45" t="n"/>
      <c r="R1235" s="45" t="n"/>
      <c r="S1235" s="51">
        <f>IF(L1235="","",IF(COUNTIF(L$6:L1235,L1235)&gt;1,"",SUMIF(L$6:L$2000,L1235,M$6:M$2000)-SUMIF(L$6:L$2000,L1235,G$6:G$2000)))</f>
        <v/>
      </c>
      <c r="T1235" s="46">
        <f>IF(AND(C1235="",G1235=""),"",IF(L1235="","Nog factureren",IF(AND(G1235&lt;&gt;"",OR(K1235="",K1235&gt;TODAY())),"Nog betalen",IF(OR(R1235="",R1235&gt;TODAY()),"Wacht op klant","Afgerond"))))</f>
        <v/>
      </c>
    </row>
    <row r="1236">
      <c r="A1236" s="45" t="n"/>
      <c r="B1236" s="46">
        <f>IF(A1236="","",YEAR(A1236)&amp;" Q"&amp;ROUNDUP(MONTH(A1236)/3,0))</f>
        <v/>
      </c>
      <c r="C1236" s="47" t="n"/>
      <c r="D1236" s="47" t="n"/>
      <c r="E1236" s="47" t="n"/>
      <c r="F1236" s="47" t="n"/>
      <c r="G1236" s="48" t="n"/>
      <c r="H1236" s="49" t="n"/>
      <c r="I1236" s="50">
        <f>IF(G1236="","",ROUND(G1236*H1236,2))</f>
        <v/>
      </c>
      <c r="J1236" s="50">
        <f>IF(G1236="","",G1236+N(I1236))</f>
        <v/>
      </c>
      <c r="K1236" s="45" t="n"/>
      <c r="L1236" s="47" t="n"/>
      <c r="M1236" s="48" t="n"/>
      <c r="N1236" s="49" t="n"/>
      <c r="O1236" s="50">
        <f>IF(M1236="","",ROUND(M1236*N1236,2))</f>
        <v/>
      </c>
      <c r="P1236" s="50">
        <f>IF(M1236="","",M1236+N(O1236))</f>
        <v/>
      </c>
      <c r="Q1236" s="45" t="n"/>
      <c r="R1236" s="45" t="n"/>
      <c r="S1236" s="51">
        <f>IF(L1236="","",IF(COUNTIF(L$6:L1236,L1236)&gt;1,"",SUMIF(L$6:L$2000,L1236,M$6:M$2000)-SUMIF(L$6:L$2000,L1236,G$6:G$2000)))</f>
        <v/>
      </c>
      <c r="T1236" s="46">
        <f>IF(AND(C1236="",G1236=""),"",IF(L1236="","Nog factureren",IF(AND(G1236&lt;&gt;"",OR(K1236="",K1236&gt;TODAY())),"Nog betalen",IF(OR(R1236="",R1236&gt;TODAY()),"Wacht op klant","Afgerond"))))</f>
        <v/>
      </c>
    </row>
    <row r="1237">
      <c r="A1237" s="45" t="n"/>
      <c r="B1237" s="46">
        <f>IF(A1237="","",YEAR(A1237)&amp;" Q"&amp;ROUNDUP(MONTH(A1237)/3,0))</f>
        <v/>
      </c>
      <c r="C1237" s="47" t="n"/>
      <c r="D1237" s="47" t="n"/>
      <c r="E1237" s="47" t="n"/>
      <c r="F1237" s="47" t="n"/>
      <c r="G1237" s="48" t="n"/>
      <c r="H1237" s="49" t="n"/>
      <c r="I1237" s="50">
        <f>IF(G1237="","",ROUND(G1237*H1237,2))</f>
        <v/>
      </c>
      <c r="J1237" s="50">
        <f>IF(G1237="","",G1237+N(I1237))</f>
        <v/>
      </c>
      <c r="K1237" s="45" t="n"/>
      <c r="L1237" s="47" t="n"/>
      <c r="M1237" s="48" t="n"/>
      <c r="N1237" s="49" t="n"/>
      <c r="O1237" s="50">
        <f>IF(M1237="","",ROUND(M1237*N1237,2))</f>
        <v/>
      </c>
      <c r="P1237" s="50">
        <f>IF(M1237="","",M1237+N(O1237))</f>
        <v/>
      </c>
      <c r="Q1237" s="45" t="n"/>
      <c r="R1237" s="45" t="n"/>
      <c r="S1237" s="51">
        <f>IF(L1237="","",IF(COUNTIF(L$6:L1237,L1237)&gt;1,"",SUMIF(L$6:L$2000,L1237,M$6:M$2000)-SUMIF(L$6:L$2000,L1237,G$6:G$2000)))</f>
        <v/>
      </c>
      <c r="T1237" s="46">
        <f>IF(AND(C1237="",G1237=""),"",IF(L1237="","Nog factureren",IF(AND(G1237&lt;&gt;"",OR(K1237="",K1237&gt;TODAY())),"Nog betalen",IF(OR(R1237="",R1237&gt;TODAY()),"Wacht op klant","Afgerond"))))</f>
        <v/>
      </c>
    </row>
    <row r="1238">
      <c r="A1238" s="45" t="n"/>
      <c r="B1238" s="46">
        <f>IF(A1238="","",YEAR(A1238)&amp;" Q"&amp;ROUNDUP(MONTH(A1238)/3,0))</f>
        <v/>
      </c>
      <c r="C1238" s="47" t="n"/>
      <c r="D1238" s="47" t="n"/>
      <c r="E1238" s="47" t="n"/>
      <c r="F1238" s="47" t="n"/>
      <c r="G1238" s="48" t="n"/>
      <c r="H1238" s="49" t="n"/>
      <c r="I1238" s="50">
        <f>IF(G1238="","",ROUND(G1238*H1238,2))</f>
        <v/>
      </c>
      <c r="J1238" s="50">
        <f>IF(G1238="","",G1238+N(I1238))</f>
        <v/>
      </c>
      <c r="K1238" s="45" t="n"/>
      <c r="L1238" s="47" t="n"/>
      <c r="M1238" s="48" t="n"/>
      <c r="N1238" s="49" t="n"/>
      <c r="O1238" s="50">
        <f>IF(M1238="","",ROUND(M1238*N1238,2))</f>
        <v/>
      </c>
      <c r="P1238" s="50">
        <f>IF(M1238="","",M1238+N(O1238))</f>
        <v/>
      </c>
      <c r="Q1238" s="45" t="n"/>
      <c r="R1238" s="45" t="n"/>
      <c r="S1238" s="51">
        <f>IF(L1238="","",IF(COUNTIF(L$6:L1238,L1238)&gt;1,"",SUMIF(L$6:L$2000,L1238,M$6:M$2000)-SUMIF(L$6:L$2000,L1238,G$6:G$2000)))</f>
        <v/>
      </c>
      <c r="T1238" s="46">
        <f>IF(AND(C1238="",G1238=""),"",IF(L1238="","Nog factureren",IF(AND(G1238&lt;&gt;"",OR(K1238="",K1238&gt;TODAY())),"Nog betalen",IF(OR(R1238="",R1238&gt;TODAY()),"Wacht op klant","Afgerond"))))</f>
        <v/>
      </c>
    </row>
    <row r="1239">
      <c r="A1239" s="45" t="n"/>
      <c r="B1239" s="46">
        <f>IF(A1239="","",YEAR(A1239)&amp;" Q"&amp;ROUNDUP(MONTH(A1239)/3,0))</f>
        <v/>
      </c>
      <c r="C1239" s="47" t="n"/>
      <c r="D1239" s="47" t="n"/>
      <c r="E1239" s="47" t="n"/>
      <c r="F1239" s="47" t="n"/>
      <c r="G1239" s="48" t="n"/>
      <c r="H1239" s="49" t="n"/>
      <c r="I1239" s="50">
        <f>IF(G1239="","",ROUND(G1239*H1239,2))</f>
        <v/>
      </c>
      <c r="J1239" s="50">
        <f>IF(G1239="","",G1239+N(I1239))</f>
        <v/>
      </c>
      <c r="K1239" s="45" t="n"/>
      <c r="L1239" s="47" t="n"/>
      <c r="M1239" s="48" t="n"/>
      <c r="N1239" s="49" t="n"/>
      <c r="O1239" s="50">
        <f>IF(M1239="","",ROUND(M1239*N1239,2))</f>
        <v/>
      </c>
      <c r="P1239" s="50">
        <f>IF(M1239="","",M1239+N(O1239))</f>
        <v/>
      </c>
      <c r="Q1239" s="45" t="n"/>
      <c r="R1239" s="45" t="n"/>
      <c r="S1239" s="51">
        <f>IF(L1239="","",IF(COUNTIF(L$6:L1239,L1239)&gt;1,"",SUMIF(L$6:L$2000,L1239,M$6:M$2000)-SUMIF(L$6:L$2000,L1239,G$6:G$2000)))</f>
        <v/>
      </c>
      <c r="T1239" s="46">
        <f>IF(AND(C1239="",G1239=""),"",IF(L1239="","Nog factureren",IF(AND(G1239&lt;&gt;"",OR(K1239="",K1239&gt;TODAY())),"Nog betalen",IF(OR(R1239="",R1239&gt;TODAY()),"Wacht op klant","Afgerond"))))</f>
        <v/>
      </c>
    </row>
    <row r="1240">
      <c r="A1240" s="45" t="n"/>
      <c r="B1240" s="46">
        <f>IF(A1240="","",YEAR(A1240)&amp;" Q"&amp;ROUNDUP(MONTH(A1240)/3,0))</f>
        <v/>
      </c>
      <c r="C1240" s="47" t="n"/>
      <c r="D1240" s="47" t="n"/>
      <c r="E1240" s="47" t="n"/>
      <c r="F1240" s="47" t="n"/>
      <c r="G1240" s="48" t="n"/>
      <c r="H1240" s="49" t="n"/>
      <c r="I1240" s="50">
        <f>IF(G1240="","",ROUND(G1240*H1240,2))</f>
        <v/>
      </c>
      <c r="J1240" s="50">
        <f>IF(G1240="","",G1240+N(I1240))</f>
        <v/>
      </c>
      <c r="K1240" s="45" t="n"/>
      <c r="L1240" s="47" t="n"/>
      <c r="M1240" s="48" t="n"/>
      <c r="N1240" s="49" t="n"/>
      <c r="O1240" s="50">
        <f>IF(M1240="","",ROUND(M1240*N1240,2))</f>
        <v/>
      </c>
      <c r="P1240" s="50">
        <f>IF(M1240="","",M1240+N(O1240))</f>
        <v/>
      </c>
      <c r="Q1240" s="45" t="n"/>
      <c r="R1240" s="45" t="n"/>
      <c r="S1240" s="51">
        <f>IF(L1240="","",IF(COUNTIF(L$6:L1240,L1240)&gt;1,"",SUMIF(L$6:L$2000,L1240,M$6:M$2000)-SUMIF(L$6:L$2000,L1240,G$6:G$2000)))</f>
        <v/>
      </c>
      <c r="T1240" s="46">
        <f>IF(AND(C1240="",G1240=""),"",IF(L1240="","Nog factureren",IF(AND(G1240&lt;&gt;"",OR(K1240="",K1240&gt;TODAY())),"Nog betalen",IF(OR(R1240="",R1240&gt;TODAY()),"Wacht op klant","Afgerond"))))</f>
        <v/>
      </c>
    </row>
    <row r="1241">
      <c r="A1241" s="45" t="n"/>
      <c r="B1241" s="46">
        <f>IF(A1241="","",YEAR(A1241)&amp;" Q"&amp;ROUNDUP(MONTH(A1241)/3,0))</f>
        <v/>
      </c>
      <c r="C1241" s="47" t="n"/>
      <c r="D1241" s="47" t="n"/>
      <c r="E1241" s="47" t="n"/>
      <c r="F1241" s="47" t="n"/>
      <c r="G1241" s="48" t="n"/>
      <c r="H1241" s="49" t="n"/>
      <c r="I1241" s="50">
        <f>IF(G1241="","",ROUND(G1241*H1241,2))</f>
        <v/>
      </c>
      <c r="J1241" s="50">
        <f>IF(G1241="","",G1241+N(I1241))</f>
        <v/>
      </c>
      <c r="K1241" s="45" t="n"/>
      <c r="L1241" s="47" t="n"/>
      <c r="M1241" s="48" t="n"/>
      <c r="N1241" s="49" t="n"/>
      <c r="O1241" s="50">
        <f>IF(M1241="","",ROUND(M1241*N1241,2))</f>
        <v/>
      </c>
      <c r="P1241" s="50">
        <f>IF(M1241="","",M1241+N(O1241))</f>
        <v/>
      </c>
      <c r="Q1241" s="45" t="n"/>
      <c r="R1241" s="45" t="n"/>
      <c r="S1241" s="51">
        <f>IF(L1241="","",IF(COUNTIF(L$6:L1241,L1241)&gt;1,"",SUMIF(L$6:L$2000,L1241,M$6:M$2000)-SUMIF(L$6:L$2000,L1241,G$6:G$2000)))</f>
        <v/>
      </c>
      <c r="T1241" s="46">
        <f>IF(AND(C1241="",G1241=""),"",IF(L1241="","Nog factureren",IF(AND(G1241&lt;&gt;"",OR(K1241="",K1241&gt;TODAY())),"Nog betalen",IF(OR(R1241="",R1241&gt;TODAY()),"Wacht op klant","Afgerond"))))</f>
        <v/>
      </c>
    </row>
    <row r="1242">
      <c r="A1242" s="45" t="n"/>
      <c r="B1242" s="46">
        <f>IF(A1242="","",YEAR(A1242)&amp;" Q"&amp;ROUNDUP(MONTH(A1242)/3,0))</f>
        <v/>
      </c>
      <c r="C1242" s="47" t="n"/>
      <c r="D1242" s="47" t="n"/>
      <c r="E1242" s="47" t="n"/>
      <c r="F1242" s="47" t="n"/>
      <c r="G1242" s="48" t="n"/>
      <c r="H1242" s="49" t="n"/>
      <c r="I1242" s="50">
        <f>IF(G1242="","",ROUND(G1242*H1242,2))</f>
        <v/>
      </c>
      <c r="J1242" s="50">
        <f>IF(G1242="","",G1242+N(I1242))</f>
        <v/>
      </c>
      <c r="K1242" s="45" t="n"/>
      <c r="L1242" s="47" t="n"/>
      <c r="M1242" s="48" t="n"/>
      <c r="N1242" s="49" t="n"/>
      <c r="O1242" s="50">
        <f>IF(M1242="","",ROUND(M1242*N1242,2))</f>
        <v/>
      </c>
      <c r="P1242" s="50">
        <f>IF(M1242="","",M1242+N(O1242))</f>
        <v/>
      </c>
      <c r="Q1242" s="45" t="n"/>
      <c r="R1242" s="45" t="n"/>
      <c r="S1242" s="51">
        <f>IF(L1242="","",IF(COUNTIF(L$6:L1242,L1242)&gt;1,"",SUMIF(L$6:L$2000,L1242,M$6:M$2000)-SUMIF(L$6:L$2000,L1242,G$6:G$2000)))</f>
        <v/>
      </c>
      <c r="T1242" s="46">
        <f>IF(AND(C1242="",G1242=""),"",IF(L1242="","Nog factureren",IF(AND(G1242&lt;&gt;"",OR(K1242="",K1242&gt;TODAY())),"Nog betalen",IF(OR(R1242="",R1242&gt;TODAY()),"Wacht op klant","Afgerond"))))</f>
        <v/>
      </c>
    </row>
    <row r="1243">
      <c r="A1243" s="45" t="n"/>
      <c r="B1243" s="46">
        <f>IF(A1243="","",YEAR(A1243)&amp;" Q"&amp;ROUNDUP(MONTH(A1243)/3,0))</f>
        <v/>
      </c>
      <c r="C1243" s="47" t="n"/>
      <c r="D1243" s="47" t="n"/>
      <c r="E1243" s="47" t="n"/>
      <c r="F1243" s="47" t="n"/>
      <c r="G1243" s="48" t="n"/>
      <c r="H1243" s="49" t="n"/>
      <c r="I1243" s="50">
        <f>IF(G1243="","",ROUND(G1243*H1243,2))</f>
        <v/>
      </c>
      <c r="J1243" s="50">
        <f>IF(G1243="","",G1243+N(I1243))</f>
        <v/>
      </c>
      <c r="K1243" s="45" t="n"/>
      <c r="L1243" s="47" t="n"/>
      <c r="M1243" s="48" t="n"/>
      <c r="N1243" s="49" t="n"/>
      <c r="O1243" s="50">
        <f>IF(M1243="","",ROUND(M1243*N1243,2))</f>
        <v/>
      </c>
      <c r="P1243" s="50">
        <f>IF(M1243="","",M1243+N(O1243))</f>
        <v/>
      </c>
      <c r="Q1243" s="45" t="n"/>
      <c r="R1243" s="45" t="n"/>
      <c r="S1243" s="51">
        <f>IF(L1243="","",IF(COUNTIF(L$6:L1243,L1243)&gt;1,"",SUMIF(L$6:L$2000,L1243,M$6:M$2000)-SUMIF(L$6:L$2000,L1243,G$6:G$2000)))</f>
        <v/>
      </c>
      <c r="T1243" s="46">
        <f>IF(AND(C1243="",G1243=""),"",IF(L1243="","Nog factureren",IF(AND(G1243&lt;&gt;"",OR(K1243="",K1243&gt;TODAY())),"Nog betalen",IF(OR(R1243="",R1243&gt;TODAY()),"Wacht op klant","Afgerond"))))</f>
        <v/>
      </c>
    </row>
    <row r="1244">
      <c r="A1244" s="45" t="n"/>
      <c r="B1244" s="46">
        <f>IF(A1244="","",YEAR(A1244)&amp;" Q"&amp;ROUNDUP(MONTH(A1244)/3,0))</f>
        <v/>
      </c>
      <c r="C1244" s="47" t="n"/>
      <c r="D1244" s="47" t="n"/>
      <c r="E1244" s="47" t="n"/>
      <c r="F1244" s="47" t="n"/>
      <c r="G1244" s="48" t="n"/>
      <c r="H1244" s="49" t="n"/>
      <c r="I1244" s="50">
        <f>IF(G1244="","",ROUND(G1244*H1244,2))</f>
        <v/>
      </c>
      <c r="J1244" s="50">
        <f>IF(G1244="","",G1244+N(I1244))</f>
        <v/>
      </c>
      <c r="K1244" s="45" t="n"/>
      <c r="L1244" s="47" t="n"/>
      <c r="M1244" s="48" t="n"/>
      <c r="N1244" s="49" t="n"/>
      <c r="O1244" s="50">
        <f>IF(M1244="","",ROUND(M1244*N1244,2))</f>
        <v/>
      </c>
      <c r="P1244" s="50">
        <f>IF(M1244="","",M1244+N(O1244))</f>
        <v/>
      </c>
      <c r="Q1244" s="45" t="n"/>
      <c r="R1244" s="45" t="n"/>
      <c r="S1244" s="51">
        <f>IF(L1244="","",IF(COUNTIF(L$6:L1244,L1244)&gt;1,"",SUMIF(L$6:L$2000,L1244,M$6:M$2000)-SUMIF(L$6:L$2000,L1244,G$6:G$2000)))</f>
        <v/>
      </c>
      <c r="T1244" s="46">
        <f>IF(AND(C1244="",G1244=""),"",IF(L1244="","Nog factureren",IF(AND(G1244&lt;&gt;"",OR(K1244="",K1244&gt;TODAY())),"Nog betalen",IF(OR(R1244="",R1244&gt;TODAY()),"Wacht op klant","Afgerond"))))</f>
        <v/>
      </c>
    </row>
    <row r="1245">
      <c r="A1245" s="45" t="n"/>
      <c r="B1245" s="46">
        <f>IF(A1245="","",YEAR(A1245)&amp;" Q"&amp;ROUNDUP(MONTH(A1245)/3,0))</f>
        <v/>
      </c>
      <c r="C1245" s="47" t="n"/>
      <c r="D1245" s="47" t="n"/>
      <c r="E1245" s="47" t="n"/>
      <c r="F1245" s="47" t="n"/>
      <c r="G1245" s="48" t="n"/>
      <c r="H1245" s="49" t="n"/>
      <c r="I1245" s="50">
        <f>IF(G1245="","",ROUND(G1245*H1245,2))</f>
        <v/>
      </c>
      <c r="J1245" s="50">
        <f>IF(G1245="","",G1245+N(I1245))</f>
        <v/>
      </c>
      <c r="K1245" s="45" t="n"/>
      <c r="L1245" s="47" t="n"/>
      <c r="M1245" s="48" t="n"/>
      <c r="N1245" s="49" t="n"/>
      <c r="O1245" s="50">
        <f>IF(M1245="","",ROUND(M1245*N1245,2))</f>
        <v/>
      </c>
      <c r="P1245" s="50">
        <f>IF(M1245="","",M1245+N(O1245))</f>
        <v/>
      </c>
      <c r="Q1245" s="45" t="n"/>
      <c r="R1245" s="45" t="n"/>
      <c r="S1245" s="51">
        <f>IF(L1245="","",IF(COUNTIF(L$6:L1245,L1245)&gt;1,"",SUMIF(L$6:L$2000,L1245,M$6:M$2000)-SUMIF(L$6:L$2000,L1245,G$6:G$2000)))</f>
        <v/>
      </c>
      <c r="T1245" s="46">
        <f>IF(AND(C1245="",G1245=""),"",IF(L1245="","Nog factureren",IF(AND(G1245&lt;&gt;"",OR(K1245="",K1245&gt;TODAY())),"Nog betalen",IF(OR(R1245="",R1245&gt;TODAY()),"Wacht op klant","Afgerond"))))</f>
        <v/>
      </c>
    </row>
    <row r="1246">
      <c r="A1246" s="45" t="n"/>
      <c r="B1246" s="46">
        <f>IF(A1246="","",YEAR(A1246)&amp;" Q"&amp;ROUNDUP(MONTH(A1246)/3,0))</f>
        <v/>
      </c>
      <c r="C1246" s="47" t="n"/>
      <c r="D1246" s="47" t="n"/>
      <c r="E1246" s="47" t="n"/>
      <c r="F1246" s="47" t="n"/>
      <c r="G1246" s="48" t="n"/>
      <c r="H1246" s="49" t="n"/>
      <c r="I1246" s="50">
        <f>IF(G1246="","",ROUND(G1246*H1246,2))</f>
        <v/>
      </c>
      <c r="J1246" s="50">
        <f>IF(G1246="","",G1246+N(I1246))</f>
        <v/>
      </c>
      <c r="K1246" s="45" t="n"/>
      <c r="L1246" s="47" t="n"/>
      <c r="M1246" s="48" t="n"/>
      <c r="N1246" s="49" t="n"/>
      <c r="O1246" s="50">
        <f>IF(M1246="","",ROUND(M1246*N1246,2))</f>
        <v/>
      </c>
      <c r="P1246" s="50">
        <f>IF(M1246="","",M1246+N(O1246))</f>
        <v/>
      </c>
      <c r="Q1246" s="45" t="n"/>
      <c r="R1246" s="45" t="n"/>
      <c r="S1246" s="51">
        <f>IF(L1246="","",IF(COUNTIF(L$6:L1246,L1246)&gt;1,"",SUMIF(L$6:L$2000,L1246,M$6:M$2000)-SUMIF(L$6:L$2000,L1246,G$6:G$2000)))</f>
        <v/>
      </c>
      <c r="T1246" s="46">
        <f>IF(AND(C1246="",G1246=""),"",IF(L1246="","Nog factureren",IF(AND(G1246&lt;&gt;"",OR(K1246="",K1246&gt;TODAY())),"Nog betalen",IF(OR(R1246="",R1246&gt;TODAY()),"Wacht op klant","Afgerond"))))</f>
        <v/>
      </c>
    </row>
    <row r="1247">
      <c r="A1247" s="45" t="n"/>
      <c r="B1247" s="46">
        <f>IF(A1247="","",YEAR(A1247)&amp;" Q"&amp;ROUNDUP(MONTH(A1247)/3,0))</f>
        <v/>
      </c>
      <c r="C1247" s="47" t="n"/>
      <c r="D1247" s="47" t="n"/>
      <c r="E1247" s="47" t="n"/>
      <c r="F1247" s="47" t="n"/>
      <c r="G1247" s="48" t="n"/>
      <c r="H1247" s="49" t="n"/>
      <c r="I1247" s="50">
        <f>IF(G1247="","",ROUND(G1247*H1247,2))</f>
        <v/>
      </c>
      <c r="J1247" s="50">
        <f>IF(G1247="","",G1247+N(I1247))</f>
        <v/>
      </c>
      <c r="K1247" s="45" t="n"/>
      <c r="L1247" s="47" t="n"/>
      <c r="M1247" s="48" t="n"/>
      <c r="N1247" s="49" t="n"/>
      <c r="O1247" s="50">
        <f>IF(M1247="","",ROUND(M1247*N1247,2))</f>
        <v/>
      </c>
      <c r="P1247" s="50">
        <f>IF(M1247="","",M1247+N(O1247))</f>
        <v/>
      </c>
      <c r="Q1247" s="45" t="n"/>
      <c r="R1247" s="45" t="n"/>
      <c r="S1247" s="51">
        <f>IF(L1247="","",IF(COUNTIF(L$6:L1247,L1247)&gt;1,"",SUMIF(L$6:L$2000,L1247,M$6:M$2000)-SUMIF(L$6:L$2000,L1247,G$6:G$2000)))</f>
        <v/>
      </c>
      <c r="T1247" s="46">
        <f>IF(AND(C1247="",G1247=""),"",IF(L1247="","Nog factureren",IF(AND(G1247&lt;&gt;"",OR(K1247="",K1247&gt;TODAY())),"Nog betalen",IF(OR(R1247="",R1247&gt;TODAY()),"Wacht op klant","Afgerond"))))</f>
        <v/>
      </c>
    </row>
    <row r="1248">
      <c r="A1248" s="45" t="n"/>
      <c r="B1248" s="46">
        <f>IF(A1248="","",YEAR(A1248)&amp;" Q"&amp;ROUNDUP(MONTH(A1248)/3,0))</f>
        <v/>
      </c>
      <c r="C1248" s="47" t="n"/>
      <c r="D1248" s="47" t="n"/>
      <c r="E1248" s="47" t="n"/>
      <c r="F1248" s="47" t="n"/>
      <c r="G1248" s="48" t="n"/>
      <c r="H1248" s="49" t="n"/>
      <c r="I1248" s="50">
        <f>IF(G1248="","",ROUND(G1248*H1248,2))</f>
        <v/>
      </c>
      <c r="J1248" s="50">
        <f>IF(G1248="","",G1248+N(I1248))</f>
        <v/>
      </c>
      <c r="K1248" s="45" t="n"/>
      <c r="L1248" s="47" t="n"/>
      <c r="M1248" s="48" t="n"/>
      <c r="N1248" s="49" t="n"/>
      <c r="O1248" s="50">
        <f>IF(M1248="","",ROUND(M1248*N1248,2))</f>
        <v/>
      </c>
      <c r="P1248" s="50">
        <f>IF(M1248="","",M1248+N(O1248))</f>
        <v/>
      </c>
      <c r="Q1248" s="45" t="n"/>
      <c r="R1248" s="45" t="n"/>
      <c r="S1248" s="51">
        <f>IF(L1248="","",IF(COUNTIF(L$6:L1248,L1248)&gt;1,"",SUMIF(L$6:L$2000,L1248,M$6:M$2000)-SUMIF(L$6:L$2000,L1248,G$6:G$2000)))</f>
        <v/>
      </c>
      <c r="T1248" s="46">
        <f>IF(AND(C1248="",G1248=""),"",IF(L1248="","Nog factureren",IF(AND(G1248&lt;&gt;"",OR(K1248="",K1248&gt;TODAY())),"Nog betalen",IF(OR(R1248="",R1248&gt;TODAY()),"Wacht op klant","Afgerond"))))</f>
        <v/>
      </c>
    </row>
    <row r="1249">
      <c r="A1249" s="45" t="n"/>
      <c r="B1249" s="46">
        <f>IF(A1249="","",YEAR(A1249)&amp;" Q"&amp;ROUNDUP(MONTH(A1249)/3,0))</f>
        <v/>
      </c>
      <c r="C1249" s="47" t="n"/>
      <c r="D1249" s="47" t="n"/>
      <c r="E1249" s="47" t="n"/>
      <c r="F1249" s="47" t="n"/>
      <c r="G1249" s="48" t="n"/>
      <c r="H1249" s="49" t="n"/>
      <c r="I1249" s="50">
        <f>IF(G1249="","",ROUND(G1249*H1249,2))</f>
        <v/>
      </c>
      <c r="J1249" s="50">
        <f>IF(G1249="","",G1249+N(I1249))</f>
        <v/>
      </c>
      <c r="K1249" s="45" t="n"/>
      <c r="L1249" s="47" t="n"/>
      <c r="M1249" s="48" t="n"/>
      <c r="N1249" s="49" t="n"/>
      <c r="O1249" s="50">
        <f>IF(M1249="","",ROUND(M1249*N1249,2))</f>
        <v/>
      </c>
      <c r="P1249" s="50">
        <f>IF(M1249="","",M1249+N(O1249))</f>
        <v/>
      </c>
      <c r="Q1249" s="45" t="n"/>
      <c r="R1249" s="45" t="n"/>
      <c r="S1249" s="51">
        <f>IF(L1249="","",IF(COUNTIF(L$6:L1249,L1249)&gt;1,"",SUMIF(L$6:L$2000,L1249,M$6:M$2000)-SUMIF(L$6:L$2000,L1249,G$6:G$2000)))</f>
        <v/>
      </c>
      <c r="T1249" s="46">
        <f>IF(AND(C1249="",G1249=""),"",IF(L1249="","Nog factureren",IF(AND(G1249&lt;&gt;"",OR(K1249="",K1249&gt;TODAY())),"Nog betalen",IF(OR(R1249="",R1249&gt;TODAY()),"Wacht op klant","Afgerond"))))</f>
        <v/>
      </c>
    </row>
    <row r="1250">
      <c r="A1250" s="45" t="n"/>
      <c r="B1250" s="46">
        <f>IF(A1250="","",YEAR(A1250)&amp;" Q"&amp;ROUNDUP(MONTH(A1250)/3,0))</f>
        <v/>
      </c>
      <c r="C1250" s="47" t="n"/>
      <c r="D1250" s="47" t="n"/>
      <c r="E1250" s="47" t="n"/>
      <c r="F1250" s="47" t="n"/>
      <c r="G1250" s="48" t="n"/>
      <c r="H1250" s="49" t="n"/>
      <c r="I1250" s="50">
        <f>IF(G1250="","",ROUND(G1250*H1250,2))</f>
        <v/>
      </c>
      <c r="J1250" s="50">
        <f>IF(G1250="","",G1250+N(I1250))</f>
        <v/>
      </c>
      <c r="K1250" s="45" t="n"/>
      <c r="L1250" s="47" t="n"/>
      <c r="M1250" s="48" t="n"/>
      <c r="N1250" s="49" t="n"/>
      <c r="O1250" s="50">
        <f>IF(M1250="","",ROUND(M1250*N1250,2))</f>
        <v/>
      </c>
      <c r="P1250" s="50">
        <f>IF(M1250="","",M1250+N(O1250))</f>
        <v/>
      </c>
      <c r="Q1250" s="45" t="n"/>
      <c r="R1250" s="45" t="n"/>
      <c r="S1250" s="51">
        <f>IF(L1250="","",IF(COUNTIF(L$6:L1250,L1250)&gt;1,"",SUMIF(L$6:L$2000,L1250,M$6:M$2000)-SUMIF(L$6:L$2000,L1250,G$6:G$2000)))</f>
        <v/>
      </c>
      <c r="T1250" s="46">
        <f>IF(AND(C1250="",G1250=""),"",IF(L1250="","Nog factureren",IF(AND(G1250&lt;&gt;"",OR(K1250="",K1250&gt;TODAY())),"Nog betalen",IF(OR(R1250="",R1250&gt;TODAY()),"Wacht op klant","Afgerond"))))</f>
        <v/>
      </c>
    </row>
    <row r="1251">
      <c r="A1251" s="45" t="n"/>
      <c r="B1251" s="46">
        <f>IF(A1251="","",YEAR(A1251)&amp;" Q"&amp;ROUNDUP(MONTH(A1251)/3,0))</f>
        <v/>
      </c>
      <c r="C1251" s="47" t="n"/>
      <c r="D1251" s="47" t="n"/>
      <c r="E1251" s="47" t="n"/>
      <c r="F1251" s="47" t="n"/>
      <c r="G1251" s="48" t="n"/>
      <c r="H1251" s="49" t="n"/>
      <c r="I1251" s="50">
        <f>IF(G1251="","",ROUND(G1251*H1251,2))</f>
        <v/>
      </c>
      <c r="J1251" s="50">
        <f>IF(G1251="","",G1251+N(I1251))</f>
        <v/>
      </c>
      <c r="K1251" s="45" t="n"/>
      <c r="L1251" s="47" t="n"/>
      <c r="M1251" s="48" t="n"/>
      <c r="N1251" s="49" t="n"/>
      <c r="O1251" s="50">
        <f>IF(M1251="","",ROUND(M1251*N1251,2))</f>
        <v/>
      </c>
      <c r="P1251" s="50">
        <f>IF(M1251="","",M1251+N(O1251))</f>
        <v/>
      </c>
      <c r="Q1251" s="45" t="n"/>
      <c r="R1251" s="45" t="n"/>
      <c r="S1251" s="51">
        <f>IF(L1251="","",IF(COUNTIF(L$6:L1251,L1251)&gt;1,"",SUMIF(L$6:L$2000,L1251,M$6:M$2000)-SUMIF(L$6:L$2000,L1251,G$6:G$2000)))</f>
        <v/>
      </c>
      <c r="T1251" s="46">
        <f>IF(AND(C1251="",G1251=""),"",IF(L1251="","Nog factureren",IF(AND(G1251&lt;&gt;"",OR(K1251="",K1251&gt;TODAY())),"Nog betalen",IF(OR(R1251="",R1251&gt;TODAY()),"Wacht op klant","Afgerond"))))</f>
        <v/>
      </c>
    </row>
    <row r="1252">
      <c r="A1252" s="45" t="n"/>
      <c r="B1252" s="46">
        <f>IF(A1252="","",YEAR(A1252)&amp;" Q"&amp;ROUNDUP(MONTH(A1252)/3,0))</f>
        <v/>
      </c>
      <c r="C1252" s="47" t="n"/>
      <c r="D1252" s="47" t="n"/>
      <c r="E1252" s="47" t="n"/>
      <c r="F1252" s="47" t="n"/>
      <c r="G1252" s="48" t="n"/>
      <c r="H1252" s="49" t="n"/>
      <c r="I1252" s="50">
        <f>IF(G1252="","",ROUND(G1252*H1252,2))</f>
        <v/>
      </c>
      <c r="J1252" s="50">
        <f>IF(G1252="","",G1252+N(I1252))</f>
        <v/>
      </c>
      <c r="K1252" s="45" t="n"/>
      <c r="L1252" s="47" t="n"/>
      <c r="M1252" s="48" t="n"/>
      <c r="N1252" s="49" t="n"/>
      <c r="O1252" s="50">
        <f>IF(M1252="","",ROUND(M1252*N1252,2))</f>
        <v/>
      </c>
      <c r="P1252" s="50">
        <f>IF(M1252="","",M1252+N(O1252))</f>
        <v/>
      </c>
      <c r="Q1252" s="45" t="n"/>
      <c r="R1252" s="45" t="n"/>
      <c r="S1252" s="51">
        <f>IF(L1252="","",IF(COUNTIF(L$6:L1252,L1252)&gt;1,"",SUMIF(L$6:L$2000,L1252,M$6:M$2000)-SUMIF(L$6:L$2000,L1252,G$6:G$2000)))</f>
        <v/>
      </c>
      <c r="T1252" s="46">
        <f>IF(AND(C1252="",G1252=""),"",IF(L1252="","Nog factureren",IF(AND(G1252&lt;&gt;"",OR(K1252="",K1252&gt;TODAY())),"Nog betalen",IF(OR(R1252="",R1252&gt;TODAY()),"Wacht op klant","Afgerond"))))</f>
        <v/>
      </c>
    </row>
    <row r="1253">
      <c r="A1253" s="45" t="n"/>
      <c r="B1253" s="46">
        <f>IF(A1253="","",YEAR(A1253)&amp;" Q"&amp;ROUNDUP(MONTH(A1253)/3,0))</f>
        <v/>
      </c>
      <c r="C1253" s="47" t="n"/>
      <c r="D1253" s="47" t="n"/>
      <c r="E1253" s="47" t="n"/>
      <c r="F1253" s="47" t="n"/>
      <c r="G1253" s="48" t="n"/>
      <c r="H1253" s="49" t="n"/>
      <c r="I1253" s="50">
        <f>IF(G1253="","",ROUND(G1253*H1253,2))</f>
        <v/>
      </c>
      <c r="J1253" s="50">
        <f>IF(G1253="","",G1253+N(I1253))</f>
        <v/>
      </c>
      <c r="K1253" s="45" t="n"/>
      <c r="L1253" s="47" t="n"/>
      <c r="M1253" s="48" t="n"/>
      <c r="N1253" s="49" t="n"/>
      <c r="O1253" s="50">
        <f>IF(M1253="","",ROUND(M1253*N1253,2))</f>
        <v/>
      </c>
      <c r="P1253" s="50">
        <f>IF(M1253="","",M1253+N(O1253))</f>
        <v/>
      </c>
      <c r="Q1253" s="45" t="n"/>
      <c r="R1253" s="45" t="n"/>
      <c r="S1253" s="51">
        <f>IF(L1253="","",IF(COUNTIF(L$6:L1253,L1253)&gt;1,"",SUMIF(L$6:L$2000,L1253,M$6:M$2000)-SUMIF(L$6:L$2000,L1253,G$6:G$2000)))</f>
        <v/>
      </c>
      <c r="T1253" s="46">
        <f>IF(AND(C1253="",G1253=""),"",IF(L1253="","Nog factureren",IF(AND(G1253&lt;&gt;"",OR(K1253="",K1253&gt;TODAY())),"Nog betalen",IF(OR(R1253="",R1253&gt;TODAY()),"Wacht op klant","Afgerond"))))</f>
        <v/>
      </c>
    </row>
    <row r="1254">
      <c r="A1254" s="45" t="n"/>
      <c r="B1254" s="46">
        <f>IF(A1254="","",YEAR(A1254)&amp;" Q"&amp;ROUNDUP(MONTH(A1254)/3,0))</f>
        <v/>
      </c>
      <c r="C1254" s="47" t="n"/>
      <c r="D1254" s="47" t="n"/>
      <c r="E1254" s="47" t="n"/>
      <c r="F1254" s="47" t="n"/>
      <c r="G1254" s="48" t="n"/>
      <c r="H1254" s="49" t="n"/>
      <c r="I1254" s="50">
        <f>IF(G1254="","",ROUND(G1254*H1254,2))</f>
        <v/>
      </c>
      <c r="J1254" s="50">
        <f>IF(G1254="","",G1254+N(I1254))</f>
        <v/>
      </c>
      <c r="K1254" s="45" t="n"/>
      <c r="L1254" s="47" t="n"/>
      <c r="M1254" s="48" t="n"/>
      <c r="N1254" s="49" t="n"/>
      <c r="O1254" s="50">
        <f>IF(M1254="","",ROUND(M1254*N1254,2))</f>
        <v/>
      </c>
      <c r="P1254" s="50">
        <f>IF(M1254="","",M1254+N(O1254))</f>
        <v/>
      </c>
      <c r="Q1254" s="45" t="n"/>
      <c r="R1254" s="45" t="n"/>
      <c r="S1254" s="51">
        <f>IF(L1254="","",IF(COUNTIF(L$6:L1254,L1254)&gt;1,"",SUMIF(L$6:L$2000,L1254,M$6:M$2000)-SUMIF(L$6:L$2000,L1254,G$6:G$2000)))</f>
        <v/>
      </c>
      <c r="T1254" s="46">
        <f>IF(AND(C1254="",G1254=""),"",IF(L1254="","Nog factureren",IF(AND(G1254&lt;&gt;"",OR(K1254="",K1254&gt;TODAY())),"Nog betalen",IF(OR(R1254="",R1254&gt;TODAY()),"Wacht op klant","Afgerond"))))</f>
        <v/>
      </c>
    </row>
    <row r="1255">
      <c r="A1255" s="45" t="n"/>
      <c r="B1255" s="46">
        <f>IF(A1255="","",YEAR(A1255)&amp;" Q"&amp;ROUNDUP(MONTH(A1255)/3,0))</f>
        <v/>
      </c>
      <c r="C1255" s="47" t="n"/>
      <c r="D1255" s="47" t="n"/>
      <c r="E1255" s="47" t="n"/>
      <c r="F1255" s="47" t="n"/>
      <c r="G1255" s="48" t="n"/>
      <c r="H1255" s="49" t="n"/>
      <c r="I1255" s="50">
        <f>IF(G1255="","",ROUND(G1255*H1255,2))</f>
        <v/>
      </c>
      <c r="J1255" s="50">
        <f>IF(G1255="","",G1255+N(I1255))</f>
        <v/>
      </c>
      <c r="K1255" s="45" t="n"/>
      <c r="L1255" s="47" t="n"/>
      <c r="M1255" s="48" t="n"/>
      <c r="N1255" s="49" t="n"/>
      <c r="O1255" s="50">
        <f>IF(M1255="","",ROUND(M1255*N1255,2))</f>
        <v/>
      </c>
      <c r="P1255" s="50">
        <f>IF(M1255="","",M1255+N(O1255))</f>
        <v/>
      </c>
      <c r="Q1255" s="45" t="n"/>
      <c r="R1255" s="45" t="n"/>
      <c r="S1255" s="51">
        <f>IF(L1255="","",IF(COUNTIF(L$6:L1255,L1255)&gt;1,"",SUMIF(L$6:L$2000,L1255,M$6:M$2000)-SUMIF(L$6:L$2000,L1255,G$6:G$2000)))</f>
        <v/>
      </c>
      <c r="T1255" s="46">
        <f>IF(AND(C1255="",G1255=""),"",IF(L1255="","Nog factureren",IF(AND(G1255&lt;&gt;"",OR(K1255="",K1255&gt;TODAY())),"Nog betalen",IF(OR(R1255="",R1255&gt;TODAY()),"Wacht op klant","Afgerond"))))</f>
        <v/>
      </c>
    </row>
    <row r="1256">
      <c r="A1256" s="45" t="n"/>
      <c r="B1256" s="46">
        <f>IF(A1256="","",YEAR(A1256)&amp;" Q"&amp;ROUNDUP(MONTH(A1256)/3,0))</f>
        <v/>
      </c>
      <c r="C1256" s="47" t="n"/>
      <c r="D1256" s="47" t="n"/>
      <c r="E1256" s="47" t="n"/>
      <c r="F1256" s="47" t="n"/>
      <c r="G1256" s="48" t="n"/>
      <c r="H1256" s="49" t="n"/>
      <c r="I1256" s="50">
        <f>IF(G1256="","",ROUND(G1256*H1256,2))</f>
        <v/>
      </c>
      <c r="J1256" s="50">
        <f>IF(G1256="","",G1256+N(I1256))</f>
        <v/>
      </c>
      <c r="K1256" s="45" t="n"/>
      <c r="L1256" s="47" t="n"/>
      <c r="M1256" s="48" t="n"/>
      <c r="N1256" s="49" t="n"/>
      <c r="O1256" s="50">
        <f>IF(M1256="","",ROUND(M1256*N1256,2))</f>
        <v/>
      </c>
      <c r="P1256" s="50">
        <f>IF(M1256="","",M1256+N(O1256))</f>
        <v/>
      </c>
      <c r="Q1256" s="45" t="n"/>
      <c r="R1256" s="45" t="n"/>
      <c r="S1256" s="51">
        <f>IF(L1256="","",IF(COUNTIF(L$6:L1256,L1256)&gt;1,"",SUMIF(L$6:L$2000,L1256,M$6:M$2000)-SUMIF(L$6:L$2000,L1256,G$6:G$2000)))</f>
        <v/>
      </c>
      <c r="T1256" s="46">
        <f>IF(AND(C1256="",G1256=""),"",IF(L1256="","Nog factureren",IF(AND(G1256&lt;&gt;"",OR(K1256="",K1256&gt;TODAY())),"Nog betalen",IF(OR(R1256="",R1256&gt;TODAY()),"Wacht op klant","Afgerond"))))</f>
        <v/>
      </c>
    </row>
    <row r="1257">
      <c r="A1257" s="45" t="n"/>
      <c r="B1257" s="46">
        <f>IF(A1257="","",YEAR(A1257)&amp;" Q"&amp;ROUNDUP(MONTH(A1257)/3,0))</f>
        <v/>
      </c>
      <c r="C1257" s="47" t="n"/>
      <c r="D1257" s="47" t="n"/>
      <c r="E1257" s="47" t="n"/>
      <c r="F1257" s="47" t="n"/>
      <c r="G1257" s="48" t="n"/>
      <c r="H1257" s="49" t="n"/>
      <c r="I1257" s="50">
        <f>IF(G1257="","",ROUND(G1257*H1257,2))</f>
        <v/>
      </c>
      <c r="J1257" s="50">
        <f>IF(G1257="","",G1257+N(I1257))</f>
        <v/>
      </c>
      <c r="K1257" s="45" t="n"/>
      <c r="L1257" s="47" t="n"/>
      <c r="M1257" s="48" t="n"/>
      <c r="N1257" s="49" t="n"/>
      <c r="O1257" s="50">
        <f>IF(M1257="","",ROUND(M1257*N1257,2))</f>
        <v/>
      </c>
      <c r="P1257" s="50">
        <f>IF(M1257="","",M1257+N(O1257))</f>
        <v/>
      </c>
      <c r="Q1257" s="45" t="n"/>
      <c r="R1257" s="45" t="n"/>
      <c r="S1257" s="51">
        <f>IF(L1257="","",IF(COUNTIF(L$6:L1257,L1257)&gt;1,"",SUMIF(L$6:L$2000,L1257,M$6:M$2000)-SUMIF(L$6:L$2000,L1257,G$6:G$2000)))</f>
        <v/>
      </c>
      <c r="T1257" s="46">
        <f>IF(AND(C1257="",G1257=""),"",IF(L1257="","Nog factureren",IF(AND(G1257&lt;&gt;"",OR(K1257="",K1257&gt;TODAY())),"Nog betalen",IF(OR(R1257="",R1257&gt;TODAY()),"Wacht op klant","Afgerond"))))</f>
        <v/>
      </c>
    </row>
    <row r="1258">
      <c r="A1258" s="45" t="n"/>
      <c r="B1258" s="46">
        <f>IF(A1258="","",YEAR(A1258)&amp;" Q"&amp;ROUNDUP(MONTH(A1258)/3,0))</f>
        <v/>
      </c>
      <c r="C1258" s="47" t="n"/>
      <c r="D1258" s="47" t="n"/>
      <c r="E1258" s="47" t="n"/>
      <c r="F1258" s="47" t="n"/>
      <c r="G1258" s="48" t="n"/>
      <c r="H1258" s="49" t="n"/>
      <c r="I1258" s="50">
        <f>IF(G1258="","",ROUND(G1258*H1258,2))</f>
        <v/>
      </c>
      <c r="J1258" s="50">
        <f>IF(G1258="","",G1258+N(I1258))</f>
        <v/>
      </c>
      <c r="K1258" s="45" t="n"/>
      <c r="L1258" s="47" t="n"/>
      <c r="M1258" s="48" t="n"/>
      <c r="N1258" s="49" t="n"/>
      <c r="O1258" s="50">
        <f>IF(M1258="","",ROUND(M1258*N1258,2))</f>
        <v/>
      </c>
      <c r="P1258" s="50">
        <f>IF(M1258="","",M1258+N(O1258))</f>
        <v/>
      </c>
      <c r="Q1258" s="45" t="n"/>
      <c r="R1258" s="45" t="n"/>
      <c r="S1258" s="51">
        <f>IF(L1258="","",IF(COUNTIF(L$6:L1258,L1258)&gt;1,"",SUMIF(L$6:L$2000,L1258,M$6:M$2000)-SUMIF(L$6:L$2000,L1258,G$6:G$2000)))</f>
        <v/>
      </c>
      <c r="T1258" s="46">
        <f>IF(AND(C1258="",G1258=""),"",IF(L1258="","Nog factureren",IF(AND(G1258&lt;&gt;"",OR(K1258="",K1258&gt;TODAY())),"Nog betalen",IF(OR(R1258="",R1258&gt;TODAY()),"Wacht op klant","Afgerond"))))</f>
        <v/>
      </c>
    </row>
    <row r="1259">
      <c r="A1259" s="45" t="n"/>
      <c r="B1259" s="46">
        <f>IF(A1259="","",YEAR(A1259)&amp;" Q"&amp;ROUNDUP(MONTH(A1259)/3,0))</f>
        <v/>
      </c>
      <c r="C1259" s="47" t="n"/>
      <c r="D1259" s="47" t="n"/>
      <c r="E1259" s="47" t="n"/>
      <c r="F1259" s="47" t="n"/>
      <c r="G1259" s="48" t="n"/>
      <c r="H1259" s="49" t="n"/>
      <c r="I1259" s="50">
        <f>IF(G1259="","",ROUND(G1259*H1259,2))</f>
        <v/>
      </c>
      <c r="J1259" s="50">
        <f>IF(G1259="","",G1259+N(I1259))</f>
        <v/>
      </c>
      <c r="K1259" s="45" t="n"/>
      <c r="L1259" s="47" t="n"/>
      <c r="M1259" s="48" t="n"/>
      <c r="N1259" s="49" t="n"/>
      <c r="O1259" s="50">
        <f>IF(M1259="","",ROUND(M1259*N1259,2))</f>
        <v/>
      </c>
      <c r="P1259" s="50">
        <f>IF(M1259="","",M1259+N(O1259))</f>
        <v/>
      </c>
      <c r="Q1259" s="45" t="n"/>
      <c r="R1259" s="45" t="n"/>
      <c r="S1259" s="51">
        <f>IF(L1259="","",IF(COUNTIF(L$6:L1259,L1259)&gt;1,"",SUMIF(L$6:L$2000,L1259,M$6:M$2000)-SUMIF(L$6:L$2000,L1259,G$6:G$2000)))</f>
        <v/>
      </c>
      <c r="T1259" s="46">
        <f>IF(AND(C1259="",G1259=""),"",IF(L1259="","Nog factureren",IF(AND(G1259&lt;&gt;"",OR(K1259="",K1259&gt;TODAY())),"Nog betalen",IF(OR(R1259="",R1259&gt;TODAY()),"Wacht op klant","Afgerond"))))</f>
        <v/>
      </c>
    </row>
    <row r="1260">
      <c r="A1260" s="45" t="n"/>
      <c r="B1260" s="46">
        <f>IF(A1260="","",YEAR(A1260)&amp;" Q"&amp;ROUNDUP(MONTH(A1260)/3,0))</f>
        <v/>
      </c>
      <c r="C1260" s="47" t="n"/>
      <c r="D1260" s="47" t="n"/>
      <c r="E1260" s="47" t="n"/>
      <c r="F1260" s="47" t="n"/>
      <c r="G1260" s="48" t="n"/>
      <c r="H1260" s="49" t="n"/>
      <c r="I1260" s="50">
        <f>IF(G1260="","",ROUND(G1260*H1260,2))</f>
        <v/>
      </c>
      <c r="J1260" s="50">
        <f>IF(G1260="","",G1260+N(I1260))</f>
        <v/>
      </c>
      <c r="K1260" s="45" t="n"/>
      <c r="L1260" s="47" t="n"/>
      <c r="M1260" s="48" t="n"/>
      <c r="N1260" s="49" t="n"/>
      <c r="O1260" s="50">
        <f>IF(M1260="","",ROUND(M1260*N1260,2))</f>
        <v/>
      </c>
      <c r="P1260" s="50">
        <f>IF(M1260="","",M1260+N(O1260))</f>
        <v/>
      </c>
      <c r="Q1260" s="45" t="n"/>
      <c r="R1260" s="45" t="n"/>
      <c r="S1260" s="51">
        <f>IF(L1260="","",IF(COUNTIF(L$6:L1260,L1260)&gt;1,"",SUMIF(L$6:L$2000,L1260,M$6:M$2000)-SUMIF(L$6:L$2000,L1260,G$6:G$2000)))</f>
        <v/>
      </c>
      <c r="T1260" s="46">
        <f>IF(AND(C1260="",G1260=""),"",IF(L1260="","Nog factureren",IF(AND(G1260&lt;&gt;"",OR(K1260="",K1260&gt;TODAY())),"Nog betalen",IF(OR(R1260="",R1260&gt;TODAY()),"Wacht op klant","Afgerond"))))</f>
        <v/>
      </c>
    </row>
    <row r="1261">
      <c r="A1261" s="45" t="n"/>
      <c r="B1261" s="46">
        <f>IF(A1261="","",YEAR(A1261)&amp;" Q"&amp;ROUNDUP(MONTH(A1261)/3,0))</f>
        <v/>
      </c>
      <c r="C1261" s="47" t="n"/>
      <c r="D1261" s="47" t="n"/>
      <c r="E1261" s="47" t="n"/>
      <c r="F1261" s="47" t="n"/>
      <c r="G1261" s="48" t="n"/>
      <c r="H1261" s="49" t="n"/>
      <c r="I1261" s="50">
        <f>IF(G1261="","",ROUND(G1261*H1261,2))</f>
        <v/>
      </c>
      <c r="J1261" s="50">
        <f>IF(G1261="","",G1261+N(I1261))</f>
        <v/>
      </c>
      <c r="K1261" s="45" t="n"/>
      <c r="L1261" s="47" t="n"/>
      <c r="M1261" s="48" t="n"/>
      <c r="N1261" s="49" t="n"/>
      <c r="O1261" s="50">
        <f>IF(M1261="","",ROUND(M1261*N1261,2))</f>
        <v/>
      </c>
      <c r="P1261" s="50">
        <f>IF(M1261="","",M1261+N(O1261))</f>
        <v/>
      </c>
      <c r="Q1261" s="45" t="n"/>
      <c r="R1261" s="45" t="n"/>
      <c r="S1261" s="51">
        <f>IF(L1261="","",IF(COUNTIF(L$6:L1261,L1261)&gt;1,"",SUMIF(L$6:L$2000,L1261,M$6:M$2000)-SUMIF(L$6:L$2000,L1261,G$6:G$2000)))</f>
        <v/>
      </c>
      <c r="T1261" s="46">
        <f>IF(AND(C1261="",G1261=""),"",IF(L1261="","Nog factureren",IF(AND(G1261&lt;&gt;"",OR(K1261="",K1261&gt;TODAY())),"Nog betalen",IF(OR(R1261="",R1261&gt;TODAY()),"Wacht op klant","Afgerond"))))</f>
        <v/>
      </c>
    </row>
    <row r="1262">
      <c r="A1262" s="45" t="n"/>
      <c r="B1262" s="46">
        <f>IF(A1262="","",YEAR(A1262)&amp;" Q"&amp;ROUNDUP(MONTH(A1262)/3,0))</f>
        <v/>
      </c>
      <c r="C1262" s="47" t="n"/>
      <c r="D1262" s="47" t="n"/>
      <c r="E1262" s="47" t="n"/>
      <c r="F1262" s="47" t="n"/>
      <c r="G1262" s="48" t="n"/>
      <c r="H1262" s="49" t="n"/>
      <c r="I1262" s="50">
        <f>IF(G1262="","",ROUND(G1262*H1262,2))</f>
        <v/>
      </c>
      <c r="J1262" s="50">
        <f>IF(G1262="","",G1262+N(I1262))</f>
        <v/>
      </c>
      <c r="K1262" s="45" t="n"/>
      <c r="L1262" s="47" t="n"/>
      <c r="M1262" s="48" t="n"/>
      <c r="N1262" s="49" t="n"/>
      <c r="O1262" s="50">
        <f>IF(M1262="","",ROUND(M1262*N1262,2))</f>
        <v/>
      </c>
      <c r="P1262" s="50">
        <f>IF(M1262="","",M1262+N(O1262))</f>
        <v/>
      </c>
      <c r="Q1262" s="45" t="n"/>
      <c r="R1262" s="45" t="n"/>
      <c r="S1262" s="51">
        <f>IF(L1262="","",IF(COUNTIF(L$6:L1262,L1262)&gt;1,"",SUMIF(L$6:L$2000,L1262,M$6:M$2000)-SUMIF(L$6:L$2000,L1262,G$6:G$2000)))</f>
        <v/>
      </c>
      <c r="T1262" s="46">
        <f>IF(AND(C1262="",G1262=""),"",IF(L1262="","Nog factureren",IF(AND(G1262&lt;&gt;"",OR(K1262="",K1262&gt;TODAY())),"Nog betalen",IF(OR(R1262="",R1262&gt;TODAY()),"Wacht op klant","Afgerond"))))</f>
        <v/>
      </c>
    </row>
    <row r="1263">
      <c r="A1263" s="45" t="n"/>
      <c r="B1263" s="46">
        <f>IF(A1263="","",YEAR(A1263)&amp;" Q"&amp;ROUNDUP(MONTH(A1263)/3,0))</f>
        <v/>
      </c>
      <c r="C1263" s="47" t="n"/>
      <c r="D1263" s="47" t="n"/>
      <c r="E1263" s="47" t="n"/>
      <c r="F1263" s="47" t="n"/>
      <c r="G1263" s="48" t="n"/>
      <c r="H1263" s="49" t="n"/>
      <c r="I1263" s="50">
        <f>IF(G1263="","",ROUND(G1263*H1263,2))</f>
        <v/>
      </c>
      <c r="J1263" s="50">
        <f>IF(G1263="","",G1263+N(I1263))</f>
        <v/>
      </c>
      <c r="K1263" s="45" t="n"/>
      <c r="L1263" s="47" t="n"/>
      <c r="M1263" s="48" t="n"/>
      <c r="N1263" s="49" t="n"/>
      <c r="O1263" s="50">
        <f>IF(M1263="","",ROUND(M1263*N1263,2))</f>
        <v/>
      </c>
      <c r="P1263" s="50">
        <f>IF(M1263="","",M1263+N(O1263))</f>
        <v/>
      </c>
      <c r="Q1263" s="45" t="n"/>
      <c r="R1263" s="45" t="n"/>
      <c r="S1263" s="51">
        <f>IF(L1263="","",IF(COUNTIF(L$6:L1263,L1263)&gt;1,"",SUMIF(L$6:L$2000,L1263,M$6:M$2000)-SUMIF(L$6:L$2000,L1263,G$6:G$2000)))</f>
        <v/>
      </c>
      <c r="T1263" s="46">
        <f>IF(AND(C1263="",G1263=""),"",IF(L1263="","Nog factureren",IF(AND(G1263&lt;&gt;"",OR(K1263="",K1263&gt;TODAY())),"Nog betalen",IF(OR(R1263="",R1263&gt;TODAY()),"Wacht op klant","Afgerond"))))</f>
        <v/>
      </c>
    </row>
    <row r="1264">
      <c r="A1264" s="45" t="n"/>
      <c r="B1264" s="46">
        <f>IF(A1264="","",YEAR(A1264)&amp;" Q"&amp;ROUNDUP(MONTH(A1264)/3,0))</f>
        <v/>
      </c>
      <c r="C1264" s="47" t="n"/>
      <c r="D1264" s="47" t="n"/>
      <c r="E1264" s="47" t="n"/>
      <c r="F1264" s="47" t="n"/>
      <c r="G1264" s="48" t="n"/>
      <c r="H1264" s="49" t="n"/>
      <c r="I1264" s="50">
        <f>IF(G1264="","",ROUND(G1264*H1264,2))</f>
        <v/>
      </c>
      <c r="J1264" s="50">
        <f>IF(G1264="","",G1264+N(I1264))</f>
        <v/>
      </c>
      <c r="K1264" s="45" t="n"/>
      <c r="L1264" s="47" t="n"/>
      <c r="M1264" s="48" t="n"/>
      <c r="N1264" s="49" t="n"/>
      <c r="O1264" s="50">
        <f>IF(M1264="","",ROUND(M1264*N1264,2))</f>
        <v/>
      </c>
      <c r="P1264" s="50">
        <f>IF(M1264="","",M1264+N(O1264))</f>
        <v/>
      </c>
      <c r="Q1264" s="45" t="n"/>
      <c r="R1264" s="45" t="n"/>
      <c r="S1264" s="51">
        <f>IF(L1264="","",IF(COUNTIF(L$6:L1264,L1264)&gt;1,"",SUMIF(L$6:L$2000,L1264,M$6:M$2000)-SUMIF(L$6:L$2000,L1264,G$6:G$2000)))</f>
        <v/>
      </c>
      <c r="T1264" s="46">
        <f>IF(AND(C1264="",G1264=""),"",IF(L1264="","Nog factureren",IF(AND(G1264&lt;&gt;"",OR(K1264="",K1264&gt;TODAY())),"Nog betalen",IF(OR(R1264="",R1264&gt;TODAY()),"Wacht op klant","Afgerond"))))</f>
        <v/>
      </c>
    </row>
    <row r="1265">
      <c r="A1265" s="45" t="n"/>
      <c r="B1265" s="46">
        <f>IF(A1265="","",YEAR(A1265)&amp;" Q"&amp;ROUNDUP(MONTH(A1265)/3,0))</f>
        <v/>
      </c>
      <c r="C1265" s="47" t="n"/>
      <c r="D1265" s="47" t="n"/>
      <c r="E1265" s="47" t="n"/>
      <c r="F1265" s="47" t="n"/>
      <c r="G1265" s="48" t="n"/>
      <c r="H1265" s="49" t="n"/>
      <c r="I1265" s="50">
        <f>IF(G1265="","",ROUND(G1265*H1265,2))</f>
        <v/>
      </c>
      <c r="J1265" s="50">
        <f>IF(G1265="","",G1265+N(I1265))</f>
        <v/>
      </c>
      <c r="K1265" s="45" t="n"/>
      <c r="L1265" s="47" t="n"/>
      <c r="M1265" s="48" t="n"/>
      <c r="N1265" s="49" t="n"/>
      <c r="O1265" s="50">
        <f>IF(M1265="","",ROUND(M1265*N1265,2))</f>
        <v/>
      </c>
      <c r="P1265" s="50">
        <f>IF(M1265="","",M1265+N(O1265))</f>
        <v/>
      </c>
      <c r="Q1265" s="45" t="n"/>
      <c r="R1265" s="45" t="n"/>
      <c r="S1265" s="51">
        <f>IF(L1265="","",IF(COUNTIF(L$6:L1265,L1265)&gt;1,"",SUMIF(L$6:L$2000,L1265,M$6:M$2000)-SUMIF(L$6:L$2000,L1265,G$6:G$2000)))</f>
        <v/>
      </c>
      <c r="T1265" s="46">
        <f>IF(AND(C1265="",G1265=""),"",IF(L1265="","Nog factureren",IF(AND(G1265&lt;&gt;"",OR(K1265="",K1265&gt;TODAY())),"Nog betalen",IF(OR(R1265="",R1265&gt;TODAY()),"Wacht op klant","Afgerond"))))</f>
        <v/>
      </c>
    </row>
    <row r="1266">
      <c r="A1266" s="45" t="n"/>
      <c r="B1266" s="46">
        <f>IF(A1266="","",YEAR(A1266)&amp;" Q"&amp;ROUNDUP(MONTH(A1266)/3,0))</f>
        <v/>
      </c>
      <c r="C1266" s="47" t="n"/>
      <c r="D1266" s="47" t="n"/>
      <c r="E1266" s="47" t="n"/>
      <c r="F1266" s="47" t="n"/>
      <c r="G1266" s="48" t="n"/>
      <c r="H1266" s="49" t="n"/>
      <c r="I1266" s="50">
        <f>IF(G1266="","",ROUND(G1266*H1266,2))</f>
        <v/>
      </c>
      <c r="J1266" s="50">
        <f>IF(G1266="","",G1266+N(I1266))</f>
        <v/>
      </c>
      <c r="K1266" s="45" t="n"/>
      <c r="L1266" s="47" t="n"/>
      <c r="M1266" s="48" t="n"/>
      <c r="N1266" s="49" t="n"/>
      <c r="O1266" s="50">
        <f>IF(M1266="","",ROUND(M1266*N1266,2))</f>
        <v/>
      </c>
      <c r="P1266" s="50">
        <f>IF(M1266="","",M1266+N(O1266))</f>
        <v/>
      </c>
      <c r="Q1266" s="45" t="n"/>
      <c r="R1266" s="45" t="n"/>
      <c r="S1266" s="51">
        <f>IF(L1266="","",IF(COUNTIF(L$6:L1266,L1266)&gt;1,"",SUMIF(L$6:L$2000,L1266,M$6:M$2000)-SUMIF(L$6:L$2000,L1266,G$6:G$2000)))</f>
        <v/>
      </c>
      <c r="T1266" s="46">
        <f>IF(AND(C1266="",G1266=""),"",IF(L1266="","Nog factureren",IF(AND(G1266&lt;&gt;"",OR(K1266="",K1266&gt;TODAY())),"Nog betalen",IF(OR(R1266="",R1266&gt;TODAY()),"Wacht op klant","Afgerond"))))</f>
        <v/>
      </c>
    </row>
    <row r="1267">
      <c r="A1267" s="45" t="n"/>
      <c r="B1267" s="46">
        <f>IF(A1267="","",YEAR(A1267)&amp;" Q"&amp;ROUNDUP(MONTH(A1267)/3,0))</f>
        <v/>
      </c>
      <c r="C1267" s="47" t="n"/>
      <c r="D1267" s="47" t="n"/>
      <c r="E1267" s="47" t="n"/>
      <c r="F1267" s="47" t="n"/>
      <c r="G1267" s="48" t="n"/>
      <c r="H1267" s="49" t="n"/>
      <c r="I1267" s="50">
        <f>IF(G1267="","",ROUND(G1267*H1267,2))</f>
        <v/>
      </c>
      <c r="J1267" s="50">
        <f>IF(G1267="","",G1267+N(I1267))</f>
        <v/>
      </c>
      <c r="K1267" s="45" t="n"/>
      <c r="L1267" s="47" t="n"/>
      <c r="M1267" s="48" t="n"/>
      <c r="N1267" s="49" t="n"/>
      <c r="O1267" s="50">
        <f>IF(M1267="","",ROUND(M1267*N1267,2))</f>
        <v/>
      </c>
      <c r="P1267" s="50">
        <f>IF(M1267="","",M1267+N(O1267))</f>
        <v/>
      </c>
      <c r="Q1267" s="45" t="n"/>
      <c r="R1267" s="45" t="n"/>
      <c r="S1267" s="51">
        <f>IF(L1267="","",IF(COUNTIF(L$6:L1267,L1267)&gt;1,"",SUMIF(L$6:L$2000,L1267,M$6:M$2000)-SUMIF(L$6:L$2000,L1267,G$6:G$2000)))</f>
        <v/>
      </c>
      <c r="T1267" s="46">
        <f>IF(AND(C1267="",G1267=""),"",IF(L1267="","Nog factureren",IF(AND(G1267&lt;&gt;"",OR(K1267="",K1267&gt;TODAY())),"Nog betalen",IF(OR(R1267="",R1267&gt;TODAY()),"Wacht op klant","Afgerond"))))</f>
        <v/>
      </c>
    </row>
    <row r="1268">
      <c r="A1268" s="45" t="n"/>
      <c r="B1268" s="46">
        <f>IF(A1268="","",YEAR(A1268)&amp;" Q"&amp;ROUNDUP(MONTH(A1268)/3,0))</f>
        <v/>
      </c>
      <c r="C1268" s="47" t="n"/>
      <c r="D1268" s="47" t="n"/>
      <c r="E1268" s="47" t="n"/>
      <c r="F1268" s="47" t="n"/>
      <c r="G1268" s="48" t="n"/>
      <c r="H1268" s="49" t="n"/>
      <c r="I1268" s="50">
        <f>IF(G1268="","",ROUND(G1268*H1268,2))</f>
        <v/>
      </c>
      <c r="J1268" s="50">
        <f>IF(G1268="","",G1268+N(I1268))</f>
        <v/>
      </c>
      <c r="K1268" s="45" t="n"/>
      <c r="L1268" s="47" t="n"/>
      <c r="M1268" s="48" t="n"/>
      <c r="N1268" s="49" t="n"/>
      <c r="O1268" s="50">
        <f>IF(M1268="","",ROUND(M1268*N1268,2))</f>
        <v/>
      </c>
      <c r="P1268" s="50">
        <f>IF(M1268="","",M1268+N(O1268))</f>
        <v/>
      </c>
      <c r="Q1268" s="45" t="n"/>
      <c r="R1268" s="45" t="n"/>
      <c r="S1268" s="51">
        <f>IF(L1268="","",IF(COUNTIF(L$6:L1268,L1268)&gt;1,"",SUMIF(L$6:L$2000,L1268,M$6:M$2000)-SUMIF(L$6:L$2000,L1268,G$6:G$2000)))</f>
        <v/>
      </c>
      <c r="T1268" s="46">
        <f>IF(AND(C1268="",G1268=""),"",IF(L1268="","Nog factureren",IF(AND(G1268&lt;&gt;"",OR(K1268="",K1268&gt;TODAY())),"Nog betalen",IF(OR(R1268="",R1268&gt;TODAY()),"Wacht op klant","Afgerond"))))</f>
        <v/>
      </c>
    </row>
    <row r="1269">
      <c r="A1269" s="45" t="n"/>
      <c r="B1269" s="46">
        <f>IF(A1269="","",YEAR(A1269)&amp;" Q"&amp;ROUNDUP(MONTH(A1269)/3,0))</f>
        <v/>
      </c>
      <c r="C1269" s="47" t="n"/>
      <c r="D1269" s="47" t="n"/>
      <c r="E1269" s="47" t="n"/>
      <c r="F1269" s="47" t="n"/>
      <c r="G1269" s="48" t="n"/>
      <c r="H1269" s="49" t="n"/>
      <c r="I1269" s="50">
        <f>IF(G1269="","",ROUND(G1269*H1269,2))</f>
        <v/>
      </c>
      <c r="J1269" s="50">
        <f>IF(G1269="","",G1269+N(I1269))</f>
        <v/>
      </c>
      <c r="K1269" s="45" t="n"/>
      <c r="L1269" s="47" t="n"/>
      <c r="M1269" s="48" t="n"/>
      <c r="N1269" s="49" t="n"/>
      <c r="O1269" s="50">
        <f>IF(M1269="","",ROUND(M1269*N1269,2))</f>
        <v/>
      </c>
      <c r="P1269" s="50">
        <f>IF(M1269="","",M1269+N(O1269))</f>
        <v/>
      </c>
      <c r="Q1269" s="45" t="n"/>
      <c r="R1269" s="45" t="n"/>
      <c r="S1269" s="51">
        <f>IF(L1269="","",IF(COUNTIF(L$6:L1269,L1269)&gt;1,"",SUMIF(L$6:L$2000,L1269,M$6:M$2000)-SUMIF(L$6:L$2000,L1269,G$6:G$2000)))</f>
        <v/>
      </c>
      <c r="T1269" s="46">
        <f>IF(AND(C1269="",G1269=""),"",IF(L1269="","Nog factureren",IF(AND(G1269&lt;&gt;"",OR(K1269="",K1269&gt;TODAY())),"Nog betalen",IF(OR(R1269="",R1269&gt;TODAY()),"Wacht op klant","Afgerond"))))</f>
        <v/>
      </c>
    </row>
    <row r="1270">
      <c r="A1270" s="45" t="n"/>
      <c r="B1270" s="46">
        <f>IF(A1270="","",YEAR(A1270)&amp;" Q"&amp;ROUNDUP(MONTH(A1270)/3,0))</f>
        <v/>
      </c>
      <c r="C1270" s="47" t="n"/>
      <c r="D1270" s="47" t="n"/>
      <c r="E1270" s="47" t="n"/>
      <c r="F1270" s="47" t="n"/>
      <c r="G1270" s="48" t="n"/>
      <c r="H1270" s="49" t="n"/>
      <c r="I1270" s="50">
        <f>IF(G1270="","",ROUND(G1270*H1270,2))</f>
        <v/>
      </c>
      <c r="J1270" s="50">
        <f>IF(G1270="","",G1270+N(I1270))</f>
        <v/>
      </c>
      <c r="K1270" s="45" t="n"/>
      <c r="L1270" s="47" t="n"/>
      <c r="M1270" s="48" t="n"/>
      <c r="N1270" s="49" t="n"/>
      <c r="O1270" s="50">
        <f>IF(M1270="","",ROUND(M1270*N1270,2))</f>
        <v/>
      </c>
      <c r="P1270" s="50">
        <f>IF(M1270="","",M1270+N(O1270))</f>
        <v/>
      </c>
      <c r="Q1270" s="45" t="n"/>
      <c r="R1270" s="45" t="n"/>
      <c r="S1270" s="51">
        <f>IF(L1270="","",IF(COUNTIF(L$6:L1270,L1270)&gt;1,"",SUMIF(L$6:L$2000,L1270,M$6:M$2000)-SUMIF(L$6:L$2000,L1270,G$6:G$2000)))</f>
        <v/>
      </c>
      <c r="T1270" s="46">
        <f>IF(AND(C1270="",G1270=""),"",IF(L1270="","Nog factureren",IF(AND(G1270&lt;&gt;"",OR(K1270="",K1270&gt;TODAY())),"Nog betalen",IF(OR(R1270="",R1270&gt;TODAY()),"Wacht op klant","Afgerond"))))</f>
        <v/>
      </c>
    </row>
    <row r="1271">
      <c r="A1271" s="45" t="n"/>
      <c r="B1271" s="46">
        <f>IF(A1271="","",YEAR(A1271)&amp;" Q"&amp;ROUNDUP(MONTH(A1271)/3,0))</f>
        <v/>
      </c>
      <c r="C1271" s="47" t="n"/>
      <c r="D1271" s="47" t="n"/>
      <c r="E1271" s="47" t="n"/>
      <c r="F1271" s="47" t="n"/>
      <c r="G1271" s="48" t="n"/>
      <c r="H1271" s="49" t="n"/>
      <c r="I1271" s="50">
        <f>IF(G1271="","",ROUND(G1271*H1271,2))</f>
        <v/>
      </c>
      <c r="J1271" s="50">
        <f>IF(G1271="","",G1271+N(I1271))</f>
        <v/>
      </c>
      <c r="K1271" s="45" t="n"/>
      <c r="L1271" s="47" t="n"/>
      <c r="M1271" s="48" t="n"/>
      <c r="N1271" s="49" t="n"/>
      <c r="O1271" s="50">
        <f>IF(M1271="","",ROUND(M1271*N1271,2))</f>
        <v/>
      </c>
      <c r="P1271" s="50">
        <f>IF(M1271="","",M1271+N(O1271))</f>
        <v/>
      </c>
      <c r="Q1271" s="45" t="n"/>
      <c r="R1271" s="45" t="n"/>
      <c r="S1271" s="51">
        <f>IF(L1271="","",IF(COUNTIF(L$6:L1271,L1271)&gt;1,"",SUMIF(L$6:L$2000,L1271,M$6:M$2000)-SUMIF(L$6:L$2000,L1271,G$6:G$2000)))</f>
        <v/>
      </c>
      <c r="T1271" s="46">
        <f>IF(AND(C1271="",G1271=""),"",IF(L1271="","Nog factureren",IF(AND(G1271&lt;&gt;"",OR(K1271="",K1271&gt;TODAY())),"Nog betalen",IF(OR(R1271="",R1271&gt;TODAY()),"Wacht op klant","Afgerond"))))</f>
        <v/>
      </c>
    </row>
    <row r="1272">
      <c r="A1272" s="45" t="n"/>
      <c r="B1272" s="46">
        <f>IF(A1272="","",YEAR(A1272)&amp;" Q"&amp;ROUNDUP(MONTH(A1272)/3,0))</f>
        <v/>
      </c>
      <c r="C1272" s="47" t="n"/>
      <c r="D1272" s="47" t="n"/>
      <c r="E1272" s="47" t="n"/>
      <c r="F1272" s="47" t="n"/>
      <c r="G1272" s="48" t="n"/>
      <c r="H1272" s="49" t="n"/>
      <c r="I1272" s="50">
        <f>IF(G1272="","",ROUND(G1272*H1272,2))</f>
        <v/>
      </c>
      <c r="J1272" s="50">
        <f>IF(G1272="","",G1272+N(I1272))</f>
        <v/>
      </c>
      <c r="K1272" s="45" t="n"/>
      <c r="L1272" s="47" t="n"/>
      <c r="M1272" s="48" t="n"/>
      <c r="N1272" s="49" t="n"/>
      <c r="O1272" s="50">
        <f>IF(M1272="","",ROUND(M1272*N1272,2))</f>
        <v/>
      </c>
      <c r="P1272" s="50">
        <f>IF(M1272="","",M1272+N(O1272))</f>
        <v/>
      </c>
      <c r="Q1272" s="45" t="n"/>
      <c r="R1272" s="45" t="n"/>
      <c r="S1272" s="51">
        <f>IF(L1272="","",IF(COUNTIF(L$6:L1272,L1272)&gt;1,"",SUMIF(L$6:L$2000,L1272,M$6:M$2000)-SUMIF(L$6:L$2000,L1272,G$6:G$2000)))</f>
        <v/>
      </c>
      <c r="T1272" s="46">
        <f>IF(AND(C1272="",G1272=""),"",IF(L1272="","Nog factureren",IF(AND(G1272&lt;&gt;"",OR(K1272="",K1272&gt;TODAY())),"Nog betalen",IF(OR(R1272="",R1272&gt;TODAY()),"Wacht op klant","Afgerond"))))</f>
        <v/>
      </c>
    </row>
    <row r="1273">
      <c r="A1273" s="45" t="n"/>
      <c r="B1273" s="46">
        <f>IF(A1273="","",YEAR(A1273)&amp;" Q"&amp;ROUNDUP(MONTH(A1273)/3,0))</f>
        <v/>
      </c>
      <c r="C1273" s="47" t="n"/>
      <c r="D1273" s="47" t="n"/>
      <c r="E1273" s="47" t="n"/>
      <c r="F1273" s="47" t="n"/>
      <c r="G1273" s="48" t="n"/>
      <c r="H1273" s="49" t="n"/>
      <c r="I1273" s="50">
        <f>IF(G1273="","",ROUND(G1273*H1273,2))</f>
        <v/>
      </c>
      <c r="J1273" s="50">
        <f>IF(G1273="","",G1273+N(I1273))</f>
        <v/>
      </c>
      <c r="K1273" s="45" t="n"/>
      <c r="L1273" s="47" t="n"/>
      <c r="M1273" s="48" t="n"/>
      <c r="N1273" s="49" t="n"/>
      <c r="O1273" s="50">
        <f>IF(M1273="","",ROUND(M1273*N1273,2))</f>
        <v/>
      </c>
      <c r="P1273" s="50">
        <f>IF(M1273="","",M1273+N(O1273))</f>
        <v/>
      </c>
      <c r="Q1273" s="45" t="n"/>
      <c r="R1273" s="45" t="n"/>
      <c r="S1273" s="51">
        <f>IF(L1273="","",IF(COUNTIF(L$6:L1273,L1273)&gt;1,"",SUMIF(L$6:L$2000,L1273,M$6:M$2000)-SUMIF(L$6:L$2000,L1273,G$6:G$2000)))</f>
        <v/>
      </c>
      <c r="T1273" s="46">
        <f>IF(AND(C1273="",G1273=""),"",IF(L1273="","Nog factureren",IF(AND(G1273&lt;&gt;"",OR(K1273="",K1273&gt;TODAY())),"Nog betalen",IF(OR(R1273="",R1273&gt;TODAY()),"Wacht op klant","Afgerond"))))</f>
        <v/>
      </c>
    </row>
    <row r="1274">
      <c r="A1274" s="45" t="n"/>
      <c r="B1274" s="46">
        <f>IF(A1274="","",YEAR(A1274)&amp;" Q"&amp;ROUNDUP(MONTH(A1274)/3,0))</f>
        <v/>
      </c>
      <c r="C1274" s="47" t="n"/>
      <c r="D1274" s="47" t="n"/>
      <c r="E1274" s="47" t="n"/>
      <c r="F1274" s="47" t="n"/>
      <c r="G1274" s="48" t="n"/>
      <c r="H1274" s="49" t="n"/>
      <c r="I1274" s="50">
        <f>IF(G1274="","",ROUND(G1274*H1274,2))</f>
        <v/>
      </c>
      <c r="J1274" s="50">
        <f>IF(G1274="","",G1274+N(I1274))</f>
        <v/>
      </c>
      <c r="K1274" s="45" t="n"/>
      <c r="L1274" s="47" t="n"/>
      <c r="M1274" s="48" t="n"/>
      <c r="N1274" s="49" t="n"/>
      <c r="O1274" s="50">
        <f>IF(M1274="","",ROUND(M1274*N1274,2))</f>
        <v/>
      </c>
      <c r="P1274" s="50">
        <f>IF(M1274="","",M1274+N(O1274))</f>
        <v/>
      </c>
      <c r="Q1274" s="45" t="n"/>
      <c r="R1274" s="45" t="n"/>
      <c r="S1274" s="51">
        <f>IF(L1274="","",IF(COUNTIF(L$6:L1274,L1274)&gt;1,"",SUMIF(L$6:L$2000,L1274,M$6:M$2000)-SUMIF(L$6:L$2000,L1274,G$6:G$2000)))</f>
        <v/>
      </c>
      <c r="T1274" s="46">
        <f>IF(AND(C1274="",G1274=""),"",IF(L1274="","Nog factureren",IF(AND(G1274&lt;&gt;"",OR(K1274="",K1274&gt;TODAY())),"Nog betalen",IF(OR(R1274="",R1274&gt;TODAY()),"Wacht op klant","Afgerond"))))</f>
        <v/>
      </c>
    </row>
    <row r="1275">
      <c r="A1275" s="45" t="n"/>
      <c r="B1275" s="46">
        <f>IF(A1275="","",YEAR(A1275)&amp;" Q"&amp;ROUNDUP(MONTH(A1275)/3,0))</f>
        <v/>
      </c>
      <c r="C1275" s="47" t="n"/>
      <c r="D1275" s="47" t="n"/>
      <c r="E1275" s="47" t="n"/>
      <c r="F1275" s="47" t="n"/>
      <c r="G1275" s="48" t="n"/>
      <c r="H1275" s="49" t="n"/>
      <c r="I1275" s="50">
        <f>IF(G1275="","",ROUND(G1275*H1275,2))</f>
        <v/>
      </c>
      <c r="J1275" s="50">
        <f>IF(G1275="","",G1275+N(I1275))</f>
        <v/>
      </c>
      <c r="K1275" s="45" t="n"/>
      <c r="L1275" s="47" t="n"/>
      <c r="M1275" s="48" t="n"/>
      <c r="N1275" s="49" t="n"/>
      <c r="O1275" s="50">
        <f>IF(M1275="","",ROUND(M1275*N1275,2))</f>
        <v/>
      </c>
      <c r="P1275" s="50">
        <f>IF(M1275="","",M1275+N(O1275))</f>
        <v/>
      </c>
      <c r="Q1275" s="45" t="n"/>
      <c r="R1275" s="45" t="n"/>
      <c r="S1275" s="51">
        <f>IF(L1275="","",IF(COUNTIF(L$6:L1275,L1275)&gt;1,"",SUMIF(L$6:L$2000,L1275,M$6:M$2000)-SUMIF(L$6:L$2000,L1275,G$6:G$2000)))</f>
        <v/>
      </c>
      <c r="T1275" s="46">
        <f>IF(AND(C1275="",G1275=""),"",IF(L1275="","Nog factureren",IF(AND(G1275&lt;&gt;"",OR(K1275="",K1275&gt;TODAY())),"Nog betalen",IF(OR(R1275="",R1275&gt;TODAY()),"Wacht op klant","Afgerond"))))</f>
        <v/>
      </c>
    </row>
    <row r="1276">
      <c r="A1276" s="45" t="n"/>
      <c r="B1276" s="46">
        <f>IF(A1276="","",YEAR(A1276)&amp;" Q"&amp;ROUNDUP(MONTH(A1276)/3,0))</f>
        <v/>
      </c>
      <c r="C1276" s="47" t="n"/>
      <c r="D1276" s="47" t="n"/>
      <c r="E1276" s="47" t="n"/>
      <c r="F1276" s="47" t="n"/>
      <c r="G1276" s="48" t="n"/>
      <c r="H1276" s="49" t="n"/>
      <c r="I1276" s="50">
        <f>IF(G1276="","",ROUND(G1276*H1276,2))</f>
        <v/>
      </c>
      <c r="J1276" s="50">
        <f>IF(G1276="","",G1276+N(I1276))</f>
        <v/>
      </c>
      <c r="K1276" s="45" t="n"/>
      <c r="L1276" s="47" t="n"/>
      <c r="M1276" s="48" t="n"/>
      <c r="N1276" s="49" t="n"/>
      <c r="O1276" s="50">
        <f>IF(M1276="","",ROUND(M1276*N1276,2))</f>
        <v/>
      </c>
      <c r="P1276" s="50">
        <f>IF(M1276="","",M1276+N(O1276))</f>
        <v/>
      </c>
      <c r="Q1276" s="45" t="n"/>
      <c r="R1276" s="45" t="n"/>
      <c r="S1276" s="51">
        <f>IF(L1276="","",IF(COUNTIF(L$6:L1276,L1276)&gt;1,"",SUMIF(L$6:L$2000,L1276,M$6:M$2000)-SUMIF(L$6:L$2000,L1276,G$6:G$2000)))</f>
        <v/>
      </c>
      <c r="T1276" s="46">
        <f>IF(AND(C1276="",G1276=""),"",IF(L1276="","Nog factureren",IF(AND(G1276&lt;&gt;"",OR(K1276="",K1276&gt;TODAY())),"Nog betalen",IF(OR(R1276="",R1276&gt;TODAY()),"Wacht op klant","Afgerond"))))</f>
        <v/>
      </c>
    </row>
    <row r="1277">
      <c r="A1277" s="45" t="n"/>
      <c r="B1277" s="46">
        <f>IF(A1277="","",YEAR(A1277)&amp;" Q"&amp;ROUNDUP(MONTH(A1277)/3,0))</f>
        <v/>
      </c>
      <c r="C1277" s="47" t="n"/>
      <c r="D1277" s="47" t="n"/>
      <c r="E1277" s="47" t="n"/>
      <c r="F1277" s="47" t="n"/>
      <c r="G1277" s="48" t="n"/>
      <c r="H1277" s="49" t="n"/>
      <c r="I1277" s="50">
        <f>IF(G1277="","",ROUND(G1277*H1277,2))</f>
        <v/>
      </c>
      <c r="J1277" s="50">
        <f>IF(G1277="","",G1277+N(I1277))</f>
        <v/>
      </c>
      <c r="K1277" s="45" t="n"/>
      <c r="L1277" s="47" t="n"/>
      <c r="M1277" s="48" t="n"/>
      <c r="N1277" s="49" t="n"/>
      <c r="O1277" s="50">
        <f>IF(M1277="","",ROUND(M1277*N1277,2))</f>
        <v/>
      </c>
      <c r="P1277" s="50">
        <f>IF(M1277="","",M1277+N(O1277))</f>
        <v/>
      </c>
      <c r="Q1277" s="45" t="n"/>
      <c r="R1277" s="45" t="n"/>
      <c r="S1277" s="51">
        <f>IF(L1277="","",IF(COUNTIF(L$6:L1277,L1277)&gt;1,"",SUMIF(L$6:L$2000,L1277,M$6:M$2000)-SUMIF(L$6:L$2000,L1277,G$6:G$2000)))</f>
        <v/>
      </c>
      <c r="T1277" s="46">
        <f>IF(AND(C1277="",G1277=""),"",IF(L1277="","Nog factureren",IF(AND(G1277&lt;&gt;"",OR(K1277="",K1277&gt;TODAY())),"Nog betalen",IF(OR(R1277="",R1277&gt;TODAY()),"Wacht op klant","Afgerond"))))</f>
        <v/>
      </c>
    </row>
    <row r="1278">
      <c r="A1278" s="45" t="n"/>
      <c r="B1278" s="46">
        <f>IF(A1278="","",YEAR(A1278)&amp;" Q"&amp;ROUNDUP(MONTH(A1278)/3,0))</f>
        <v/>
      </c>
      <c r="C1278" s="47" t="n"/>
      <c r="D1278" s="47" t="n"/>
      <c r="E1278" s="47" t="n"/>
      <c r="F1278" s="47" t="n"/>
      <c r="G1278" s="48" t="n"/>
      <c r="H1278" s="49" t="n"/>
      <c r="I1278" s="50">
        <f>IF(G1278="","",ROUND(G1278*H1278,2))</f>
        <v/>
      </c>
      <c r="J1278" s="50">
        <f>IF(G1278="","",G1278+N(I1278))</f>
        <v/>
      </c>
      <c r="K1278" s="45" t="n"/>
      <c r="L1278" s="47" t="n"/>
      <c r="M1278" s="48" t="n"/>
      <c r="N1278" s="49" t="n"/>
      <c r="O1278" s="50">
        <f>IF(M1278="","",ROUND(M1278*N1278,2))</f>
        <v/>
      </c>
      <c r="P1278" s="50">
        <f>IF(M1278="","",M1278+N(O1278))</f>
        <v/>
      </c>
      <c r="Q1278" s="45" t="n"/>
      <c r="R1278" s="45" t="n"/>
      <c r="S1278" s="51">
        <f>IF(L1278="","",IF(COUNTIF(L$6:L1278,L1278)&gt;1,"",SUMIF(L$6:L$2000,L1278,M$6:M$2000)-SUMIF(L$6:L$2000,L1278,G$6:G$2000)))</f>
        <v/>
      </c>
      <c r="T1278" s="46">
        <f>IF(AND(C1278="",G1278=""),"",IF(L1278="","Nog factureren",IF(AND(G1278&lt;&gt;"",OR(K1278="",K1278&gt;TODAY())),"Nog betalen",IF(OR(R1278="",R1278&gt;TODAY()),"Wacht op klant","Afgerond"))))</f>
        <v/>
      </c>
    </row>
    <row r="1279">
      <c r="A1279" s="45" t="n"/>
      <c r="B1279" s="46">
        <f>IF(A1279="","",YEAR(A1279)&amp;" Q"&amp;ROUNDUP(MONTH(A1279)/3,0))</f>
        <v/>
      </c>
      <c r="C1279" s="47" t="n"/>
      <c r="D1279" s="47" t="n"/>
      <c r="E1279" s="47" t="n"/>
      <c r="F1279" s="47" t="n"/>
      <c r="G1279" s="48" t="n"/>
      <c r="H1279" s="49" t="n"/>
      <c r="I1279" s="50">
        <f>IF(G1279="","",ROUND(G1279*H1279,2))</f>
        <v/>
      </c>
      <c r="J1279" s="50">
        <f>IF(G1279="","",G1279+N(I1279))</f>
        <v/>
      </c>
      <c r="K1279" s="45" t="n"/>
      <c r="L1279" s="47" t="n"/>
      <c r="M1279" s="48" t="n"/>
      <c r="N1279" s="49" t="n"/>
      <c r="O1279" s="50">
        <f>IF(M1279="","",ROUND(M1279*N1279,2))</f>
        <v/>
      </c>
      <c r="P1279" s="50">
        <f>IF(M1279="","",M1279+N(O1279))</f>
        <v/>
      </c>
      <c r="Q1279" s="45" t="n"/>
      <c r="R1279" s="45" t="n"/>
      <c r="S1279" s="51">
        <f>IF(L1279="","",IF(COUNTIF(L$6:L1279,L1279)&gt;1,"",SUMIF(L$6:L$2000,L1279,M$6:M$2000)-SUMIF(L$6:L$2000,L1279,G$6:G$2000)))</f>
        <v/>
      </c>
      <c r="T1279" s="46">
        <f>IF(AND(C1279="",G1279=""),"",IF(L1279="","Nog factureren",IF(AND(G1279&lt;&gt;"",OR(K1279="",K1279&gt;TODAY())),"Nog betalen",IF(OR(R1279="",R1279&gt;TODAY()),"Wacht op klant","Afgerond"))))</f>
        <v/>
      </c>
    </row>
    <row r="1280">
      <c r="A1280" s="45" t="n"/>
      <c r="B1280" s="46">
        <f>IF(A1280="","",YEAR(A1280)&amp;" Q"&amp;ROUNDUP(MONTH(A1280)/3,0))</f>
        <v/>
      </c>
      <c r="C1280" s="47" t="n"/>
      <c r="D1280" s="47" t="n"/>
      <c r="E1280" s="47" t="n"/>
      <c r="F1280" s="47" t="n"/>
      <c r="G1280" s="48" t="n"/>
      <c r="H1280" s="49" t="n"/>
      <c r="I1280" s="50">
        <f>IF(G1280="","",ROUND(G1280*H1280,2))</f>
        <v/>
      </c>
      <c r="J1280" s="50">
        <f>IF(G1280="","",G1280+N(I1280))</f>
        <v/>
      </c>
      <c r="K1280" s="45" t="n"/>
      <c r="L1280" s="47" t="n"/>
      <c r="M1280" s="48" t="n"/>
      <c r="N1280" s="49" t="n"/>
      <c r="O1280" s="50">
        <f>IF(M1280="","",ROUND(M1280*N1280,2))</f>
        <v/>
      </c>
      <c r="P1280" s="50">
        <f>IF(M1280="","",M1280+N(O1280))</f>
        <v/>
      </c>
      <c r="Q1280" s="45" t="n"/>
      <c r="R1280" s="45" t="n"/>
      <c r="S1280" s="51">
        <f>IF(L1280="","",IF(COUNTIF(L$6:L1280,L1280)&gt;1,"",SUMIF(L$6:L$2000,L1280,M$6:M$2000)-SUMIF(L$6:L$2000,L1280,G$6:G$2000)))</f>
        <v/>
      </c>
      <c r="T1280" s="46">
        <f>IF(AND(C1280="",G1280=""),"",IF(L1280="","Nog factureren",IF(AND(G1280&lt;&gt;"",OR(K1280="",K1280&gt;TODAY())),"Nog betalen",IF(OR(R1280="",R1280&gt;TODAY()),"Wacht op klant","Afgerond"))))</f>
        <v/>
      </c>
    </row>
    <row r="1281">
      <c r="A1281" s="45" t="n"/>
      <c r="B1281" s="46">
        <f>IF(A1281="","",YEAR(A1281)&amp;" Q"&amp;ROUNDUP(MONTH(A1281)/3,0))</f>
        <v/>
      </c>
      <c r="C1281" s="47" t="n"/>
      <c r="D1281" s="47" t="n"/>
      <c r="E1281" s="47" t="n"/>
      <c r="F1281" s="47" t="n"/>
      <c r="G1281" s="48" t="n"/>
      <c r="H1281" s="49" t="n"/>
      <c r="I1281" s="50">
        <f>IF(G1281="","",ROUND(G1281*H1281,2))</f>
        <v/>
      </c>
      <c r="J1281" s="50">
        <f>IF(G1281="","",G1281+N(I1281))</f>
        <v/>
      </c>
      <c r="K1281" s="45" t="n"/>
      <c r="L1281" s="47" t="n"/>
      <c r="M1281" s="48" t="n"/>
      <c r="N1281" s="49" t="n"/>
      <c r="O1281" s="50">
        <f>IF(M1281="","",ROUND(M1281*N1281,2))</f>
        <v/>
      </c>
      <c r="P1281" s="50">
        <f>IF(M1281="","",M1281+N(O1281))</f>
        <v/>
      </c>
      <c r="Q1281" s="45" t="n"/>
      <c r="R1281" s="45" t="n"/>
      <c r="S1281" s="51">
        <f>IF(L1281="","",IF(COUNTIF(L$6:L1281,L1281)&gt;1,"",SUMIF(L$6:L$2000,L1281,M$6:M$2000)-SUMIF(L$6:L$2000,L1281,G$6:G$2000)))</f>
        <v/>
      </c>
      <c r="T1281" s="46">
        <f>IF(AND(C1281="",G1281=""),"",IF(L1281="","Nog factureren",IF(AND(G1281&lt;&gt;"",OR(K1281="",K1281&gt;TODAY())),"Nog betalen",IF(OR(R1281="",R1281&gt;TODAY()),"Wacht op klant","Afgerond"))))</f>
        <v/>
      </c>
    </row>
    <row r="1282">
      <c r="A1282" s="45" t="n"/>
      <c r="B1282" s="46">
        <f>IF(A1282="","",YEAR(A1282)&amp;" Q"&amp;ROUNDUP(MONTH(A1282)/3,0))</f>
        <v/>
      </c>
      <c r="C1282" s="47" t="n"/>
      <c r="D1282" s="47" t="n"/>
      <c r="E1282" s="47" t="n"/>
      <c r="F1282" s="47" t="n"/>
      <c r="G1282" s="48" t="n"/>
      <c r="H1282" s="49" t="n"/>
      <c r="I1282" s="50">
        <f>IF(G1282="","",ROUND(G1282*H1282,2))</f>
        <v/>
      </c>
      <c r="J1282" s="50">
        <f>IF(G1282="","",G1282+N(I1282))</f>
        <v/>
      </c>
      <c r="K1282" s="45" t="n"/>
      <c r="L1282" s="47" t="n"/>
      <c r="M1282" s="48" t="n"/>
      <c r="N1282" s="49" t="n"/>
      <c r="O1282" s="50">
        <f>IF(M1282="","",ROUND(M1282*N1282,2))</f>
        <v/>
      </c>
      <c r="P1282" s="50">
        <f>IF(M1282="","",M1282+N(O1282))</f>
        <v/>
      </c>
      <c r="Q1282" s="45" t="n"/>
      <c r="R1282" s="45" t="n"/>
      <c r="S1282" s="51">
        <f>IF(L1282="","",IF(COUNTIF(L$6:L1282,L1282)&gt;1,"",SUMIF(L$6:L$2000,L1282,M$6:M$2000)-SUMIF(L$6:L$2000,L1282,G$6:G$2000)))</f>
        <v/>
      </c>
      <c r="T1282" s="46">
        <f>IF(AND(C1282="",G1282=""),"",IF(L1282="","Nog factureren",IF(AND(G1282&lt;&gt;"",OR(K1282="",K1282&gt;TODAY())),"Nog betalen",IF(OR(R1282="",R1282&gt;TODAY()),"Wacht op klant","Afgerond"))))</f>
        <v/>
      </c>
    </row>
    <row r="1283">
      <c r="A1283" s="45" t="n"/>
      <c r="B1283" s="46">
        <f>IF(A1283="","",YEAR(A1283)&amp;" Q"&amp;ROUNDUP(MONTH(A1283)/3,0))</f>
        <v/>
      </c>
      <c r="C1283" s="47" t="n"/>
      <c r="D1283" s="47" t="n"/>
      <c r="E1283" s="47" t="n"/>
      <c r="F1283" s="47" t="n"/>
      <c r="G1283" s="48" t="n"/>
      <c r="H1283" s="49" t="n"/>
      <c r="I1283" s="50">
        <f>IF(G1283="","",ROUND(G1283*H1283,2))</f>
        <v/>
      </c>
      <c r="J1283" s="50">
        <f>IF(G1283="","",G1283+N(I1283))</f>
        <v/>
      </c>
      <c r="K1283" s="45" t="n"/>
      <c r="L1283" s="47" t="n"/>
      <c r="M1283" s="48" t="n"/>
      <c r="N1283" s="49" t="n"/>
      <c r="O1283" s="50">
        <f>IF(M1283="","",ROUND(M1283*N1283,2))</f>
        <v/>
      </c>
      <c r="P1283" s="50">
        <f>IF(M1283="","",M1283+N(O1283))</f>
        <v/>
      </c>
      <c r="Q1283" s="45" t="n"/>
      <c r="R1283" s="45" t="n"/>
      <c r="S1283" s="51">
        <f>IF(L1283="","",IF(COUNTIF(L$6:L1283,L1283)&gt;1,"",SUMIF(L$6:L$2000,L1283,M$6:M$2000)-SUMIF(L$6:L$2000,L1283,G$6:G$2000)))</f>
        <v/>
      </c>
      <c r="T1283" s="46">
        <f>IF(AND(C1283="",G1283=""),"",IF(L1283="","Nog factureren",IF(AND(G1283&lt;&gt;"",OR(K1283="",K1283&gt;TODAY())),"Nog betalen",IF(OR(R1283="",R1283&gt;TODAY()),"Wacht op klant","Afgerond"))))</f>
        <v/>
      </c>
    </row>
    <row r="1284">
      <c r="A1284" s="45" t="n"/>
      <c r="B1284" s="46">
        <f>IF(A1284="","",YEAR(A1284)&amp;" Q"&amp;ROUNDUP(MONTH(A1284)/3,0))</f>
        <v/>
      </c>
      <c r="C1284" s="47" t="n"/>
      <c r="D1284" s="47" t="n"/>
      <c r="E1284" s="47" t="n"/>
      <c r="F1284" s="47" t="n"/>
      <c r="G1284" s="48" t="n"/>
      <c r="H1284" s="49" t="n"/>
      <c r="I1284" s="50">
        <f>IF(G1284="","",ROUND(G1284*H1284,2))</f>
        <v/>
      </c>
      <c r="J1284" s="50">
        <f>IF(G1284="","",G1284+N(I1284))</f>
        <v/>
      </c>
      <c r="K1284" s="45" t="n"/>
      <c r="L1284" s="47" t="n"/>
      <c r="M1284" s="48" t="n"/>
      <c r="N1284" s="49" t="n"/>
      <c r="O1284" s="50">
        <f>IF(M1284="","",ROUND(M1284*N1284,2))</f>
        <v/>
      </c>
      <c r="P1284" s="50">
        <f>IF(M1284="","",M1284+N(O1284))</f>
        <v/>
      </c>
      <c r="Q1284" s="45" t="n"/>
      <c r="R1284" s="45" t="n"/>
      <c r="S1284" s="51">
        <f>IF(L1284="","",IF(COUNTIF(L$6:L1284,L1284)&gt;1,"",SUMIF(L$6:L$2000,L1284,M$6:M$2000)-SUMIF(L$6:L$2000,L1284,G$6:G$2000)))</f>
        <v/>
      </c>
      <c r="T1284" s="46">
        <f>IF(AND(C1284="",G1284=""),"",IF(L1284="","Nog factureren",IF(AND(G1284&lt;&gt;"",OR(K1284="",K1284&gt;TODAY())),"Nog betalen",IF(OR(R1284="",R1284&gt;TODAY()),"Wacht op klant","Afgerond"))))</f>
        <v/>
      </c>
    </row>
    <row r="1285">
      <c r="A1285" s="45" t="n"/>
      <c r="B1285" s="46">
        <f>IF(A1285="","",YEAR(A1285)&amp;" Q"&amp;ROUNDUP(MONTH(A1285)/3,0))</f>
        <v/>
      </c>
      <c r="C1285" s="47" t="n"/>
      <c r="D1285" s="47" t="n"/>
      <c r="E1285" s="47" t="n"/>
      <c r="F1285" s="47" t="n"/>
      <c r="G1285" s="48" t="n"/>
      <c r="H1285" s="49" t="n"/>
      <c r="I1285" s="50">
        <f>IF(G1285="","",ROUND(G1285*H1285,2))</f>
        <v/>
      </c>
      <c r="J1285" s="50">
        <f>IF(G1285="","",G1285+N(I1285))</f>
        <v/>
      </c>
      <c r="K1285" s="45" t="n"/>
      <c r="L1285" s="47" t="n"/>
      <c r="M1285" s="48" t="n"/>
      <c r="N1285" s="49" t="n"/>
      <c r="O1285" s="50">
        <f>IF(M1285="","",ROUND(M1285*N1285,2))</f>
        <v/>
      </c>
      <c r="P1285" s="50">
        <f>IF(M1285="","",M1285+N(O1285))</f>
        <v/>
      </c>
      <c r="Q1285" s="45" t="n"/>
      <c r="R1285" s="45" t="n"/>
      <c r="S1285" s="51">
        <f>IF(L1285="","",IF(COUNTIF(L$6:L1285,L1285)&gt;1,"",SUMIF(L$6:L$2000,L1285,M$6:M$2000)-SUMIF(L$6:L$2000,L1285,G$6:G$2000)))</f>
        <v/>
      </c>
      <c r="T1285" s="46">
        <f>IF(AND(C1285="",G1285=""),"",IF(L1285="","Nog factureren",IF(AND(G1285&lt;&gt;"",OR(K1285="",K1285&gt;TODAY())),"Nog betalen",IF(OR(R1285="",R1285&gt;TODAY()),"Wacht op klant","Afgerond"))))</f>
        <v/>
      </c>
    </row>
    <row r="1286">
      <c r="A1286" s="45" t="n"/>
      <c r="B1286" s="46">
        <f>IF(A1286="","",YEAR(A1286)&amp;" Q"&amp;ROUNDUP(MONTH(A1286)/3,0))</f>
        <v/>
      </c>
      <c r="C1286" s="47" t="n"/>
      <c r="D1286" s="47" t="n"/>
      <c r="E1286" s="47" t="n"/>
      <c r="F1286" s="47" t="n"/>
      <c r="G1286" s="48" t="n"/>
      <c r="H1286" s="49" t="n"/>
      <c r="I1286" s="50">
        <f>IF(G1286="","",ROUND(G1286*H1286,2))</f>
        <v/>
      </c>
      <c r="J1286" s="50">
        <f>IF(G1286="","",G1286+N(I1286))</f>
        <v/>
      </c>
      <c r="K1286" s="45" t="n"/>
      <c r="L1286" s="47" t="n"/>
      <c r="M1286" s="48" t="n"/>
      <c r="N1286" s="49" t="n"/>
      <c r="O1286" s="50">
        <f>IF(M1286="","",ROUND(M1286*N1286,2))</f>
        <v/>
      </c>
      <c r="P1286" s="50">
        <f>IF(M1286="","",M1286+N(O1286))</f>
        <v/>
      </c>
      <c r="Q1286" s="45" t="n"/>
      <c r="R1286" s="45" t="n"/>
      <c r="S1286" s="51">
        <f>IF(L1286="","",IF(COUNTIF(L$6:L1286,L1286)&gt;1,"",SUMIF(L$6:L$2000,L1286,M$6:M$2000)-SUMIF(L$6:L$2000,L1286,G$6:G$2000)))</f>
        <v/>
      </c>
      <c r="T1286" s="46">
        <f>IF(AND(C1286="",G1286=""),"",IF(L1286="","Nog factureren",IF(AND(G1286&lt;&gt;"",OR(K1286="",K1286&gt;TODAY())),"Nog betalen",IF(OR(R1286="",R1286&gt;TODAY()),"Wacht op klant","Afgerond"))))</f>
        <v/>
      </c>
    </row>
    <row r="1287">
      <c r="A1287" s="45" t="n"/>
      <c r="B1287" s="46">
        <f>IF(A1287="","",YEAR(A1287)&amp;" Q"&amp;ROUNDUP(MONTH(A1287)/3,0))</f>
        <v/>
      </c>
      <c r="C1287" s="47" t="n"/>
      <c r="D1287" s="47" t="n"/>
      <c r="E1287" s="47" t="n"/>
      <c r="F1287" s="47" t="n"/>
      <c r="G1287" s="48" t="n"/>
      <c r="H1287" s="49" t="n"/>
      <c r="I1287" s="50">
        <f>IF(G1287="","",ROUND(G1287*H1287,2))</f>
        <v/>
      </c>
      <c r="J1287" s="50">
        <f>IF(G1287="","",G1287+N(I1287))</f>
        <v/>
      </c>
      <c r="K1287" s="45" t="n"/>
      <c r="L1287" s="47" t="n"/>
      <c r="M1287" s="48" t="n"/>
      <c r="N1287" s="49" t="n"/>
      <c r="O1287" s="50">
        <f>IF(M1287="","",ROUND(M1287*N1287,2))</f>
        <v/>
      </c>
      <c r="P1287" s="50">
        <f>IF(M1287="","",M1287+N(O1287))</f>
        <v/>
      </c>
      <c r="Q1287" s="45" t="n"/>
      <c r="R1287" s="45" t="n"/>
      <c r="S1287" s="51">
        <f>IF(L1287="","",IF(COUNTIF(L$6:L1287,L1287)&gt;1,"",SUMIF(L$6:L$2000,L1287,M$6:M$2000)-SUMIF(L$6:L$2000,L1287,G$6:G$2000)))</f>
        <v/>
      </c>
      <c r="T1287" s="46">
        <f>IF(AND(C1287="",G1287=""),"",IF(L1287="","Nog factureren",IF(AND(G1287&lt;&gt;"",OR(K1287="",K1287&gt;TODAY())),"Nog betalen",IF(OR(R1287="",R1287&gt;TODAY()),"Wacht op klant","Afgerond"))))</f>
        <v/>
      </c>
    </row>
    <row r="1288">
      <c r="A1288" s="45" t="n"/>
      <c r="B1288" s="46">
        <f>IF(A1288="","",YEAR(A1288)&amp;" Q"&amp;ROUNDUP(MONTH(A1288)/3,0))</f>
        <v/>
      </c>
      <c r="C1288" s="47" t="n"/>
      <c r="D1288" s="47" t="n"/>
      <c r="E1288" s="47" t="n"/>
      <c r="F1288" s="47" t="n"/>
      <c r="G1288" s="48" t="n"/>
      <c r="H1288" s="49" t="n"/>
      <c r="I1288" s="50">
        <f>IF(G1288="","",ROUND(G1288*H1288,2))</f>
        <v/>
      </c>
      <c r="J1288" s="50">
        <f>IF(G1288="","",G1288+N(I1288))</f>
        <v/>
      </c>
      <c r="K1288" s="45" t="n"/>
      <c r="L1288" s="47" t="n"/>
      <c r="M1288" s="48" t="n"/>
      <c r="N1288" s="49" t="n"/>
      <c r="O1288" s="50">
        <f>IF(M1288="","",ROUND(M1288*N1288,2))</f>
        <v/>
      </c>
      <c r="P1288" s="50">
        <f>IF(M1288="","",M1288+N(O1288))</f>
        <v/>
      </c>
      <c r="Q1288" s="45" t="n"/>
      <c r="R1288" s="45" t="n"/>
      <c r="S1288" s="51">
        <f>IF(L1288="","",IF(COUNTIF(L$6:L1288,L1288)&gt;1,"",SUMIF(L$6:L$2000,L1288,M$6:M$2000)-SUMIF(L$6:L$2000,L1288,G$6:G$2000)))</f>
        <v/>
      </c>
      <c r="T1288" s="46">
        <f>IF(AND(C1288="",G1288=""),"",IF(L1288="","Nog factureren",IF(AND(G1288&lt;&gt;"",OR(K1288="",K1288&gt;TODAY())),"Nog betalen",IF(OR(R1288="",R1288&gt;TODAY()),"Wacht op klant","Afgerond"))))</f>
        <v/>
      </c>
    </row>
    <row r="1289">
      <c r="A1289" s="45" t="n"/>
      <c r="B1289" s="46">
        <f>IF(A1289="","",YEAR(A1289)&amp;" Q"&amp;ROUNDUP(MONTH(A1289)/3,0))</f>
        <v/>
      </c>
      <c r="C1289" s="47" t="n"/>
      <c r="D1289" s="47" t="n"/>
      <c r="E1289" s="47" t="n"/>
      <c r="F1289" s="47" t="n"/>
      <c r="G1289" s="48" t="n"/>
      <c r="H1289" s="49" t="n"/>
      <c r="I1289" s="50">
        <f>IF(G1289="","",ROUND(G1289*H1289,2))</f>
        <v/>
      </c>
      <c r="J1289" s="50">
        <f>IF(G1289="","",G1289+N(I1289))</f>
        <v/>
      </c>
      <c r="K1289" s="45" t="n"/>
      <c r="L1289" s="47" t="n"/>
      <c r="M1289" s="48" t="n"/>
      <c r="N1289" s="49" t="n"/>
      <c r="O1289" s="50">
        <f>IF(M1289="","",ROUND(M1289*N1289,2))</f>
        <v/>
      </c>
      <c r="P1289" s="50">
        <f>IF(M1289="","",M1289+N(O1289))</f>
        <v/>
      </c>
      <c r="Q1289" s="45" t="n"/>
      <c r="R1289" s="45" t="n"/>
      <c r="S1289" s="51">
        <f>IF(L1289="","",IF(COUNTIF(L$6:L1289,L1289)&gt;1,"",SUMIF(L$6:L$2000,L1289,M$6:M$2000)-SUMIF(L$6:L$2000,L1289,G$6:G$2000)))</f>
        <v/>
      </c>
      <c r="T1289" s="46">
        <f>IF(AND(C1289="",G1289=""),"",IF(L1289="","Nog factureren",IF(AND(G1289&lt;&gt;"",OR(K1289="",K1289&gt;TODAY())),"Nog betalen",IF(OR(R1289="",R1289&gt;TODAY()),"Wacht op klant","Afgerond"))))</f>
        <v/>
      </c>
    </row>
    <row r="1290">
      <c r="A1290" s="45" t="n"/>
      <c r="B1290" s="46">
        <f>IF(A1290="","",YEAR(A1290)&amp;" Q"&amp;ROUNDUP(MONTH(A1290)/3,0))</f>
        <v/>
      </c>
      <c r="C1290" s="47" t="n"/>
      <c r="D1290" s="47" t="n"/>
      <c r="E1290" s="47" t="n"/>
      <c r="F1290" s="47" t="n"/>
      <c r="G1290" s="48" t="n"/>
      <c r="H1290" s="49" t="n"/>
      <c r="I1290" s="50">
        <f>IF(G1290="","",ROUND(G1290*H1290,2))</f>
        <v/>
      </c>
      <c r="J1290" s="50">
        <f>IF(G1290="","",G1290+N(I1290))</f>
        <v/>
      </c>
      <c r="K1290" s="45" t="n"/>
      <c r="L1290" s="47" t="n"/>
      <c r="M1290" s="48" t="n"/>
      <c r="N1290" s="49" t="n"/>
      <c r="O1290" s="50">
        <f>IF(M1290="","",ROUND(M1290*N1290,2))</f>
        <v/>
      </c>
      <c r="P1290" s="50">
        <f>IF(M1290="","",M1290+N(O1290))</f>
        <v/>
      </c>
      <c r="Q1290" s="45" t="n"/>
      <c r="R1290" s="45" t="n"/>
      <c r="S1290" s="51">
        <f>IF(L1290="","",IF(COUNTIF(L$6:L1290,L1290)&gt;1,"",SUMIF(L$6:L$2000,L1290,M$6:M$2000)-SUMIF(L$6:L$2000,L1290,G$6:G$2000)))</f>
        <v/>
      </c>
      <c r="T1290" s="46">
        <f>IF(AND(C1290="",G1290=""),"",IF(L1290="","Nog factureren",IF(AND(G1290&lt;&gt;"",OR(K1290="",K1290&gt;TODAY())),"Nog betalen",IF(OR(R1290="",R1290&gt;TODAY()),"Wacht op klant","Afgerond"))))</f>
        <v/>
      </c>
    </row>
    <row r="1291">
      <c r="A1291" s="45" t="n"/>
      <c r="B1291" s="46">
        <f>IF(A1291="","",YEAR(A1291)&amp;" Q"&amp;ROUNDUP(MONTH(A1291)/3,0))</f>
        <v/>
      </c>
      <c r="C1291" s="47" t="n"/>
      <c r="D1291" s="47" t="n"/>
      <c r="E1291" s="47" t="n"/>
      <c r="F1291" s="47" t="n"/>
      <c r="G1291" s="48" t="n"/>
      <c r="H1291" s="49" t="n"/>
      <c r="I1291" s="50">
        <f>IF(G1291="","",ROUND(G1291*H1291,2))</f>
        <v/>
      </c>
      <c r="J1291" s="50">
        <f>IF(G1291="","",G1291+N(I1291))</f>
        <v/>
      </c>
      <c r="K1291" s="45" t="n"/>
      <c r="L1291" s="47" t="n"/>
      <c r="M1291" s="48" t="n"/>
      <c r="N1291" s="49" t="n"/>
      <c r="O1291" s="50">
        <f>IF(M1291="","",ROUND(M1291*N1291,2))</f>
        <v/>
      </c>
      <c r="P1291" s="50">
        <f>IF(M1291="","",M1291+N(O1291))</f>
        <v/>
      </c>
      <c r="Q1291" s="45" t="n"/>
      <c r="R1291" s="45" t="n"/>
      <c r="S1291" s="51">
        <f>IF(L1291="","",IF(COUNTIF(L$6:L1291,L1291)&gt;1,"",SUMIF(L$6:L$2000,L1291,M$6:M$2000)-SUMIF(L$6:L$2000,L1291,G$6:G$2000)))</f>
        <v/>
      </c>
      <c r="T1291" s="46">
        <f>IF(AND(C1291="",G1291=""),"",IF(L1291="","Nog factureren",IF(AND(G1291&lt;&gt;"",OR(K1291="",K1291&gt;TODAY())),"Nog betalen",IF(OR(R1291="",R1291&gt;TODAY()),"Wacht op klant","Afgerond"))))</f>
        <v/>
      </c>
    </row>
    <row r="1292">
      <c r="A1292" s="45" t="n"/>
      <c r="B1292" s="46">
        <f>IF(A1292="","",YEAR(A1292)&amp;" Q"&amp;ROUNDUP(MONTH(A1292)/3,0))</f>
        <v/>
      </c>
      <c r="C1292" s="47" t="n"/>
      <c r="D1292" s="47" t="n"/>
      <c r="E1292" s="47" t="n"/>
      <c r="F1292" s="47" t="n"/>
      <c r="G1292" s="48" t="n"/>
      <c r="H1292" s="49" t="n"/>
      <c r="I1292" s="50">
        <f>IF(G1292="","",ROUND(G1292*H1292,2))</f>
        <v/>
      </c>
      <c r="J1292" s="50">
        <f>IF(G1292="","",G1292+N(I1292))</f>
        <v/>
      </c>
      <c r="K1292" s="45" t="n"/>
      <c r="L1292" s="47" t="n"/>
      <c r="M1292" s="48" t="n"/>
      <c r="N1292" s="49" t="n"/>
      <c r="O1292" s="50">
        <f>IF(M1292="","",ROUND(M1292*N1292,2))</f>
        <v/>
      </c>
      <c r="P1292" s="50">
        <f>IF(M1292="","",M1292+N(O1292))</f>
        <v/>
      </c>
      <c r="Q1292" s="45" t="n"/>
      <c r="R1292" s="45" t="n"/>
      <c r="S1292" s="51">
        <f>IF(L1292="","",IF(COUNTIF(L$6:L1292,L1292)&gt;1,"",SUMIF(L$6:L$2000,L1292,M$6:M$2000)-SUMIF(L$6:L$2000,L1292,G$6:G$2000)))</f>
        <v/>
      </c>
      <c r="T1292" s="46">
        <f>IF(AND(C1292="",G1292=""),"",IF(L1292="","Nog factureren",IF(AND(G1292&lt;&gt;"",OR(K1292="",K1292&gt;TODAY())),"Nog betalen",IF(OR(R1292="",R1292&gt;TODAY()),"Wacht op klant","Afgerond"))))</f>
        <v/>
      </c>
    </row>
    <row r="1293">
      <c r="A1293" s="45" t="n"/>
      <c r="B1293" s="46">
        <f>IF(A1293="","",YEAR(A1293)&amp;" Q"&amp;ROUNDUP(MONTH(A1293)/3,0))</f>
        <v/>
      </c>
      <c r="C1293" s="47" t="n"/>
      <c r="D1293" s="47" t="n"/>
      <c r="E1293" s="47" t="n"/>
      <c r="F1293" s="47" t="n"/>
      <c r="G1293" s="48" t="n"/>
      <c r="H1293" s="49" t="n"/>
      <c r="I1293" s="50">
        <f>IF(G1293="","",ROUND(G1293*H1293,2))</f>
        <v/>
      </c>
      <c r="J1293" s="50">
        <f>IF(G1293="","",G1293+N(I1293))</f>
        <v/>
      </c>
      <c r="K1293" s="45" t="n"/>
      <c r="L1293" s="47" t="n"/>
      <c r="M1293" s="48" t="n"/>
      <c r="N1293" s="49" t="n"/>
      <c r="O1293" s="50">
        <f>IF(M1293="","",ROUND(M1293*N1293,2))</f>
        <v/>
      </c>
      <c r="P1293" s="50">
        <f>IF(M1293="","",M1293+N(O1293))</f>
        <v/>
      </c>
      <c r="Q1293" s="45" t="n"/>
      <c r="R1293" s="45" t="n"/>
      <c r="S1293" s="51">
        <f>IF(L1293="","",IF(COUNTIF(L$6:L1293,L1293)&gt;1,"",SUMIF(L$6:L$2000,L1293,M$6:M$2000)-SUMIF(L$6:L$2000,L1293,G$6:G$2000)))</f>
        <v/>
      </c>
      <c r="T1293" s="46">
        <f>IF(AND(C1293="",G1293=""),"",IF(L1293="","Nog factureren",IF(AND(G1293&lt;&gt;"",OR(K1293="",K1293&gt;TODAY())),"Nog betalen",IF(OR(R1293="",R1293&gt;TODAY()),"Wacht op klant","Afgerond"))))</f>
        <v/>
      </c>
    </row>
    <row r="1294">
      <c r="A1294" s="45" t="n"/>
      <c r="B1294" s="46">
        <f>IF(A1294="","",YEAR(A1294)&amp;" Q"&amp;ROUNDUP(MONTH(A1294)/3,0))</f>
        <v/>
      </c>
      <c r="C1294" s="47" t="n"/>
      <c r="D1294" s="47" t="n"/>
      <c r="E1294" s="47" t="n"/>
      <c r="F1294" s="47" t="n"/>
      <c r="G1294" s="48" t="n"/>
      <c r="H1294" s="49" t="n"/>
      <c r="I1294" s="50">
        <f>IF(G1294="","",ROUND(G1294*H1294,2))</f>
        <v/>
      </c>
      <c r="J1294" s="50">
        <f>IF(G1294="","",G1294+N(I1294))</f>
        <v/>
      </c>
      <c r="K1294" s="45" t="n"/>
      <c r="L1294" s="47" t="n"/>
      <c r="M1294" s="48" t="n"/>
      <c r="N1294" s="49" t="n"/>
      <c r="O1294" s="50">
        <f>IF(M1294="","",ROUND(M1294*N1294,2))</f>
        <v/>
      </c>
      <c r="P1294" s="50">
        <f>IF(M1294="","",M1294+N(O1294))</f>
        <v/>
      </c>
      <c r="Q1294" s="45" t="n"/>
      <c r="R1294" s="45" t="n"/>
      <c r="S1294" s="51">
        <f>IF(L1294="","",IF(COUNTIF(L$6:L1294,L1294)&gt;1,"",SUMIF(L$6:L$2000,L1294,M$6:M$2000)-SUMIF(L$6:L$2000,L1294,G$6:G$2000)))</f>
        <v/>
      </c>
      <c r="T1294" s="46">
        <f>IF(AND(C1294="",G1294=""),"",IF(L1294="","Nog factureren",IF(AND(G1294&lt;&gt;"",OR(K1294="",K1294&gt;TODAY())),"Nog betalen",IF(OR(R1294="",R1294&gt;TODAY()),"Wacht op klant","Afgerond"))))</f>
        <v/>
      </c>
    </row>
    <row r="1295">
      <c r="A1295" s="45" t="n"/>
      <c r="B1295" s="46">
        <f>IF(A1295="","",YEAR(A1295)&amp;" Q"&amp;ROUNDUP(MONTH(A1295)/3,0))</f>
        <v/>
      </c>
      <c r="C1295" s="47" t="n"/>
      <c r="D1295" s="47" t="n"/>
      <c r="E1295" s="47" t="n"/>
      <c r="F1295" s="47" t="n"/>
      <c r="G1295" s="48" t="n"/>
      <c r="H1295" s="49" t="n"/>
      <c r="I1295" s="50">
        <f>IF(G1295="","",ROUND(G1295*H1295,2))</f>
        <v/>
      </c>
      <c r="J1295" s="50">
        <f>IF(G1295="","",G1295+N(I1295))</f>
        <v/>
      </c>
      <c r="K1295" s="45" t="n"/>
      <c r="L1295" s="47" t="n"/>
      <c r="M1295" s="48" t="n"/>
      <c r="N1295" s="49" t="n"/>
      <c r="O1295" s="50">
        <f>IF(M1295="","",ROUND(M1295*N1295,2))</f>
        <v/>
      </c>
      <c r="P1295" s="50">
        <f>IF(M1295="","",M1295+N(O1295))</f>
        <v/>
      </c>
      <c r="Q1295" s="45" t="n"/>
      <c r="R1295" s="45" t="n"/>
      <c r="S1295" s="51">
        <f>IF(L1295="","",IF(COUNTIF(L$6:L1295,L1295)&gt;1,"",SUMIF(L$6:L$2000,L1295,M$6:M$2000)-SUMIF(L$6:L$2000,L1295,G$6:G$2000)))</f>
        <v/>
      </c>
      <c r="T1295" s="46">
        <f>IF(AND(C1295="",G1295=""),"",IF(L1295="","Nog factureren",IF(AND(G1295&lt;&gt;"",OR(K1295="",K1295&gt;TODAY())),"Nog betalen",IF(OR(R1295="",R1295&gt;TODAY()),"Wacht op klant","Afgerond"))))</f>
        <v/>
      </c>
    </row>
    <row r="1296">
      <c r="A1296" s="45" t="n"/>
      <c r="B1296" s="46">
        <f>IF(A1296="","",YEAR(A1296)&amp;" Q"&amp;ROUNDUP(MONTH(A1296)/3,0))</f>
        <v/>
      </c>
      <c r="C1296" s="47" t="n"/>
      <c r="D1296" s="47" t="n"/>
      <c r="E1296" s="47" t="n"/>
      <c r="F1296" s="47" t="n"/>
      <c r="G1296" s="48" t="n"/>
      <c r="H1296" s="49" t="n"/>
      <c r="I1296" s="50">
        <f>IF(G1296="","",ROUND(G1296*H1296,2))</f>
        <v/>
      </c>
      <c r="J1296" s="50">
        <f>IF(G1296="","",G1296+N(I1296))</f>
        <v/>
      </c>
      <c r="K1296" s="45" t="n"/>
      <c r="L1296" s="47" t="n"/>
      <c r="M1296" s="48" t="n"/>
      <c r="N1296" s="49" t="n"/>
      <c r="O1296" s="50">
        <f>IF(M1296="","",ROUND(M1296*N1296,2))</f>
        <v/>
      </c>
      <c r="P1296" s="50">
        <f>IF(M1296="","",M1296+N(O1296))</f>
        <v/>
      </c>
      <c r="Q1296" s="45" t="n"/>
      <c r="R1296" s="45" t="n"/>
      <c r="S1296" s="51">
        <f>IF(L1296="","",IF(COUNTIF(L$6:L1296,L1296)&gt;1,"",SUMIF(L$6:L$2000,L1296,M$6:M$2000)-SUMIF(L$6:L$2000,L1296,G$6:G$2000)))</f>
        <v/>
      </c>
      <c r="T1296" s="46">
        <f>IF(AND(C1296="",G1296=""),"",IF(L1296="","Nog factureren",IF(AND(G1296&lt;&gt;"",OR(K1296="",K1296&gt;TODAY())),"Nog betalen",IF(OR(R1296="",R1296&gt;TODAY()),"Wacht op klant","Afgerond"))))</f>
        <v/>
      </c>
    </row>
    <row r="1297">
      <c r="A1297" s="45" t="n"/>
      <c r="B1297" s="46">
        <f>IF(A1297="","",YEAR(A1297)&amp;" Q"&amp;ROUNDUP(MONTH(A1297)/3,0))</f>
        <v/>
      </c>
      <c r="C1297" s="47" t="n"/>
      <c r="D1297" s="47" t="n"/>
      <c r="E1297" s="47" t="n"/>
      <c r="F1297" s="47" t="n"/>
      <c r="G1297" s="48" t="n"/>
      <c r="H1297" s="49" t="n"/>
      <c r="I1297" s="50">
        <f>IF(G1297="","",ROUND(G1297*H1297,2))</f>
        <v/>
      </c>
      <c r="J1297" s="50">
        <f>IF(G1297="","",G1297+N(I1297))</f>
        <v/>
      </c>
      <c r="K1297" s="45" t="n"/>
      <c r="L1297" s="47" t="n"/>
      <c r="M1297" s="48" t="n"/>
      <c r="N1297" s="49" t="n"/>
      <c r="O1297" s="50">
        <f>IF(M1297="","",ROUND(M1297*N1297,2))</f>
        <v/>
      </c>
      <c r="P1297" s="50">
        <f>IF(M1297="","",M1297+N(O1297))</f>
        <v/>
      </c>
      <c r="Q1297" s="45" t="n"/>
      <c r="R1297" s="45" t="n"/>
      <c r="S1297" s="51">
        <f>IF(L1297="","",IF(COUNTIF(L$6:L1297,L1297)&gt;1,"",SUMIF(L$6:L$2000,L1297,M$6:M$2000)-SUMIF(L$6:L$2000,L1297,G$6:G$2000)))</f>
        <v/>
      </c>
      <c r="T1297" s="46">
        <f>IF(AND(C1297="",G1297=""),"",IF(L1297="","Nog factureren",IF(AND(G1297&lt;&gt;"",OR(K1297="",K1297&gt;TODAY())),"Nog betalen",IF(OR(R1297="",R1297&gt;TODAY()),"Wacht op klant","Afgerond"))))</f>
        <v/>
      </c>
    </row>
    <row r="1298">
      <c r="A1298" s="45" t="n"/>
      <c r="B1298" s="46">
        <f>IF(A1298="","",YEAR(A1298)&amp;" Q"&amp;ROUNDUP(MONTH(A1298)/3,0))</f>
        <v/>
      </c>
      <c r="C1298" s="47" t="n"/>
      <c r="D1298" s="47" t="n"/>
      <c r="E1298" s="47" t="n"/>
      <c r="F1298" s="47" t="n"/>
      <c r="G1298" s="48" t="n"/>
      <c r="H1298" s="49" t="n"/>
      <c r="I1298" s="50">
        <f>IF(G1298="","",ROUND(G1298*H1298,2))</f>
        <v/>
      </c>
      <c r="J1298" s="50">
        <f>IF(G1298="","",G1298+N(I1298))</f>
        <v/>
      </c>
      <c r="K1298" s="45" t="n"/>
      <c r="L1298" s="47" t="n"/>
      <c r="M1298" s="48" t="n"/>
      <c r="N1298" s="49" t="n"/>
      <c r="O1298" s="50">
        <f>IF(M1298="","",ROUND(M1298*N1298,2))</f>
        <v/>
      </c>
      <c r="P1298" s="50">
        <f>IF(M1298="","",M1298+N(O1298))</f>
        <v/>
      </c>
      <c r="Q1298" s="45" t="n"/>
      <c r="R1298" s="45" t="n"/>
      <c r="S1298" s="51">
        <f>IF(L1298="","",IF(COUNTIF(L$6:L1298,L1298)&gt;1,"",SUMIF(L$6:L$2000,L1298,M$6:M$2000)-SUMIF(L$6:L$2000,L1298,G$6:G$2000)))</f>
        <v/>
      </c>
      <c r="T1298" s="46">
        <f>IF(AND(C1298="",G1298=""),"",IF(L1298="","Nog factureren",IF(AND(G1298&lt;&gt;"",OR(K1298="",K1298&gt;TODAY())),"Nog betalen",IF(OR(R1298="",R1298&gt;TODAY()),"Wacht op klant","Afgerond"))))</f>
        <v/>
      </c>
    </row>
    <row r="1299">
      <c r="A1299" s="45" t="n"/>
      <c r="B1299" s="46">
        <f>IF(A1299="","",YEAR(A1299)&amp;" Q"&amp;ROUNDUP(MONTH(A1299)/3,0))</f>
        <v/>
      </c>
      <c r="C1299" s="47" t="n"/>
      <c r="D1299" s="47" t="n"/>
      <c r="E1299" s="47" t="n"/>
      <c r="F1299" s="47" t="n"/>
      <c r="G1299" s="48" t="n"/>
      <c r="H1299" s="49" t="n"/>
      <c r="I1299" s="50">
        <f>IF(G1299="","",ROUND(G1299*H1299,2))</f>
        <v/>
      </c>
      <c r="J1299" s="50">
        <f>IF(G1299="","",G1299+N(I1299))</f>
        <v/>
      </c>
      <c r="K1299" s="45" t="n"/>
      <c r="L1299" s="47" t="n"/>
      <c r="M1299" s="48" t="n"/>
      <c r="N1299" s="49" t="n"/>
      <c r="O1299" s="50">
        <f>IF(M1299="","",ROUND(M1299*N1299,2))</f>
        <v/>
      </c>
      <c r="P1299" s="50">
        <f>IF(M1299="","",M1299+N(O1299))</f>
        <v/>
      </c>
      <c r="Q1299" s="45" t="n"/>
      <c r="R1299" s="45" t="n"/>
      <c r="S1299" s="51">
        <f>IF(L1299="","",IF(COUNTIF(L$6:L1299,L1299)&gt;1,"",SUMIF(L$6:L$2000,L1299,M$6:M$2000)-SUMIF(L$6:L$2000,L1299,G$6:G$2000)))</f>
        <v/>
      </c>
      <c r="T1299" s="46">
        <f>IF(AND(C1299="",G1299=""),"",IF(L1299="","Nog factureren",IF(AND(G1299&lt;&gt;"",OR(K1299="",K1299&gt;TODAY())),"Nog betalen",IF(OR(R1299="",R1299&gt;TODAY()),"Wacht op klant","Afgerond"))))</f>
        <v/>
      </c>
    </row>
    <row r="1300">
      <c r="A1300" s="45" t="n"/>
      <c r="B1300" s="46">
        <f>IF(A1300="","",YEAR(A1300)&amp;" Q"&amp;ROUNDUP(MONTH(A1300)/3,0))</f>
        <v/>
      </c>
      <c r="C1300" s="47" t="n"/>
      <c r="D1300" s="47" t="n"/>
      <c r="E1300" s="47" t="n"/>
      <c r="F1300" s="47" t="n"/>
      <c r="G1300" s="48" t="n"/>
      <c r="H1300" s="49" t="n"/>
      <c r="I1300" s="50">
        <f>IF(G1300="","",ROUND(G1300*H1300,2))</f>
        <v/>
      </c>
      <c r="J1300" s="50">
        <f>IF(G1300="","",G1300+N(I1300))</f>
        <v/>
      </c>
      <c r="K1300" s="45" t="n"/>
      <c r="L1300" s="47" t="n"/>
      <c r="M1300" s="48" t="n"/>
      <c r="N1300" s="49" t="n"/>
      <c r="O1300" s="50">
        <f>IF(M1300="","",ROUND(M1300*N1300,2))</f>
        <v/>
      </c>
      <c r="P1300" s="50">
        <f>IF(M1300="","",M1300+N(O1300))</f>
        <v/>
      </c>
      <c r="Q1300" s="45" t="n"/>
      <c r="R1300" s="45" t="n"/>
      <c r="S1300" s="51">
        <f>IF(L1300="","",IF(COUNTIF(L$6:L1300,L1300)&gt;1,"",SUMIF(L$6:L$2000,L1300,M$6:M$2000)-SUMIF(L$6:L$2000,L1300,G$6:G$2000)))</f>
        <v/>
      </c>
      <c r="T1300" s="46">
        <f>IF(AND(C1300="",G1300=""),"",IF(L1300="","Nog factureren",IF(AND(G1300&lt;&gt;"",OR(K1300="",K1300&gt;TODAY())),"Nog betalen",IF(OR(R1300="",R1300&gt;TODAY()),"Wacht op klant","Afgerond"))))</f>
        <v/>
      </c>
    </row>
    <row r="1301">
      <c r="A1301" s="45" t="n"/>
      <c r="B1301" s="46">
        <f>IF(A1301="","",YEAR(A1301)&amp;" Q"&amp;ROUNDUP(MONTH(A1301)/3,0))</f>
        <v/>
      </c>
      <c r="C1301" s="47" t="n"/>
      <c r="D1301" s="47" t="n"/>
      <c r="E1301" s="47" t="n"/>
      <c r="F1301" s="47" t="n"/>
      <c r="G1301" s="48" t="n"/>
      <c r="H1301" s="49" t="n"/>
      <c r="I1301" s="50">
        <f>IF(G1301="","",ROUND(G1301*H1301,2))</f>
        <v/>
      </c>
      <c r="J1301" s="50">
        <f>IF(G1301="","",G1301+N(I1301))</f>
        <v/>
      </c>
      <c r="K1301" s="45" t="n"/>
      <c r="L1301" s="47" t="n"/>
      <c r="M1301" s="48" t="n"/>
      <c r="N1301" s="49" t="n"/>
      <c r="O1301" s="50">
        <f>IF(M1301="","",ROUND(M1301*N1301,2))</f>
        <v/>
      </c>
      <c r="P1301" s="50">
        <f>IF(M1301="","",M1301+N(O1301))</f>
        <v/>
      </c>
      <c r="Q1301" s="45" t="n"/>
      <c r="R1301" s="45" t="n"/>
      <c r="S1301" s="51">
        <f>IF(L1301="","",IF(COUNTIF(L$6:L1301,L1301)&gt;1,"",SUMIF(L$6:L$2000,L1301,M$6:M$2000)-SUMIF(L$6:L$2000,L1301,G$6:G$2000)))</f>
        <v/>
      </c>
      <c r="T1301" s="46">
        <f>IF(AND(C1301="",G1301=""),"",IF(L1301="","Nog factureren",IF(AND(G1301&lt;&gt;"",OR(K1301="",K1301&gt;TODAY())),"Nog betalen",IF(OR(R1301="",R1301&gt;TODAY()),"Wacht op klant","Afgerond"))))</f>
        <v/>
      </c>
    </row>
    <row r="1302">
      <c r="A1302" s="45" t="n"/>
      <c r="B1302" s="46">
        <f>IF(A1302="","",YEAR(A1302)&amp;" Q"&amp;ROUNDUP(MONTH(A1302)/3,0))</f>
        <v/>
      </c>
      <c r="C1302" s="47" t="n"/>
      <c r="D1302" s="47" t="n"/>
      <c r="E1302" s="47" t="n"/>
      <c r="F1302" s="47" t="n"/>
      <c r="G1302" s="48" t="n"/>
      <c r="H1302" s="49" t="n"/>
      <c r="I1302" s="50">
        <f>IF(G1302="","",ROUND(G1302*H1302,2))</f>
        <v/>
      </c>
      <c r="J1302" s="50">
        <f>IF(G1302="","",G1302+N(I1302))</f>
        <v/>
      </c>
      <c r="K1302" s="45" t="n"/>
      <c r="L1302" s="47" t="n"/>
      <c r="M1302" s="48" t="n"/>
      <c r="N1302" s="49" t="n"/>
      <c r="O1302" s="50">
        <f>IF(M1302="","",ROUND(M1302*N1302,2))</f>
        <v/>
      </c>
      <c r="P1302" s="50">
        <f>IF(M1302="","",M1302+N(O1302))</f>
        <v/>
      </c>
      <c r="Q1302" s="45" t="n"/>
      <c r="R1302" s="45" t="n"/>
      <c r="S1302" s="51">
        <f>IF(L1302="","",IF(COUNTIF(L$6:L1302,L1302)&gt;1,"",SUMIF(L$6:L$2000,L1302,M$6:M$2000)-SUMIF(L$6:L$2000,L1302,G$6:G$2000)))</f>
        <v/>
      </c>
      <c r="T1302" s="46">
        <f>IF(AND(C1302="",G1302=""),"",IF(L1302="","Nog factureren",IF(AND(G1302&lt;&gt;"",OR(K1302="",K1302&gt;TODAY())),"Nog betalen",IF(OR(R1302="",R1302&gt;TODAY()),"Wacht op klant","Afgerond"))))</f>
        <v/>
      </c>
    </row>
    <row r="1303">
      <c r="A1303" s="45" t="n"/>
      <c r="B1303" s="46">
        <f>IF(A1303="","",YEAR(A1303)&amp;" Q"&amp;ROUNDUP(MONTH(A1303)/3,0))</f>
        <v/>
      </c>
      <c r="C1303" s="47" t="n"/>
      <c r="D1303" s="47" t="n"/>
      <c r="E1303" s="47" t="n"/>
      <c r="F1303" s="47" t="n"/>
      <c r="G1303" s="48" t="n"/>
      <c r="H1303" s="49" t="n"/>
      <c r="I1303" s="50">
        <f>IF(G1303="","",ROUND(G1303*H1303,2))</f>
        <v/>
      </c>
      <c r="J1303" s="50">
        <f>IF(G1303="","",G1303+N(I1303))</f>
        <v/>
      </c>
      <c r="K1303" s="45" t="n"/>
      <c r="L1303" s="47" t="n"/>
      <c r="M1303" s="48" t="n"/>
      <c r="N1303" s="49" t="n"/>
      <c r="O1303" s="50">
        <f>IF(M1303="","",ROUND(M1303*N1303,2))</f>
        <v/>
      </c>
      <c r="P1303" s="50">
        <f>IF(M1303="","",M1303+N(O1303))</f>
        <v/>
      </c>
      <c r="Q1303" s="45" t="n"/>
      <c r="R1303" s="45" t="n"/>
      <c r="S1303" s="51">
        <f>IF(L1303="","",IF(COUNTIF(L$6:L1303,L1303)&gt;1,"",SUMIF(L$6:L$2000,L1303,M$6:M$2000)-SUMIF(L$6:L$2000,L1303,G$6:G$2000)))</f>
        <v/>
      </c>
      <c r="T1303" s="46">
        <f>IF(AND(C1303="",G1303=""),"",IF(L1303="","Nog factureren",IF(AND(G1303&lt;&gt;"",OR(K1303="",K1303&gt;TODAY())),"Nog betalen",IF(OR(R1303="",R1303&gt;TODAY()),"Wacht op klant","Afgerond"))))</f>
        <v/>
      </c>
    </row>
    <row r="1304">
      <c r="A1304" s="45" t="n"/>
      <c r="B1304" s="46">
        <f>IF(A1304="","",YEAR(A1304)&amp;" Q"&amp;ROUNDUP(MONTH(A1304)/3,0))</f>
        <v/>
      </c>
      <c r="C1304" s="47" t="n"/>
      <c r="D1304" s="47" t="n"/>
      <c r="E1304" s="47" t="n"/>
      <c r="F1304" s="47" t="n"/>
      <c r="G1304" s="48" t="n"/>
      <c r="H1304" s="49" t="n"/>
      <c r="I1304" s="50">
        <f>IF(G1304="","",ROUND(G1304*H1304,2))</f>
        <v/>
      </c>
      <c r="J1304" s="50">
        <f>IF(G1304="","",G1304+N(I1304))</f>
        <v/>
      </c>
      <c r="K1304" s="45" t="n"/>
      <c r="L1304" s="47" t="n"/>
      <c r="M1304" s="48" t="n"/>
      <c r="N1304" s="49" t="n"/>
      <c r="O1304" s="50">
        <f>IF(M1304="","",ROUND(M1304*N1304,2))</f>
        <v/>
      </c>
      <c r="P1304" s="50">
        <f>IF(M1304="","",M1304+N(O1304))</f>
        <v/>
      </c>
      <c r="Q1304" s="45" t="n"/>
      <c r="R1304" s="45" t="n"/>
      <c r="S1304" s="51">
        <f>IF(L1304="","",IF(COUNTIF(L$6:L1304,L1304)&gt;1,"",SUMIF(L$6:L$2000,L1304,M$6:M$2000)-SUMIF(L$6:L$2000,L1304,G$6:G$2000)))</f>
        <v/>
      </c>
      <c r="T1304" s="46">
        <f>IF(AND(C1304="",G1304=""),"",IF(L1304="","Nog factureren",IF(AND(G1304&lt;&gt;"",OR(K1304="",K1304&gt;TODAY())),"Nog betalen",IF(OR(R1304="",R1304&gt;TODAY()),"Wacht op klant","Afgerond"))))</f>
        <v/>
      </c>
    </row>
    <row r="1305">
      <c r="A1305" s="45" t="n"/>
      <c r="B1305" s="46">
        <f>IF(A1305="","",YEAR(A1305)&amp;" Q"&amp;ROUNDUP(MONTH(A1305)/3,0))</f>
        <v/>
      </c>
      <c r="C1305" s="47" t="n"/>
      <c r="D1305" s="47" t="n"/>
      <c r="E1305" s="47" t="n"/>
      <c r="F1305" s="47" t="n"/>
      <c r="G1305" s="48" t="n"/>
      <c r="H1305" s="49" t="n"/>
      <c r="I1305" s="50">
        <f>IF(G1305="","",ROUND(G1305*H1305,2))</f>
        <v/>
      </c>
      <c r="J1305" s="50">
        <f>IF(G1305="","",G1305+N(I1305))</f>
        <v/>
      </c>
      <c r="K1305" s="45" t="n"/>
      <c r="L1305" s="47" t="n"/>
      <c r="M1305" s="48" t="n"/>
      <c r="N1305" s="49" t="n"/>
      <c r="O1305" s="50">
        <f>IF(M1305="","",ROUND(M1305*N1305,2))</f>
        <v/>
      </c>
      <c r="P1305" s="50">
        <f>IF(M1305="","",M1305+N(O1305))</f>
        <v/>
      </c>
      <c r="Q1305" s="45" t="n"/>
      <c r="R1305" s="45" t="n"/>
      <c r="S1305" s="51">
        <f>IF(L1305="","",IF(COUNTIF(L$6:L1305,L1305)&gt;1,"",SUMIF(L$6:L$2000,L1305,M$6:M$2000)-SUMIF(L$6:L$2000,L1305,G$6:G$2000)))</f>
        <v/>
      </c>
      <c r="T1305" s="46">
        <f>IF(AND(C1305="",G1305=""),"",IF(L1305="","Nog factureren",IF(AND(G1305&lt;&gt;"",OR(K1305="",K1305&gt;TODAY())),"Nog betalen",IF(OR(R1305="",R1305&gt;TODAY()),"Wacht op klant","Afgerond"))))</f>
        <v/>
      </c>
    </row>
    <row r="1306">
      <c r="A1306" s="45" t="n"/>
      <c r="B1306" s="46">
        <f>IF(A1306="","",YEAR(A1306)&amp;" Q"&amp;ROUNDUP(MONTH(A1306)/3,0))</f>
        <v/>
      </c>
      <c r="C1306" s="47" t="n"/>
      <c r="D1306" s="47" t="n"/>
      <c r="E1306" s="47" t="n"/>
      <c r="F1306" s="47" t="n"/>
      <c r="G1306" s="48" t="n"/>
      <c r="H1306" s="49" t="n"/>
      <c r="I1306" s="50">
        <f>IF(G1306="","",ROUND(G1306*H1306,2))</f>
        <v/>
      </c>
      <c r="J1306" s="50">
        <f>IF(G1306="","",G1306+N(I1306))</f>
        <v/>
      </c>
      <c r="K1306" s="45" t="n"/>
      <c r="L1306" s="47" t="n"/>
      <c r="M1306" s="48" t="n"/>
      <c r="N1306" s="49" t="n"/>
      <c r="O1306" s="50">
        <f>IF(M1306="","",ROUND(M1306*N1306,2))</f>
        <v/>
      </c>
      <c r="P1306" s="50">
        <f>IF(M1306="","",M1306+N(O1306))</f>
        <v/>
      </c>
      <c r="Q1306" s="45" t="n"/>
      <c r="R1306" s="45" t="n"/>
      <c r="S1306" s="51">
        <f>IF(L1306="","",IF(COUNTIF(L$6:L1306,L1306)&gt;1,"",SUMIF(L$6:L$2000,L1306,M$6:M$2000)-SUMIF(L$6:L$2000,L1306,G$6:G$2000)))</f>
        <v/>
      </c>
      <c r="T1306" s="46">
        <f>IF(AND(C1306="",G1306=""),"",IF(L1306="","Nog factureren",IF(AND(G1306&lt;&gt;"",OR(K1306="",K1306&gt;TODAY())),"Nog betalen",IF(OR(R1306="",R1306&gt;TODAY()),"Wacht op klant","Afgerond"))))</f>
        <v/>
      </c>
    </row>
    <row r="1307">
      <c r="A1307" s="45" t="n"/>
      <c r="B1307" s="46">
        <f>IF(A1307="","",YEAR(A1307)&amp;" Q"&amp;ROUNDUP(MONTH(A1307)/3,0))</f>
        <v/>
      </c>
      <c r="C1307" s="47" t="n"/>
      <c r="D1307" s="47" t="n"/>
      <c r="E1307" s="47" t="n"/>
      <c r="F1307" s="47" t="n"/>
      <c r="G1307" s="48" t="n"/>
      <c r="H1307" s="49" t="n"/>
      <c r="I1307" s="50">
        <f>IF(G1307="","",ROUND(G1307*H1307,2))</f>
        <v/>
      </c>
      <c r="J1307" s="50">
        <f>IF(G1307="","",G1307+N(I1307))</f>
        <v/>
      </c>
      <c r="K1307" s="45" t="n"/>
      <c r="L1307" s="47" t="n"/>
      <c r="M1307" s="48" t="n"/>
      <c r="N1307" s="49" t="n"/>
      <c r="O1307" s="50">
        <f>IF(M1307="","",ROUND(M1307*N1307,2))</f>
        <v/>
      </c>
      <c r="P1307" s="50">
        <f>IF(M1307="","",M1307+N(O1307))</f>
        <v/>
      </c>
      <c r="Q1307" s="45" t="n"/>
      <c r="R1307" s="45" t="n"/>
      <c r="S1307" s="51">
        <f>IF(L1307="","",IF(COUNTIF(L$6:L1307,L1307)&gt;1,"",SUMIF(L$6:L$2000,L1307,M$6:M$2000)-SUMIF(L$6:L$2000,L1307,G$6:G$2000)))</f>
        <v/>
      </c>
      <c r="T1307" s="46">
        <f>IF(AND(C1307="",G1307=""),"",IF(L1307="","Nog factureren",IF(AND(G1307&lt;&gt;"",OR(K1307="",K1307&gt;TODAY())),"Nog betalen",IF(OR(R1307="",R1307&gt;TODAY()),"Wacht op klant","Afgerond"))))</f>
        <v/>
      </c>
    </row>
    <row r="1308">
      <c r="A1308" s="45" t="n"/>
      <c r="B1308" s="46">
        <f>IF(A1308="","",YEAR(A1308)&amp;" Q"&amp;ROUNDUP(MONTH(A1308)/3,0))</f>
        <v/>
      </c>
      <c r="C1308" s="47" t="n"/>
      <c r="D1308" s="47" t="n"/>
      <c r="E1308" s="47" t="n"/>
      <c r="F1308" s="47" t="n"/>
      <c r="G1308" s="48" t="n"/>
      <c r="H1308" s="49" t="n"/>
      <c r="I1308" s="50">
        <f>IF(G1308="","",ROUND(G1308*H1308,2))</f>
        <v/>
      </c>
      <c r="J1308" s="50">
        <f>IF(G1308="","",G1308+N(I1308))</f>
        <v/>
      </c>
      <c r="K1308" s="45" t="n"/>
      <c r="L1308" s="47" t="n"/>
      <c r="M1308" s="48" t="n"/>
      <c r="N1308" s="49" t="n"/>
      <c r="O1308" s="50">
        <f>IF(M1308="","",ROUND(M1308*N1308,2))</f>
        <v/>
      </c>
      <c r="P1308" s="50">
        <f>IF(M1308="","",M1308+N(O1308))</f>
        <v/>
      </c>
      <c r="Q1308" s="45" t="n"/>
      <c r="R1308" s="45" t="n"/>
      <c r="S1308" s="51">
        <f>IF(L1308="","",IF(COUNTIF(L$6:L1308,L1308)&gt;1,"",SUMIF(L$6:L$2000,L1308,M$6:M$2000)-SUMIF(L$6:L$2000,L1308,G$6:G$2000)))</f>
        <v/>
      </c>
      <c r="T1308" s="46">
        <f>IF(AND(C1308="",G1308=""),"",IF(L1308="","Nog factureren",IF(AND(G1308&lt;&gt;"",OR(K1308="",K1308&gt;TODAY())),"Nog betalen",IF(OR(R1308="",R1308&gt;TODAY()),"Wacht op klant","Afgerond"))))</f>
        <v/>
      </c>
    </row>
    <row r="1309">
      <c r="A1309" s="45" t="n"/>
      <c r="B1309" s="46">
        <f>IF(A1309="","",YEAR(A1309)&amp;" Q"&amp;ROUNDUP(MONTH(A1309)/3,0))</f>
        <v/>
      </c>
      <c r="C1309" s="47" t="n"/>
      <c r="D1309" s="47" t="n"/>
      <c r="E1309" s="47" t="n"/>
      <c r="F1309" s="47" t="n"/>
      <c r="G1309" s="48" t="n"/>
      <c r="H1309" s="49" t="n"/>
      <c r="I1309" s="50">
        <f>IF(G1309="","",ROUND(G1309*H1309,2))</f>
        <v/>
      </c>
      <c r="J1309" s="50">
        <f>IF(G1309="","",G1309+N(I1309))</f>
        <v/>
      </c>
      <c r="K1309" s="45" t="n"/>
      <c r="L1309" s="47" t="n"/>
      <c r="M1309" s="48" t="n"/>
      <c r="N1309" s="49" t="n"/>
      <c r="O1309" s="50">
        <f>IF(M1309="","",ROUND(M1309*N1309,2))</f>
        <v/>
      </c>
      <c r="P1309" s="50">
        <f>IF(M1309="","",M1309+N(O1309))</f>
        <v/>
      </c>
      <c r="Q1309" s="45" t="n"/>
      <c r="R1309" s="45" t="n"/>
      <c r="S1309" s="51">
        <f>IF(L1309="","",IF(COUNTIF(L$6:L1309,L1309)&gt;1,"",SUMIF(L$6:L$2000,L1309,M$6:M$2000)-SUMIF(L$6:L$2000,L1309,G$6:G$2000)))</f>
        <v/>
      </c>
      <c r="T1309" s="46">
        <f>IF(AND(C1309="",G1309=""),"",IF(L1309="","Nog factureren",IF(AND(G1309&lt;&gt;"",OR(K1309="",K1309&gt;TODAY())),"Nog betalen",IF(OR(R1309="",R1309&gt;TODAY()),"Wacht op klant","Afgerond"))))</f>
        <v/>
      </c>
    </row>
    <row r="1310">
      <c r="A1310" s="45" t="n"/>
      <c r="B1310" s="46">
        <f>IF(A1310="","",YEAR(A1310)&amp;" Q"&amp;ROUNDUP(MONTH(A1310)/3,0))</f>
        <v/>
      </c>
      <c r="C1310" s="47" t="n"/>
      <c r="D1310" s="47" t="n"/>
      <c r="E1310" s="47" t="n"/>
      <c r="F1310" s="47" t="n"/>
      <c r="G1310" s="48" t="n"/>
      <c r="H1310" s="49" t="n"/>
      <c r="I1310" s="50">
        <f>IF(G1310="","",ROUND(G1310*H1310,2))</f>
        <v/>
      </c>
      <c r="J1310" s="50">
        <f>IF(G1310="","",G1310+N(I1310))</f>
        <v/>
      </c>
      <c r="K1310" s="45" t="n"/>
      <c r="L1310" s="47" t="n"/>
      <c r="M1310" s="48" t="n"/>
      <c r="N1310" s="49" t="n"/>
      <c r="O1310" s="50">
        <f>IF(M1310="","",ROUND(M1310*N1310,2))</f>
        <v/>
      </c>
      <c r="P1310" s="50">
        <f>IF(M1310="","",M1310+N(O1310))</f>
        <v/>
      </c>
      <c r="Q1310" s="45" t="n"/>
      <c r="R1310" s="45" t="n"/>
      <c r="S1310" s="51">
        <f>IF(L1310="","",IF(COUNTIF(L$6:L1310,L1310)&gt;1,"",SUMIF(L$6:L$2000,L1310,M$6:M$2000)-SUMIF(L$6:L$2000,L1310,G$6:G$2000)))</f>
        <v/>
      </c>
      <c r="T1310" s="46">
        <f>IF(AND(C1310="",G1310=""),"",IF(L1310="","Nog factureren",IF(AND(G1310&lt;&gt;"",OR(K1310="",K1310&gt;TODAY())),"Nog betalen",IF(OR(R1310="",R1310&gt;TODAY()),"Wacht op klant","Afgerond"))))</f>
        <v/>
      </c>
    </row>
    <row r="1311">
      <c r="A1311" s="45" t="n"/>
      <c r="B1311" s="46">
        <f>IF(A1311="","",YEAR(A1311)&amp;" Q"&amp;ROUNDUP(MONTH(A1311)/3,0))</f>
        <v/>
      </c>
      <c r="C1311" s="47" t="n"/>
      <c r="D1311" s="47" t="n"/>
      <c r="E1311" s="47" t="n"/>
      <c r="F1311" s="47" t="n"/>
      <c r="G1311" s="48" t="n"/>
      <c r="H1311" s="49" t="n"/>
      <c r="I1311" s="50">
        <f>IF(G1311="","",ROUND(G1311*H1311,2))</f>
        <v/>
      </c>
      <c r="J1311" s="50">
        <f>IF(G1311="","",G1311+N(I1311))</f>
        <v/>
      </c>
      <c r="K1311" s="45" t="n"/>
      <c r="L1311" s="47" t="n"/>
      <c r="M1311" s="48" t="n"/>
      <c r="N1311" s="49" t="n"/>
      <c r="O1311" s="50">
        <f>IF(M1311="","",ROUND(M1311*N1311,2))</f>
        <v/>
      </c>
      <c r="P1311" s="50">
        <f>IF(M1311="","",M1311+N(O1311))</f>
        <v/>
      </c>
      <c r="Q1311" s="45" t="n"/>
      <c r="R1311" s="45" t="n"/>
      <c r="S1311" s="51">
        <f>IF(L1311="","",IF(COUNTIF(L$6:L1311,L1311)&gt;1,"",SUMIF(L$6:L$2000,L1311,M$6:M$2000)-SUMIF(L$6:L$2000,L1311,G$6:G$2000)))</f>
        <v/>
      </c>
      <c r="T1311" s="46">
        <f>IF(AND(C1311="",G1311=""),"",IF(L1311="","Nog factureren",IF(AND(G1311&lt;&gt;"",OR(K1311="",K1311&gt;TODAY())),"Nog betalen",IF(OR(R1311="",R1311&gt;TODAY()),"Wacht op klant","Afgerond"))))</f>
        <v/>
      </c>
    </row>
    <row r="1312">
      <c r="A1312" s="45" t="n"/>
      <c r="B1312" s="46">
        <f>IF(A1312="","",YEAR(A1312)&amp;" Q"&amp;ROUNDUP(MONTH(A1312)/3,0))</f>
        <v/>
      </c>
      <c r="C1312" s="47" t="n"/>
      <c r="D1312" s="47" t="n"/>
      <c r="E1312" s="47" t="n"/>
      <c r="F1312" s="47" t="n"/>
      <c r="G1312" s="48" t="n"/>
      <c r="H1312" s="49" t="n"/>
      <c r="I1312" s="50">
        <f>IF(G1312="","",ROUND(G1312*H1312,2))</f>
        <v/>
      </c>
      <c r="J1312" s="50">
        <f>IF(G1312="","",G1312+N(I1312))</f>
        <v/>
      </c>
      <c r="K1312" s="45" t="n"/>
      <c r="L1312" s="47" t="n"/>
      <c r="M1312" s="48" t="n"/>
      <c r="N1312" s="49" t="n"/>
      <c r="O1312" s="50">
        <f>IF(M1312="","",ROUND(M1312*N1312,2))</f>
        <v/>
      </c>
      <c r="P1312" s="50">
        <f>IF(M1312="","",M1312+N(O1312))</f>
        <v/>
      </c>
      <c r="Q1312" s="45" t="n"/>
      <c r="R1312" s="45" t="n"/>
      <c r="S1312" s="51">
        <f>IF(L1312="","",IF(COUNTIF(L$6:L1312,L1312)&gt;1,"",SUMIF(L$6:L$2000,L1312,M$6:M$2000)-SUMIF(L$6:L$2000,L1312,G$6:G$2000)))</f>
        <v/>
      </c>
      <c r="T1312" s="46">
        <f>IF(AND(C1312="",G1312=""),"",IF(L1312="","Nog factureren",IF(AND(G1312&lt;&gt;"",OR(K1312="",K1312&gt;TODAY())),"Nog betalen",IF(OR(R1312="",R1312&gt;TODAY()),"Wacht op klant","Afgerond"))))</f>
        <v/>
      </c>
    </row>
    <row r="1313">
      <c r="A1313" s="45" t="n"/>
      <c r="B1313" s="46">
        <f>IF(A1313="","",YEAR(A1313)&amp;" Q"&amp;ROUNDUP(MONTH(A1313)/3,0))</f>
        <v/>
      </c>
      <c r="C1313" s="47" t="n"/>
      <c r="D1313" s="47" t="n"/>
      <c r="E1313" s="47" t="n"/>
      <c r="F1313" s="47" t="n"/>
      <c r="G1313" s="48" t="n"/>
      <c r="H1313" s="49" t="n"/>
      <c r="I1313" s="50">
        <f>IF(G1313="","",ROUND(G1313*H1313,2))</f>
        <v/>
      </c>
      <c r="J1313" s="50">
        <f>IF(G1313="","",G1313+N(I1313))</f>
        <v/>
      </c>
      <c r="K1313" s="45" t="n"/>
      <c r="L1313" s="47" t="n"/>
      <c r="M1313" s="48" t="n"/>
      <c r="N1313" s="49" t="n"/>
      <c r="O1313" s="50">
        <f>IF(M1313="","",ROUND(M1313*N1313,2))</f>
        <v/>
      </c>
      <c r="P1313" s="50">
        <f>IF(M1313="","",M1313+N(O1313))</f>
        <v/>
      </c>
      <c r="Q1313" s="45" t="n"/>
      <c r="R1313" s="45" t="n"/>
      <c r="S1313" s="51">
        <f>IF(L1313="","",IF(COUNTIF(L$6:L1313,L1313)&gt;1,"",SUMIF(L$6:L$2000,L1313,M$6:M$2000)-SUMIF(L$6:L$2000,L1313,G$6:G$2000)))</f>
        <v/>
      </c>
      <c r="T1313" s="46">
        <f>IF(AND(C1313="",G1313=""),"",IF(L1313="","Nog factureren",IF(AND(G1313&lt;&gt;"",OR(K1313="",K1313&gt;TODAY())),"Nog betalen",IF(OR(R1313="",R1313&gt;TODAY()),"Wacht op klant","Afgerond"))))</f>
        <v/>
      </c>
    </row>
    <row r="1314">
      <c r="A1314" s="45" t="n"/>
      <c r="B1314" s="46">
        <f>IF(A1314="","",YEAR(A1314)&amp;" Q"&amp;ROUNDUP(MONTH(A1314)/3,0))</f>
        <v/>
      </c>
      <c r="C1314" s="47" t="n"/>
      <c r="D1314" s="47" t="n"/>
      <c r="E1314" s="47" t="n"/>
      <c r="F1314" s="47" t="n"/>
      <c r="G1314" s="48" t="n"/>
      <c r="H1314" s="49" t="n"/>
      <c r="I1314" s="50">
        <f>IF(G1314="","",ROUND(G1314*H1314,2))</f>
        <v/>
      </c>
      <c r="J1314" s="50">
        <f>IF(G1314="","",G1314+N(I1314))</f>
        <v/>
      </c>
      <c r="K1314" s="45" t="n"/>
      <c r="L1314" s="47" t="n"/>
      <c r="M1314" s="48" t="n"/>
      <c r="N1314" s="49" t="n"/>
      <c r="O1314" s="50">
        <f>IF(M1314="","",ROUND(M1314*N1314,2))</f>
        <v/>
      </c>
      <c r="P1314" s="50">
        <f>IF(M1314="","",M1314+N(O1314))</f>
        <v/>
      </c>
      <c r="Q1314" s="45" t="n"/>
      <c r="R1314" s="45" t="n"/>
      <c r="S1314" s="51">
        <f>IF(L1314="","",IF(COUNTIF(L$6:L1314,L1314)&gt;1,"",SUMIF(L$6:L$2000,L1314,M$6:M$2000)-SUMIF(L$6:L$2000,L1314,G$6:G$2000)))</f>
        <v/>
      </c>
      <c r="T1314" s="46">
        <f>IF(AND(C1314="",G1314=""),"",IF(L1314="","Nog factureren",IF(AND(G1314&lt;&gt;"",OR(K1314="",K1314&gt;TODAY())),"Nog betalen",IF(OR(R1314="",R1314&gt;TODAY()),"Wacht op klant","Afgerond"))))</f>
        <v/>
      </c>
    </row>
    <row r="1315">
      <c r="A1315" s="45" t="n"/>
      <c r="B1315" s="46">
        <f>IF(A1315="","",YEAR(A1315)&amp;" Q"&amp;ROUNDUP(MONTH(A1315)/3,0))</f>
        <v/>
      </c>
      <c r="C1315" s="47" t="n"/>
      <c r="D1315" s="47" t="n"/>
      <c r="E1315" s="47" t="n"/>
      <c r="F1315" s="47" t="n"/>
      <c r="G1315" s="48" t="n"/>
      <c r="H1315" s="49" t="n"/>
      <c r="I1315" s="50">
        <f>IF(G1315="","",ROUND(G1315*H1315,2))</f>
        <v/>
      </c>
      <c r="J1315" s="50">
        <f>IF(G1315="","",G1315+N(I1315))</f>
        <v/>
      </c>
      <c r="K1315" s="45" t="n"/>
      <c r="L1315" s="47" t="n"/>
      <c r="M1315" s="48" t="n"/>
      <c r="N1315" s="49" t="n"/>
      <c r="O1315" s="50">
        <f>IF(M1315="","",ROUND(M1315*N1315,2))</f>
        <v/>
      </c>
      <c r="P1315" s="50">
        <f>IF(M1315="","",M1315+N(O1315))</f>
        <v/>
      </c>
      <c r="Q1315" s="45" t="n"/>
      <c r="R1315" s="45" t="n"/>
      <c r="S1315" s="51">
        <f>IF(L1315="","",IF(COUNTIF(L$6:L1315,L1315)&gt;1,"",SUMIF(L$6:L$2000,L1315,M$6:M$2000)-SUMIF(L$6:L$2000,L1315,G$6:G$2000)))</f>
        <v/>
      </c>
      <c r="T1315" s="46">
        <f>IF(AND(C1315="",G1315=""),"",IF(L1315="","Nog factureren",IF(AND(G1315&lt;&gt;"",OR(K1315="",K1315&gt;TODAY())),"Nog betalen",IF(OR(R1315="",R1315&gt;TODAY()),"Wacht op klant","Afgerond"))))</f>
        <v/>
      </c>
    </row>
    <row r="1316">
      <c r="A1316" s="45" t="n"/>
      <c r="B1316" s="46">
        <f>IF(A1316="","",YEAR(A1316)&amp;" Q"&amp;ROUNDUP(MONTH(A1316)/3,0))</f>
        <v/>
      </c>
      <c r="C1316" s="47" t="n"/>
      <c r="D1316" s="47" t="n"/>
      <c r="E1316" s="47" t="n"/>
      <c r="F1316" s="47" t="n"/>
      <c r="G1316" s="48" t="n"/>
      <c r="H1316" s="49" t="n"/>
      <c r="I1316" s="50">
        <f>IF(G1316="","",ROUND(G1316*H1316,2))</f>
        <v/>
      </c>
      <c r="J1316" s="50">
        <f>IF(G1316="","",G1316+N(I1316))</f>
        <v/>
      </c>
      <c r="K1316" s="45" t="n"/>
      <c r="L1316" s="47" t="n"/>
      <c r="M1316" s="48" t="n"/>
      <c r="N1316" s="49" t="n"/>
      <c r="O1316" s="50">
        <f>IF(M1316="","",ROUND(M1316*N1316,2))</f>
        <v/>
      </c>
      <c r="P1316" s="50">
        <f>IF(M1316="","",M1316+N(O1316))</f>
        <v/>
      </c>
      <c r="Q1316" s="45" t="n"/>
      <c r="R1316" s="45" t="n"/>
      <c r="S1316" s="51">
        <f>IF(L1316="","",IF(COUNTIF(L$6:L1316,L1316)&gt;1,"",SUMIF(L$6:L$2000,L1316,M$6:M$2000)-SUMIF(L$6:L$2000,L1316,G$6:G$2000)))</f>
        <v/>
      </c>
      <c r="T1316" s="46">
        <f>IF(AND(C1316="",G1316=""),"",IF(L1316="","Nog factureren",IF(AND(G1316&lt;&gt;"",OR(K1316="",K1316&gt;TODAY())),"Nog betalen",IF(OR(R1316="",R1316&gt;TODAY()),"Wacht op klant","Afgerond"))))</f>
        <v/>
      </c>
    </row>
    <row r="1317">
      <c r="A1317" s="45" t="n"/>
      <c r="B1317" s="46">
        <f>IF(A1317="","",YEAR(A1317)&amp;" Q"&amp;ROUNDUP(MONTH(A1317)/3,0))</f>
        <v/>
      </c>
      <c r="C1317" s="47" t="n"/>
      <c r="D1317" s="47" t="n"/>
      <c r="E1317" s="47" t="n"/>
      <c r="F1317" s="47" t="n"/>
      <c r="G1317" s="48" t="n"/>
      <c r="H1317" s="49" t="n"/>
      <c r="I1317" s="50">
        <f>IF(G1317="","",ROUND(G1317*H1317,2))</f>
        <v/>
      </c>
      <c r="J1317" s="50">
        <f>IF(G1317="","",G1317+N(I1317))</f>
        <v/>
      </c>
      <c r="K1317" s="45" t="n"/>
      <c r="L1317" s="47" t="n"/>
      <c r="M1317" s="48" t="n"/>
      <c r="N1317" s="49" t="n"/>
      <c r="O1317" s="50">
        <f>IF(M1317="","",ROUND(M1317*N1317,2))</f>
        <v/>
      </c>
      <c r="P1317" s="50">
        <f>IF(M1317="","",M1317+N(O1317))</f>
        <v/>
      </c>
      <c r="Q1317" s="45" t="n"/>
      <c r="R1317" s="45" t="n"/>
      <c r="S1317" s="51">
        <f>IF(L1317="","",IF(COUNTIF(L$6:L1317,L1317)&gt;1,"",SUMIF(L$6:L$2000,L1317,M$6:M$2000)-SUMIF(L$6:L$2000,L1317,G$6:G$2000)))</f>
        <v/>
      </c>
      <c r="T1317" s="46">
        <f>IF(AND(C1317="",G1317=""),"",IF(L1317="","Nog factureren",IF(AND(G1317&lt;&gt;"",OR(K1317="",K1317&gt;TODAY())),"Nog betalen",IF(OR(R1317="",R1317&gt;TODAY()),"Wacht op klant","Afgerond"))))</f>
        <v/>
      </c>
    </row>
    <row r="1318">
      <c r="A1318" s="45" t="n"/>
      <c r="B1318" s="46">
        <f>IF(A1318="","",YEAR(A1318)&amp;" Q"&amp;ROUNDUP(MONTH(A1318)/3,0))</f>
        <v/>
      </c>
      <c r="C1318" s="47" t="n"/>
      <c r="D1318" s="47" t="n"/>
      <c r="E1318" s="47" t="n"/>
      <c r="F1318" s="47" t="n"/>
      <c r="G1318" s="48" t="n"/>
      <c r="H1318" s="49" t="n"/>
      <c r="I1318" s="50">
        <f>IF(G1318="","",ROUND(G1318*H1318,2))</f>
        <v/>
      </c>
      <c r="J1318" s="50">
        <f>IF(G1318="","",G1318+N(I1318))</f>
        <v/>
      </c>
      <c r="K1318" s="45" t="n"/>
      <c r="L1318" s="47" t="n"/>
      <c r="M1318" s="48" t="n"/>
      <c r="N1318" s="49" t="n"/>
      <c r="O1318" s="50">
        <f>IF(M1318="","",ROUND(M1318*N1318,2))</f>
        <v/>
      </c>
      <c r="P1318" s="50">
        <f>IF(M1318="","",M1318+N(O1318))</f>
        <v/>
      </c>
      <c r="Q1318" s="45" t="n"/>
      <c r="R1318" s="45" t="n"/>
      <c r="S1318" s="51">
        <f>IF(L1318="","",IF(COUNTIF(L$6:L1318,L1318)&gt;1,"",SUMIF(L$6:L$2000,L1318,M$6:M$2000)-SUMIF(L$6:L$2000,L1318,G$6:G$2000)))</f>
        <v/>
      </c>
      <c r="T1318" s="46">
        <f>IF(AND(C1318="",G1318=""),"",IF(L1318="","Nog factureren",IF(AND(G1318&lt;&gt;"",OR(K1318="",K1318&gt;TODAY())),"Nog betalen",IF(OR(R1318="",R1318&gt;TODAY()),"Wacht op klant","Afgerond"))))</f>
        <v/>
      </c>
    </row>
    <row r="1319">
      <c r="A1319" s="45" t="n"/>
      <c r="B1319" s="46">
        <f>IF(A1319="","",YEAR(A1319)&amp;" Q"&amp;ROUNDUP(MONTH(A1319)/3,0))</f>
        <v/>
      </c>
      <c r="C1319" s="47" t="n"/>
      <c r="D1319" s="47" t="n"/>
      <c r="E1319" s="47" t="n"/>
      <c r="F1319" s="47" t="n"/>
      <c r="G1319" s="48" t="n"/>
      <c r="H1319" s="49" t="n"/>
      <c r="I1319" s="50">
        <f>IF(G1319="","",ROUND(G1319*H1319,2))</f>
        <v/>
      </c>
      <c r="J1319" s="50">
        <f>IF(G1319="","",G1319+N(I1319))</f>
        <v/>
      </c>
      <c r="K1319" s="45" t="n"/>
      <c r="L1319" s="47" t="n"/>
      <c r="M1319" s="48" t="n"/>
      <c r="N1319" s="49" t="n"/>
      <c r="O1319" s="50">
        <f>IF(M1319="","",ROUND(M1319*N1319,2))</f>
        <v/>
      </c>
      <c r="P1319" s="50">
        <f>IF(M1319="","",M1319+N(O1319))</f>
        <v/>
      </c>
      <c r="Q1319" s="45" t="n"/>
      <c r="R1319" s="45" t="n"/>
      <c r="S1319" s="51">
        <f>IF(L1319="","",IF(COUNTIF(L$6:L1319,L1319)&gt;1,"",SUMIF(L$6:L$2000,L1319,M$6:M$2000)-SUMIF(L$6:L$2000,L1319,G$6:G$2000)))</f>
        <v/>
      </c>
      <c r="T1319" s="46">
        <f>IF(AND(C1319="",G1319=""),"",IF(L1319="","Nog factureren",IF(AND(G1319&lt;&gt;"",OR(K1319="",K1319&gt;TODAY())),"Nog betalen",IF(OR(R1319="",R1319&gt;TODAY()),"Wacht op klant","Afgerond"))))</f>
        <v/>
      </c>
    </row>
    <row r="1320">
      <c r="A1320" s="45" t="n"/>
      <c r="B1320" s="46">
        <f>IF(A1320="","",YEAR(A1320)&amp;" Q"&amp;ROUNDUP(MONTH(A1320)/3,0))</f>
        <v/>
      </c>
      <c r="C1320" s="47" t="n"/>
      <c r="D1320" s="47" t="n"/>
      <c r="E1320" s="47" t="n"/>
      <c r="F1320" s="47" t="n"/>
      <c r="G1320" s="48" t="n"/>
      <c r="H1320" s="49" t="n"/>
      <c r="I1320" s="50">
        <f>IF(G1320="","",ROUND(G1320*H1320,2))</f>
        <v/>
      </c>
      <c r="J1320" s="50">
        <f>IF(G1320="","",G1320+N(I1320))</f>
        <v/>
      </c>
      <c r="K1320" s="45" t="n"/>
      <c r="L1320" s="47" t="n"/>
      <c r="M1320" s="48" t="n"/>
      <c r="N1320" s="49" t="n"/>
      <c r="O1320" s="50">
        <f>IF(M1320="","",ROUND(M1320*N1320,2))</f>
        <v/>
      </c>
      <c r="P1320" s="50">
        <f>IF(M1320="","",M1320+N(O1320))</f>
        <v/>
      </c>
      <c r="Q1320" s="45" t="n"/>
      <c r="R1320" s="45" t="n"/>
      <c r="S1320" s="51">
        <f>IF(L1320="","",IF(COUNTIF(L$6:L1320,L1320)&gt;1,"",SUMIF(L$6:L$2000,L1320,M$6:M$2000)-SUMIF(L$6:L$2000,L1320,G$6:G$2000)))</f>
        <v/>
      </c>
      <c r="T1320" s="46">
        <f>IF(AND(C1320="",G1320=""),"",IF(L1320="","Nog factureren",IF(AND(G1320&lt;&gt;"",OR(K1320="",K1320&gt;TODAY())),"Nog betalen",IF(OR(R1320="",R1320&gt;TODAY()),"Wacht op klant","Afgerond"))))</f>
        <v/>
      </c>
    </row>
    <row r="1321">
      <c r="A1321" s="45" t="n"/>
      <c r="B1321" s="46">
        <f>IF(A1321="","",YEAR(A1321)&amp;" Q"&amp;ROUNDUP(MONTH(A1321)/3,0))</f>
        <v/>
      </c>
      <c r="C1321" s="47" t="n"/>
      <c r="D1321" s="47" t="n"/>
      <c r="E1321" s="47" t="n"/>
      <c r="F1321" s="47" t="n"/>
      <c r="G1321" s="48" t="n"/>
      <c r="H1321" s="49" t="n"/>
      <c r="I1321" s="50">
        <f>IF(G1321="","",ROUND(G1321*H1321,2))</f>
        <v/>
      </c>
      <c r="J1321" s="50">
        <f>IF(G1321="","",G1321+N(I1321))</f>
        <v/>
      </c>
      <c r="K1321" s="45" t="n"/>
      <c r="L1321" s="47" t="n"/>
      <c r="M1321" s="48" t="n"/>
      <c r="N1321" s="49" t="n"/>
      <c r="O1321" s="50">
        <f>IF(M1321="","",ROUND(M1321*N1321,2))</f>
        <v/>
      </c>
      <c r="P1321" s="50">
        <f>IF(M1321="","",M1321+N(O1321))</f>
        <v/>
      </c>
      <c r="Q1321" s="45" t="n"/>
      <c r="R1321" s="45" t="n"/>
      <c r="S1321" s="51">
        <f>IF(L1321="","",IF(COUNTIF(L$6:L1321,L1321)&gt;1,"",SUMIF(L$6:L$2000,L1321,M$6:M$2000)-SUMIF(L$6:L$2000,L1321,G$6:G$2000)))</f>
        <v/>
      </c>
      <c r="T1321" s="46">
        <f>IF(AND(C1321="",G1321=""),"",IF(L1321="","Nog factureren",IF(AND(G1321&lt;&gt;"",OR(K1321="",K1321&gt;TODAY())),"Nog betalen",IF(OR(R1321="",R1321&gt;TODAY()),"Wacht op klant","Afgerond"))))</f>
        <v/>
      </c>
    </row>
    <row r="1322">
      <c r="A1322" s="45" t="n"/>
      <c r="B1322" s="46">
        <f>IF(A1322="","",YEAR(A1322)&amp;" Q"&amp;ROUNDUP(MONTH(A1322)/3,0))</f>
        <v/>
      </c>
      <c r="C1322" s="47" t="n"/>
      <c r="D1322" s="47" t="n"/>
      <c r="E1322" s="47" t="n"/>
      <c r="F1322" s="47" t="n"/>
      <c r="G1322" s="48" t="n"/>
      <c r="H1322" s="49" t="n"/>
      <c r="I1322" s="50">
        <f>IF(G1322="","",ROUND(G1322*H1322,2))</f>
        <v/>
      </c>
      <c r="J1322" s="50">
        <f>IF(G1322="","",G1322+N(I1322))</f>
        <v/>
      </c>
      <c r="K1322" s="45" t="n"/>
      <c r="L1322" s="47" t="n"/>
      <c r="M1322" s="48" t="n"/>
      <c r="N1322" s="49" t="n"/>
      <c r="O1322" s="50">
        <f>IF(M1322="","",ROUND(M1322*N1322,2))</f>
        <v/>
      </c>
      <c r="P1322" s="50">
        <f>IF(M1322="","",M1322+N(O1322))</f>
        <v/>
      </c>
      <c r="Q1322" s="45" t="n"/>
      <c r="R1322" s="45" t="n"/>
      <c r="S1322" s="51">
        <f>IF(L1322="","",IF(COUNTIF(L$6:L1322,L1322)&gt;1,"",SUMIF(L$6:L$2000,L1322,M$6:M$2000)-SUMIF(L$6:L$2000,L1322,G$6:G$2000)))</f>
        <v/>
      </c>
      <c r="T1322" s="46">
        <f>IF(AND(C1322="",G1322=""),"",IF(L1322="","Nog factureren",IF(AND(G1322&lt;&gt;"",OR(K1322="",K1322&gt;TODAY())),"Nog betalen",IF(OR(R1322="",R1322&gt;TODAY()),"Wacht op klant","Afgerond"))))</f>
        <v/>
      </c>
    </row>
    <row r="1323">
      <c r="A1323" s="45" t="n"/>
      <c r="B1323" s="46">
        <f>IF(A1323="","",YEAR(A1323)&amp;" Q"&amp;ROUNDUP(MONTH(A1323)/3,0))</f>
        <v/>
      </c>
      <c r="C1323" s="47" t="n"/>
      <c r="D1323" s="47" t="n"/>
      <c r="E1323" s="47" t="n"/>
      <c r="F1323" s="47" t="n"/>
      <c r="G1323" s="48" t="n"/>
      <c r="H1323" s="49" t="n"/>
      <c r="I1323" s="50">
        <f>IF(G1323="","",ROUND(G1323*H1323,2))</f>
        <v/>
      </c>
      <c r="J1323" s="50">
        <f>IF(G1323="","",G1323+N(I1323))</f>
        <v/>
      </c>
      <c r="K1323" s="45" t="n"/>
      <c r="L1323" s="47" t="n"/>
      <c r="M1323" s="48" t="n"/>
      <c r="N1323" s="49" t="n"/>
      <c r="O1323" s="50">
        <f>IF(M1323="","",ROUND(M1323*N1323,2))</f>
        <v/>
      </c>
      <c r="P1323" s="50">
        <f>IF(M1323="","",M1323+N(O1323))</f>
        <v/>
      </c>
      <c r="Q1323" s="45" t="n"/>
      <c r="R1323" s="45" t="n"/>
      <c r="S1323" s="51">
        <f>IF(L1323="","",IF(COUNTIF(L$6:L1323,L1323)&gt;1,"",SUMIF(L$6:L$2000,L1323,M$6:M$2000)-SUMIF(L$6:L$2000,L1323,G$6:G$2000)))</f>
        <v/>
      </c>
      <c r="T1323" s="46">
        <f>IF(AND(C1323="",G1323=""),"",IF(L1323="","Nog factureren",IF(AND(G1323&lt;&gt;"",OR(K1323="",K1323&gt;TODAY())),"Nog betalen",IF(OR(R1323="",R1323&gt;TODAY()),"Wacht op klant","Afgerond"))))</f>
        <v/>
      </c>
    </row>
    <row r="1324">
      <c r="A1324" s="45" t="n"/>
      <c r="B1324" s="46">
        <f>IF(A1324="","",YEAR(A1324)&amp;" Q"&amp;ROUNDUP(MONTH(A1324)/3,0))</f>
        <v/>
      </c>
      <c r="C1324" s="47" t="n"/>
      <c r="D1324" s="47" t="n"/>
      <c r="E1324" s="47" t="n"/>
      <c r="F1324" s="47" t="n"/>
      <c r="G1324" s="48" t="n"/>
      <c r="H1324" s="49" t="n"/>
      <c r="I1324" s="50">
        <f>IF(G1324="","",ROUND(G1324*H1324,2))</f>
        <v/>
      </c>
      <c r="J1324" s="50">
        <f>IF(G1324="","",G1324+N(I1324))</f>
        <v/>
      </c>
      <c r="K1324" s="45" t="n"/>
      <c r="L1324" s="47" t="n"/>
      <c r="M1324" s="48" t="n"/>
      <c r="N1324" s="49" t="n"/>
      <c r="O1324" s="50">
        <f>IF(M1324="","",ROUND(M1324*N1324,2))</f>
        <v/>
      </c>
      <c r="P1324" s="50">
        <f>IF(M1324="","",M1324+N(O1324))</f>
        <v/>
      </c>
      <c r="Q1324" s="45" t="n"/>
      <c r="R1324" s="45" t="n"/>
      <c r="S1324" s="51">
        <f>IF(L1324="","",IF(COUNTIF(L$6:L1324,L1324)&gt;1,"",SUMIF(L$6:L$2000,L1324,M$6:M$2000)-SUMIF(L$6:L$2000,L1324,G$6:G$2000)))</f>
        <v/>
      </c>
      <c r="T1324" s="46">
        <f>IF(AND(C1324="",G1324=""),"",IF(L1324="","Nog factureren",IF(AND(G1324&lt;&gt;"",OR(K1324="",K1324&gt;TODAY())),"Nog betalen",IF(OR(R1324="",R1324&gt;TODAY()),"Wacht op klant","Afgerond"))))</f>
        <v/>
      </c>
    </row>
    <row r="1325">
      <c r="A1325" s="45" t="n"/>
      <c r="B1325" s="46">
        <f>IF(A1325="","",YEAR(A1325)&amp;" Q"&amp;ROUNDUP(MONTH(A1325)/3,0))</f>
        <v/>
      </c>
      <c r="C1325" s="47" t="n"/>
      <c r="D1325" s="47" t="n"/>
      <c r="E1325" s="47" t="n"/>
      <c r="F1325" s="47" t="n"/>
      <c r="G1325" s="48" t="n"/>
      <c r="H1325" s="49" t="n"/>
      <c r="I1325" s="50">
        <f>IF(G1325="","",ROUND(G1325*H1325,2))</f>
        <v/>
      </c>
      <c r="J1325" s="50">
        <f>IF(G1325="","",G1325+N(I1325))</f>
        <v/>
      </c>
      <c r="K1325" s="45" t="n"/>
      <c r="L1325" s="47" t="n"/>
      <c r="M1325" s="48" t="n"/>
      <c r="N1325" s="49" t="n"/>
      <c r="O1325" s="50">
        <f>IF(M1325="","",ROUND(M1325*N1325,2))</f>
        <v/>
      </c>
      <c r="P1325" s="50">
        <f>IF(M1325="","",M1325+N(O1325))</f>
        <v/>
      </c>
      <c r="Q1325" s="45" t="n"/>
      <c r="R1325" s="45" t="n"/>
      <c r="S1325" s="51">
        <f>IF(L1325="","",IF(COUNTIF(L$6:L1325,L1325)&gt;1,"",SUMIF(L$6:L$2000,L1325,M$6:M$2000)-SUMIF(L$6:L$2000,L1325,G$6:G$2000)))</f>
        <v/>
      </c>
      <c r="T1325" s="46">
        <f>IF(AND(C1325="",G1325=""),"",IF(L1325="","Nog factureren",IF(AND(G1325&lt;&gt;"",OR(K1325="",K1325&gt;TODAY())),"Nog betalen",IF(OR(R1325="",R1325&gt;TODAY()),"Wacht op klant","Afgerond"))))</f>
        <v/>
      </c>
    </row>
    <row r="1326">
      <c r="A1326" s="45" t="n"/>
      <c r="B1326" s="46">
        <f>IF(A1326="","",YEAR(A1326)&amp;" Q"&amp;ROUNDUP(MONTH(A1326)/3,0))</f>
        <v/>
      </c>
      <c r="C1326" s="47" t="n"/>
      <c r="D1326" s="47" t="n"/>
      <c r="E1326" s="47" t="n"/>
      <c r="F1326" s="47" t="n"/>
      <c r="G1326" s="48" t="n"/>
      <c r="H1326" s="49" t="n"/>
      <c r="I1326" s="50">
        <f>IF(G1326="","",ROUND(G1326*H1326,2))</f>
        <v/>
      </c>
      <c r="J1326" s="50">
        <f>IF(G1326="","",G1326+N(I1326))</f>
        <v/>
      </c>
      <c r="K1326" s="45" t="n"/>
      <c r="L1326" s="47" t="n"/>
      <c r="M1326" s="48" t="n"/>
      <c r="N1326" s="49" t="n"/>
      <c r="O1326" s="50">
        <f>IF(M1326="","",ROUND(M1326*N1326,2))</f>
        <v/>
      </c>
      <c r="P1326" s="50">
        <f>IF(M1326="","",M1326+N(O1326))</f>
        <v/>
      </c>
      <c r="Q1326" s="45" t="n"/>
      <c r="R1326" s="45" t="n"/>
      <c r="S1326" s="51">
        <f>IF(L1326="","",IF(COUNTIF(L$6:L1326,L1326)&gt;1,"",SUMIF(L$6:L$2000,L1326,M$6:M$2000)-SUMIF(L$6:L$2000,L1326,G$6:G$2000)))</f>
        <v/>
      </c>
      <c r="T1326" s="46">
        <f>IF(AND(C1326="",G1326=""),"",IF(L1326="","Nog factureren",IF(AND(G1326&lt;&gt;"",OR(K1326="",K1326&gt;TODAY())),"Nog betalen",IF(OR(R1326="",R1326&gt;TODAY()),"Wacht op klant","Afgerond"))))</f>
        <v/>
      </c>
    </row>
    <row r="1327">
      <c r="A1327" s="45" t="n"/>
      <c r="B1327" s="46">
        <f>IF(A1327="","",YEAR(A1327)&amp;" Q"&amp;ROUNDUP(MONTH(A1327)/3,0))</f>
        <v/>
      </c>
      <c r="C1327" s="47" t="n"/>
      <c r="D1327" s="47" t="n"/>
      <c r="E1327" s="47" t="n"/>
      <c r="F1327" s="47" t="n"/>
      <c r="G1327" s="48" t="n"/>
      <c r="H1327" s="49" t="n"/>
      <c r="I1327" s="50">
        <f>IF(G1327="","",ROUND(G1327*H1327,2))</f>
        <v/>
      </c>
      <c r="J1327" s="50">
        <f>IF(G1327="","",G1327+N(I1327))</f>
        <v/>
      </c>
      <c r="K1327" s="45" t="n"/>
      <c r="L1327" s="47" t="n"/>
      <c r="M1327" s="48" t="n"/>
      <c r="N1327" s="49" t="n"/>
      <c r="O1327" s="50">
        <f>IF(M1327="","",ROUND(M1327*N1327,2))</f>
        <v/>
      </c>
      <c r="P1327" s="50">
        <f>IF(M1327="","",M1327+N(O1327))</f>
        <v/>
      </c>
      <c r="Q1327" s="45" t="n"/>
      <c r="R1327" s="45" t="n"/>
      <c r="S1327" s="51">
        <f>IF(L1327="","",IF(COUNTIF(L$6:L1327,L1327)&gt;1,"",SUMIF(L$6:L$2000,L1327,M$6:M$2000)-SUMIF(L$6:L$2000,L1327,G$6:G$2000)))</f>
        <v/>
      </c>
      <c r="T1327" s="46">
        <f>IF(AND(C1327="",G1327=""),"",IF(L1327="","Nog factureren",IF(AND(G1327&lt;&gt;"",OR(K1327="",K1327&gt;TODAY())),"Nog betalen",IF(OR(R1327="",R1327&gt;TODAY()),"Wacht op klant","Afgerond"))))</f>
        <v/>
      </c>
    </row>
    <row r="1328">
      <c r="A1328" s="45" t="n"/>
      <c r="B1328" s="46">
        <f>IF(A1328="","",YEAR(A1328)&amp;" Q"&amp;ROUNDUP(MONTH(A1328)/3,0))</f>
        <v/>
      </c>
      <c r="C1328" s="47" t="n"/>
      <c r="D1328" s="47" t="n"/>
      <c r="E1328" s="47" t="n"/>
      <c r="F1328" s="47" t="n"/>
      <c r="G1328" s="48" t="n"/>
      <c r="H1328" s="49" t="n"/>
      <c r="I1328" s="50">
        <f>IF(G1328="","",ROUND(G1328*H1328,2))</f>
        <v/>
      </c>
      <c r="J1328" s="50">
        <f>IF(G1328="","",G1328+N(I1328))</f>
        <v/>
      </c>
      <c r="K1328" s="45" t="n"/>
      <c r="L1328" s="47" t="n"/>
      <c r="M1328" s="48" t="n"/>
      <c r="N1328" s="49" t="n"/>
      <c r="O1328" s="50">
        <f>IF(M1328="","",ROUND(M1328*N1328,2))</f>
        <v/>
      </c>
      <c r="P1328" s="50">
        <f>IF(M1328="","",M1328+N(O1328))</f>
        <v/>
      </c>
      <c r="Q1328" s="45" t="n"/>
      <c r="R1328" s="45" t="n"/>
      <c r="S1328" s="51">
        <f>IF(L1328="","",IF(COUNTIF(L$6:L1328,L1328)&gt;1,"",SUMIF(L$6:L$2000,L1328,M$6:M$2000)-SUMIF(L$6:L$2000,L1328,G$6:G$2000)))</f>
        <v/>
      </c>
      <c r="T1328" s="46">
        <f>IF(AND(C1328="",G1328=""),"",IF(L1328="","Nog factureren",IF(AND(G1328&lt;&gt;"",OR(K1328="",K1328&gt;TODAY())),"Nog betalen",IF(OR(R1328="",R1328&gt;TODAY()),"Wacht op klant","Afgerond"))))</f>
        <v/>
      </c>
    </row>
    <row r="1329">
      <c r="A1329" s="45" t="n"/>
      <c r="B1329" s="46">
        <f>IF(A1329="","",YEAR(A1329)&amp;" Q"&amp;ROUNDUP(MONTH(A1329)/3,0))</f>
        <v/>
      </c>
      <c r="C1329" s="47" t="n"/>
      <c r="D1329" s="47" t="n"/>
      <c r="E1329" s="47" t="n"/>
      <c r="F1329" s="47" t="n"/>
      <c r="G1329" s="48" t="n"/>
      <c r="H1329" s="49" t="n"/>
      <c r="I1329" s="50">
        <f>IF(G1329="","",ROUND(G1329*H1329,2))</f>
        <v/>
      </c>
      <c r="J1329" s="50">
        <f>IF(G1329="","",G1329+N(I1329))</f>
        <v/>
      </c>
      <c r="K1329" s="45" t="n"/>
      <c r="L1329" s="47" t="n"/>
      <c r="M1329" s="48" t="n"/>
      <c r="N1329" s="49" t="n"/>
      <c r="O1329" s="50">
        <f>IF(M1329="","",ROUND(M1329*N1329,2))</f>
        <v/>
      </c>
      <c r="P1329" s="50">
        <f>IF(M1329="","",M1329+N(O1329))</f>
        <v/>
      </c>
      <c r="Q1329" s="45" t="n"/>
      <c r="R1329" s="45" t="n"/>
      <c r="S1329" s="51">
        <f>IF(L1329="","",IF(COUNTIF(L$6:L1329,L1329)&gt;1,"",SUMIF(L$6:L$2000,L1329,M$6:M$2000)-SUMIF(L$6:L$2000,L1329,G$6:G$2000)))</f>
        <v/>
      </c>
      <c r="T1329" s="46">
        <f>IF(AND(C1329="",G1329=""),"",IF(L1329="","Nog factureren",IF(AND(G1329&lt;&gt;"",OR(K1329="",K1329&gt;TODAY())),"Nog betalen",IF(OR(R1329="",R1329&gt;TODAY()),"Wacht op klant","Afgerond"))))</f>
        <v/>
      </c>
    </row>
    <row r="1330">
      <c r="A1330" s="45" t="n"/>
      <c r="B1330" s="46">
        <f>IF(A1330="","",YEAR(A1330)&amp;" Q"&amp;ROUNDUP(MONTH(A1330)/3,0))</f>
        <v/>
      </c>
      <c r="C1330" s="47" t="n"/>
      <c r="D1330" s="47" t="n"/>
      <c r="E1330" s="47" t="n"/>
      <c r="F1330" s="47" t="n"/>
      <c r="G1330" s="48" t="n"/>
      <c r="H1330" s="49" t="n"/>
      <c r="I1330" s="50">
        <f>IF(G1330="","",ROUND(G1330*H1330,2))</f>
        <v/>
      </c>
      <c r="J1330" s="50">
        <f>IF(G1330="","",G1330+N(I1330))</f>
        <v/>
      </c>
      <c r="K1330" s="45" t="n"/>
      <c r="L1330" s="47" t="n"/>
      <c r="M1330" s="48" t="n"/>
      <c r="N1330" s="49" t="n"/>
      <c r="O1330" s="50">
        <f>IF(M1330="","",ROUND(M1330*N1330,2))</f>
        <v/>
      </c>
      <c r="P1330" s="50">
        <f>IF(M1330="","",M1330+N(O1330))</f>
        <v/>
      </c>
      <c r="Q1330" s="45" t="n"/>
      <c r="R1330" s="45" t="n"/>
      <c r="S1330" s="51">
        <f>IF(L1330="","",IF(COUNTIF(L$6:L1330,L1330)&gt;1,"",SUMIF(L$6:L$2000,L1330,M$6:M$2000)-SUMIF(L$6:L$2000,L1330,G$6:G$2000)))</f>
        <v/>
      </c>
      <c r="T1330" s="46">
        <f>IF(AND(C1330="",G1330=""),"",IF(L1330="","Nog factureren",IF(AND(G1330&lt;&gt;"",OR(K1330="",K1330&gt;TODAY())),"Nog betalen",IF(OR(R1330="",R1330&gt;TODAY()),"Wacht op klant","Afgerond"))))</f>
        <v/>
      </c>
    </row>
    <row r="1331">
      <c r="A1331" s="45" t="n"/>
      <c r="B1331" s="46">
        <f>IF(A1331="","",YEAR(A1331)&amp;" Q"&amp;ROUNDUP(MONTH(A1331)/3,0))</f>
        <v/>
      </c>
      <c r="C1331" s="47" t="n"/>
      <c r="D1331" s="47" t="n"/>
      <c r="E1331" s="47" t="n"/>
      <c r="F1331" s="47" t="n"/>
      <c r="G1331" s="48" t="n"/>
      <c r="H1331" s="49" t="n"/>
      <c r="I1331" s="50">
        <f>IF(G1331="","",ROUND(G1331*H1331,2))</f>
        <v/>
      </c>
      <c r="J1331" s="50">
        <f>IF(G1331="","",G1331+N(I1331))</f>
        <v/>
      </c>
      <c r="K1331" s="45" t="n"/>
      <c r="L1331" s="47" t="n"/>
      <c r="M1331" s="48" t="n"/>
      <c r="N1331" s="49" t="n"/>
      <c r="O1331" s="50">
        <f>IF(M1331="","",ROUND(M1331*N1331,2))</f>
        <v/>
      </c>
      <c r="P1331" s="50">
        <f>IF(M1331="","",M1331+N(O1331))</f>
        <v/>
      </c>
      <c r="Q1331" s="45" t="n"/>
      <c r="R1331" s="45" t="n"/>
      <c r="S1331" s="51">
        <f>IF(L1331="","",IF(COUNTIF(L$6:L1331,L1331)&gt;1,"",SUMIF(L$6:L$2000,L1331,M$6:M$2000)-SUMIF(L$6:L$2000,L1331,G$6:G$2000)))</f>
        <v/>
      </c>
      <c r="T1331" s="46">
        <f>IF(AND(C1331="",G1331=""),"",IF(L1331="","Nog factureren",IF(AND(G1331&lt;&gt;"",OR(K1331="",K1331&gt;TODAY())),"Nog betalen",IF(OR(R1331="",R1331&gt;TODAY()),"Wacht op klant","Afgerond"))))</f>
        <v/>
      </c>
    </row>
    <row r="1332">
      <c r="A1332" s="45" t="n"/>
      <c r="B1332" s="46">
        <f>IF(A1332="","",YEAR(A1332)&amp;" Q"&amp;ROUNDUP(MONTH(A1332)/3,0))</f>
        <v/>
      </c>
      <c r="C1332" s="47" t="n"/>
      <c r="D1332" s="47" t="n"/>
      <c r="E1332" s="47" t="n"/>
      <c r="F1332" s="47" t="n"/>
      <c r="G1332" s="48" t="n"/>
      <c r="H1332" s="49" t="n"/>
      <c r="I1332" s="50">
        <f>IF(G1332="","",ROUND(G1332*H1332,2))</f>
        <v/>
      </c>
      <c r="J1332" s="50">
        <f>IF(G1332="","",G1332+N(I1332))</f>
        <v/>
      </c>
      <c r="K1332" s="45" t="n"/>
      <c r="L1332" s="47" t="n"/>
      <c r="M1332" s="48" t="n"/>
      <c r="N1332" s="49" t="n"/>
      <c r="O1332" s="50">
        <f>IF(M1332="","",ROUND(M1332*N1332,2))</f>
        <v/>
      </c>
      <c r="P1332" s="50">
        <f>IF(M1332="","",M1332+N(O1332))</f>
        <v/>
      </c>
      <c r="Q1332" s="45" t="n"/>
      <c r="R1332" s="45" t="n"/>
      <c r="S1332" s="51">
        <f>IF(L1332="","",IF(COUNTIF(L$6:L1332,L1332)&gt;1,"",SUMIF(L$6:L$2000,L1332,M$6:M$2000)-SUMIF(L$6:L$2000,L1332,G$6:G$2000)))</f>
        <v/>
      </c>
      <c r="T1332" s="46">
        <f>IF(AND(C1332="",G1332=""),"",IF(L1332="","Nog factureren",IF(AND(G1332&lt;&gt;"",OR(K1332="",K1332&gt;TODAY())),"Nog betalen",IF(OR(R1332="",R1332&gt;TODAY()),"Wacht op klant","Afgerond"))))</f>
        <v/>
      </c>
    </row>
    <row r="1333">
      <c r="A1333" s="45" t="n"/>
      <c r="B1333" s="46">
        <f>IF(A1333="","",YEAR(A1333)&amp;" Q"&amp;ROUNDUP(MONTH(A1333)/3,0))</f>
        <v/>
      </c>
      <c r="C1333" s="47" t="n"/>
      <c r="D1333" s="47" t="n"/>
      <c r="E1333" s="47" t="n"/>
      <c r="F1333" s="47" t="n"/>
      <c r="G1333" s="48" t="n"/>
      <c r="H1333" s="49" t="n"/>
      <c r="I1333" s="50">
        <f>IF(G1333="","",ROUND(G1333*H1333,2))</f>
        <v/>
      </c>
      <c r="J1333" s="50">
        <f>IF(G1333="","",G1333+N(I1333))</f>
        <v/>
      </c>
      <c r="K1333" s="45" t="n"/>
      <c r="L1333" s="47" t="n"/>
      <c r="M1333" s="48" t="n"/>
      <c r="N1333" s="49" t="n"/>
      <c r="O1333" s="50">
        <f>IF(M1333="","",ROUND(M1333*N1333,2))</f>
        <v/>
      </c>
      <c r="P1333" s="50">
        <f>IF(M1333="","",M1333+N(O1333))</f>
        <v/>
      </c>
      <c r="Q1333" s="45" t="n"/>
      <c r="R1333" s="45" t="n"/>
      <c r="S1333" s="51">
        <f>IF(L1333="","",IF(COUNTIF(L$6:L1333,L1333)&gt;1,"",SUMIF(L$6:L$2000,L1333,M$6:M$2000)-SUMIF(L$6:L$2000,L1333,G$6:G$2000)))</f>
        <v/>
      </c>
      <c r="T1333" s="46">
        <f>IF(AND(C1333="",G1333=""),"",IF(L1333="","Nog factureren",IF(AND(G1333&lt;&gt;"",OR(K1333="",K1333&gt;TODAY())),"Nog betalen",IF(OR(R1333="",R1333&gt;TODAY()),"Wacht op klant","Afgerond"))))</f>
        <v/>
      </c>
    </row>
    <row r="1334">
      <c r="A1334" s="45" t="n"/>
      <c r="B1334" s="46">
        <f>IF(A1334="","",YEAR(A1334)&amp;" Q"&amp;ROUNDUP(MONTH(A1334)/3,0))</f>
        <v/>
      </c>
      <c r="C1334" s="47" t="n"/>
      <c r="D1334" s="47" t="n"/>
      <c r="E1334" s="47" t="n"/>
      <c r="F1334" s="47" t="n"/>
      <c r="G1334" s="48" t="n"/>
      <c r="H1334" s="49" t="n"/>
      <c r="I1334" s="50">
        <f>IF(G1334="","",ROUND(G1334*H1334,2))</f>
        <v/>
      </c>
      <c r="J1334" s="50">
        <f>IF(G1334="","",G1334+N(I1334))</f>
        <v/>
      </c>
      <c r="K1334" s="45" t="n"/>
      <c r="L1334" s="47" t="n"/>
      <c r="M1334" s="48" t="n"/>
      <c r="N1334" s="49" t="n"/>
      <c r="O1334" s="50">
        <f>IF(M1334="","",ROUND(M1334*N1334,2))</f>
        <v/>
      </c>
      <c r="P1334" s="50">
        <f>IF(M1334="","",M1334+N(O1334))</f>
        <v/>
      </c>
      <c r="Q1334" s="45" t="n"/>
      <c r="R1334" s="45" t="n"/>
      <c r="S1334" s="51">
        <f>IF(L1334="","",IF(COUNTIF(L$6:L1334,L1334)&gt;1,"",SUMIF(L$6:L$2000,L1334,M$6:M$2000)-SUMIF(L$6:L$2000,L1334,G$6:G$2000)))</f>
        <v/>
      </c>
      <c r="T1334" s="46">
        <f>IF(AND(C1334="",G1334=""),"",IF(L1334="","Nog factureren",IF(AND(G1334&lt;&gt;"",OR(K1334="",K1334&gt;TODAY())),"Nog betalen",IF(OR(R1334="",R1334&gt;TODAY()),"Wacht op klant","Afgerond"))))</f>
        <v/>
      </c>
    </row>
    <row r="1335">
      <c r="A1335" s="45" t="n"/>
      <c r="B1335" s="46">
        <f>IF(A1335="","",YEAR(A1335)&amp;" Q"&amp;ROUNDUP(MONTH(A1335)/3,0))</f>
        <v/>
      </c>
      <c r="C1335" s="47" t="n"/>
      <c r="D1335" s="47" t="n"/>
      <c r="E1335" s="47" t="n"/>
      <c r="F1335" s="47" t="n"/>
      <c r="G1335" s="48" t="n"/>
      <c r="H1335" s="49" t="n"/>
      <c r="I1335" s="50">
        <f>IF(G1335="","",ROUND(G1335*H1335,2))</f>
        <v/>
      </c>
      <c r="J1335" s="50">
        <f>IF(G1335="","",G1335+N(I1335))</f>
        <v/>
      </c>
      <c r="K1335" s="45" t="n"/>
      <c r="L1335" s="47" t="n"/>
      <c r="M1335" s="48" t="n"/>
      <c r="N1335" s="49" t="n"/>
      <c r="O1335" s="50">
        <f>IF(M1335="","",ROUND(M1335*N1335,2))</f>
        <v/>
      </c>
      <c r="P1335" s="50">
        <f>IF(M1335="","",M1335+N(O1335))</f>
        <v/>
      </c>
      <c r="Q1335" s="45" t="n"/>
      <c r="R1335" s="45" t="n"/>
      <c r="S1335" s="51">
        <f>IF(L1335="","",IF(COUNTIF(L$6:L1335,L1335)&gt;1,"",SUMIF(L$6:L$2000,L1335,M$6:M$2000)-SUMIF(L$6:L$2000,L1335,G$6:G$2000)))</f>
        <v/>
      </c>
      <c r="T1335" s="46">
        <f>IF(AND(C1335="",G1335=""),"",IF(L1335="","Nog factureren",IF(AND(G1335&lt;&gt;"",OR(K1335="",K1335&gt;TODAY())),"Nog betalen",IF(OR(R1335="",R1335&gt;TODAY()),"Wacht op klant","Afgerond"))))</f>
        <v/>
      </c>
    </row>
    <row r="1336">
      <c r="A1336" s="45" t="n"/>
      <c r="B1336" s="46">
        <f>IF(A1336="","",YEAR(A1336)&amp;" Q"&amp;ROUNDUP(MONTH(A1336)/3,0))</f>
        <v/>
      </c>
      <c r="C1336" s="47" t="n"/>
      <c r="D1336" s="47" t="n"/>
      <c r="E1336" s="47" t="n"/>
      <c r="F1336" s="47" t="n"/>
      <c r="G1336" s="48" t="n"/>
      <c r="H1336" s="49" t="n"/>
      <c r="I1336" s="50">
        <f>IF(G1336="","",ROUND(G1336*H1336,2))</f>
        <v/>
      </c>
      <c r="J1336" s="50">
        <f>IF(G1336="","",G1336+N(I1336))</f>
        <v/>
      </c>
      <c r="K1336" s="45" t="n"/>
      <c r="L1336" s="47" t="n"/>
      <c r="M1336" s="48" t="n"/>
      <c r="N1336" s="49" t="n"/>
      <c r="O1336" s="50">
        <f>IF(M1336="","",ROUND(M1336*N1336,2))</f>
        <v/>
      </c>
      <c r="P1336" s="50">
        <f>IF(M1336="","",M1336+N(O1336))</f>
        <v/>
      </c>
      <c r="Q1336" s="45" t="n"/>
      <c r="R1336" s="45" t="n"/>
      <c r="S1336" s="51">
        <f>IF(L1336="","",IF(COUNTIF(L$6:L1336,L1336)&gt;1,"",SUMIF(L$6:L$2000,L1336,M$6:M$2000)-SUMIF(L$6:L$2000,L1336,G$6:G$2000)))</f>
        <v/>
      </c>
      <c r="T1336" s="46">
        <f>IF(AND(C1336="",G1336=""),"",IF(L1336="","Nog factureren",IF(AND(G1336&lt;&gt;"",OR(K1336="",K1336&gt;TODAY())),"Nog betalen",IF(OR(R1336="",R1336&gt;TODAY()),"Wacht op klant","Afgerond"))))</f>
        <v/>
      </c>
    </row>
    <row r="1337">
      <c r="A1337" s="45" t="n"/>
      <c r="B1337" s="46">
        <f>IF(A1337="","",YEAR(A1337)&amp;" Q"&amp;ROUNDUP(MONTH(A1337)/3,0))</f>
        <v/>
      </c>
      <c r="C1337" s="47" t="n"/>
      <c r="D1337" s="47" t="n"/>
      <c r="E1337" s="47" t="n"/>
      <c r="F1337" s="47" t="n"/>
      <c r="G1337" s="48" t="n"/>
      <c r="H1337" s="49" t="n"/>
      <c r="I1337" s="50">
        <f>IF(G1337="","",ROUND(G1337*H1337,2))</f>
        <v/>
      </c>
      <c r="J1337" s="50">
        <f>IF(G1337="","",G1337+N(I1337))</f>
        <v/>
      </c>
      <c r="K1337" s="45" t="n"/>
      <c r="L1337" s="47" t="n"/>
      <c r="M1337" s="48" t="n"/>
      <c r="N1337" s="49" t="n"/>
      <c r="O1337" s="50">
        <f>IF(M1337="","",ROUND(M1337*N1337,2))</f>
        <v/>
      </c>
      <c r="P1337" s="50">
        <f>IF(M1337="","",M1337+N(O1337))</f>
        <v/>
      </c>
      <c r="Q1337" s="45" t="n"/>
      <c r="R1337" s="45" t="n"/>
      <c r="S1337" s="51">
        <f>IF(L1337="","",IF(COUNTIF(L$6:L1337,L1337)&gt;1,"",SUMIF(L$6:L$2000,L1337,M$6:M$2000)-SUMIF(L$6:L$2000,L1337,G$6:G$2000)))</f>
        <v/>
      </c>
      <c r="T1337" s="46">
        <f>IF(AND(C1337="",G1337=""),"",IF(L1337="","Nog factureren",IF(AND(G1337&lt;&gt;"",OR(K1337="",K1337&gt;TODAY())),"Nog betalen",IF(OR(R1337="",R1337&gt;TODAY()),"Wacht op klant","Afgerond"))))</f>
        <v/>
      </c>
    </row>
    <row r="1338">
      <c r="A1338" s="45" t="n"/>
      <c r="B1338" s="46">
        <f>IF(A1338="","",YEAR(A1338)&amp;" Q"&amp;ROUNDUP(MONTH(A1338)/3,0))</f>
        <v/>
      </c>
      <c r="C1338" s="47" t="n"/>
      <c r="D1338" s="47" t="n"/>
      <c r="E1338" s="47" t="n"/>
      <c r="F1338" s="47" t="n"/>
      <c r="G1338" s="48" t="n"/>
      <c r="H1338" s="49" t="n"/>
      <c r="I1338" s="50">
        <f>IF(G1338="","",ROUND(G1338*H1338,2))</f>
        <v/>
      </c>
      <c r="J1338" s="50">
        <f>IF(G1338="","",G1338+N(I1338))</f>
        <v/>
      </c>
      <c r="K1338" s="45" t="n"/>
      <c r="L1338" s="47" t="n"/>
      <c r="M1338" s="48" t="n"/>
      <c r="N1338" s="49" t="n"/>
      <c r="O1338" s="50">
        <f>IF(M1338="","",ROUND(M1338*N1338,2))</f>
        <v/>
      </c>
      <c r="P1338" s="50">
        <f>IF(M1338="","",M1338+N(O1338))</f>
        <v/>
      </c>
      <c r="Q1338" s="45" t="n"/>
      <c r="R1338" s="45" t="n"/>
      <c r="S1338" s="51">
        <f>IF(L1338="","",IF(COUNTIF(L$6:L1338,L1338)&gt;1,"",SUMIF(L$6:L$2000,L1338,M$6:M$2000)-SUMIF(L$6:L$2000,L1338,G$6:G$2000)))</f>
        <v/>
      </c>
      <c r="T1338" s="46">
        <f>IF(AND(C1338="",G1338=""),"",IF(L1338="","Nog factureren",IF(AND(G1338&lt;&gt;"",OR(K1338="",K1338&gt;TODAY())),"Nog betalen",IF(OR(R1338="",R1338&gt;TODAY()),"Wacht op klant","Afgerond"))))</f>
        <v/>
      </c>
    </row>
    <row r="1339">
      <c r="A1339" s="45" t="n"/>
      <c r="B1339" s="46">
        <f>IF(A1339="","",YEAR(A1339)&amp;" Q"&amp;ROUNDUP(MONTH(A1339)/3,0))</f>
        <v/>
      </c>
      <c r="C1339" s="47" t="n"/>
      <c r="D1339" s="47" t="n"/>
      <c r="E1339" s="47" t="n"/>
      <c r="F1339" s="47" t="n"/>
      <c r="G1339" s="48" t="n"/>
      <c r="H1339" s="49" t="n"/>
      <c r="I1339" s="50">
        <f>IF(G1339="","",ROUND(G1339*H1339,2))</f>
        <v/>
      </c>
      <c r="J1339" s="50">
        <f>IF(G1339="","",G1339+N(I1339))</f>
        <v/>
      </c>
      <c r="K1339" s="45" t="n"/>
      <c r="L1339" s="47" t="n"/>
      <c r="M1339" s="48" t="n"/>
      <c r="N1339" s="49" t="n"/>
      <c r="O1339" s="50">
        <f>IF(M1339="","",ROUND(M1339*N1339,2))</f>
        <v/>
      </c>
      <c r="P1339" s="50">
        <f>IF(M1339="","",M1339+N(O1339))</f>
        <v/>
      </c>
      <c r="Q1339" s="45" t="n"/>
      <c r="R1339" s="45" t="n"/>
      <c r="S1339" s="51">
        <f>IF(L1339="","",IF(COUNTIF(L$6:L1339,L1339)&gt;1,"",SUMIF(L$6:L$2000,L1339,M$6:M$2000)-SUMIF(L$6:L$2000,L1339,G$6:G$2000)))</f>
        <v/>
      </c>
      <c r="T1339" s="46">
        <f>IF(AND(C1339="",G1339=""),"",IF(L1339="","Nog factureren",IF(AND(G1339&lt;&gt;"",OR(K1339="",K1339&gt;TODAY())),"Nog betalen",IF(OR(R1339="",R1339&gt;TODAY()),"Wacht op klant","Afgerond"))))</f>
        <v/>
      </c>
    </row>
    <row r="1340">
      <c r="A1340" s="45" t="n"/>
      <c r="B1340" s="46">
        <f>IF(A1340="","",YEAR(A1340)&amp;" Q"&amp;ROUNDUP(MONTH(A1340)/3,0))</f>
        <v/>
      </c>
      <c r="C1340" s="47" t="n"/>
      <c r="D1340" s="47" t="n"/>
      <c r="E1340" s="47" t="n"/>
      <c r="F1340" s="47" t="n"/>
      <c r="G1340" s="48" t="n"/>
      <c r="H1340" s="49" t="n"/>
      <c r="I1340" s="50">
        <f>IF(G1340="","",ROUND(G1340*H1340,2))</f>
        <v/>
      </c>
      <c r="J1340" s="50">
        <f>IF(G1340="","",G1340+N(I1340))</f>
        <v/>
      </c>
      <c r="K1340" s="45" t="n"/>
      <c r="L1340" s="47" t="n"/>
      <c r="M1340" s="48" t="n"/>
      <c r="N1340" s="49" t="n"/>
      <c r="O1340" s="50">
        <f>IF(M1340="","",ROUND(M1340*N1340,2))</f>
        <v/>
      </c>
      <c r="P1340" s="50">
        <f>IF(M1340="","",M1340+N(O1340))</f>
        <v/>
      </c>
      <c r="Q1340" s="45" t="n"/>
      <c r="R1340" s="45" t="n"/>
      <c r="S1340" s="51">
        <f>IF(L1340="","",IF(COUNTIF(L$6:L1340,L1340)&gt;1,"",SUMIF(L$6:L$2000,L1340,M$6:M$2000)-SUMIF(L$6:L$2000,L1340,G$6:G$2000)))</f>
        <v/>
      </c>
      <c r="T1340" s="46">
        <f>IF(AND(C1340="",G1340=""),"",IF(L1340="","Nog factureren",IF(AND(G1340&lt;&gt;"",OR(K1340="",K1340&gt;TODAY())),"Nog betalen",IF(OR(R1340="",R1340&gt;TODAY()),"Wacht op klant","Afgerond"))))</f>
        <v/>
      </c>
    </row>
    <row r="1341">
      <c r="A1341" s="45" t="n"/>
      <c r="B1341" s="46">
        <f>IF(A1341="","",YEAR(A1341)&amp;" Q"&amp;ROUNDUP(MONTH(A1341)/3,0))</f>
        <v/>
      </c>
      <c r="C1341" s="47" t="n"/>
      <c r="D1341" s="47" t="n"/>
      <c r="E1341" s="47" t="n"/>
      <c r="F1341" s="47" t="n"/>
      <c r="G1341" s="48" t="n"/>
      <c r="H1341" s="49" t="n"/>
      <c r="I1341" s="50">
        <f>IF(G1341="","",ROUND(G1341*H1341,2))</f>
        <v/>
      </c>
      <c r="J1341" s="50">
        <f>IF(G1341="","",G1341+N(I1341))</f>
        <v/>
      </c>
      <c r="K1341" s="45" t="n"/>
      <c r="L1341" s="47" t="n"/>
      <c r="M1341" s="48" t="n"/>
      <c r="N1341" s="49" t="n"/>
      <c r="O1341" s="50">
        <f>IF(M1341="","",ROUND(M1341*N1341,2))</f>
        <v/>
      </c>
      <c r="P1341" s="50">
        <f>IF(M1341="","",M1341+N(O1341))</f>
        <v/>
      </c>
      <c r="Q1341" s="45" t="n"/>
      <c r="R1341" s="45" t="n"/>
      <c r="S1341" s="51">
        <f>IF(L1341="","",IF(COUNTIF(L$6:L1341,L1341)&gt;1,"",SUMIF(L$6:L$2000,L1341,M$6:M$2000)-SUMIF(L$6:L$2000,L1341,G$6:G$2000)))</f>
        <v/>
      </c>
      <c r="T1341" s="46">
        <f>IF(AND(C1341="",G1341=""),"",IF(L1341="","Nog factureren",IF(AND(G1341&lt;&gt;"",OR(K1341="",K1341&gt;TODAY())),"Nog betalen",IF(OR(R1341="",R1341&gt;TODAY()),"Wacht op klant","Afgerond"))))</f>
        <v/>
      </c>
    </row>
    <row r="1342">
      <c r="A1342" s="45" t="n"/>
      <c r="B1342" s="46">
        <f>IF(A1342="","",YEAR(A1342)&amp;" Q"&amp;ROUNDUP(MONTH(A1342)/3,0))</f>
        <v/>
      </c>
      <c r="C1342" s="47" t="n"/>
      <c r="D1342" s="47" t="n"/>
      <c r="E1342" s="47" t="n"/>
      <c r="F1342" s="47" t="n"/>
      <c r="G1342" s="48" t="n"/>
      <c r="H1342" s="49" t="n"/>
      <c r="I1342" s="50">
        <f>IF(G1342="","",ROUND(G1342*H1342,2))</f>
        <v/>
      </c>
      <c r="J1342" s="50">
        <f>IF(G1342="","",G1342+N(I1342))</f>
        <v/>
      </c>
      <c r="K1342" s="45" t="n"/>
      <c r="L1342" s="47" t="n"/>
      <c r="M1342" s="48" t="n"/>
      <c r="N1342" s="49" t="n"/>
      <c r="O1342" s="50">
        <f>IF(M1342="","",ROUND(M1342*N1342,2))</f>
        <v/>
      </c>
      <c r="P1342" s="50">
        <f>IF(M1342="","",M1342+N(O1342))</f>
        <v/>
      </c>
      <c r="Q1342" s="45" t="n"/>
      <c r="R1342" s="45" t="n"/>
      <c r="S1342" s="51">
        <f>IF(L1342="","",IF(COUNTIF(L$6:L1342,L1342)&gt;1,"",SUMIF(L$6:L$2000,L1342,M$6:M$2000)-SUMIF(L$6:L$2000,L1342,G$6:G$2000)))</f>
        <v/>
      </c>
      <c r="T1342" s="46">
        <f>IF(AND(C1342="",G1342=""),"",IF(L1342="","Nog factureren",IF(AND(G1342&lt;&gt;"",OR(K1342="",K1342&gt;TODAY())),"Nog betalen",IF(OR(R1342="",R1342&gt;TODAY()),"Wacht op klant","Afgerond"))))</f>
        <v/>
      </c>
    </row>
    <row r="1343">
      <c r="A1343" s="45" t="n"/>
      <c r="B1343" s="46">
        <f>IF(A1343="","",YEAR(A1343)&amp;" Q"&amp;ROUNDUP(MONTH(A1343)/3,0))</f>
        <v/>
      </c>
      <c r="C1343" s="47" t="n"/>
      <c r="D1343" s="47" t="n"/>
      <c r="E1343" s="47" t="n"/>
      <c r="F1343" s="47" t="n"/>
      <c r="G1343" s="48" t="n"/>
      <c r="H1343" s="49" t="n"/>
      <c r="I1343" s="50">
        <f>IF(G1343="","",ROUND(G1343*H1343,2))</f>
        <v/>
      </c>
      <c r="J1343" s="50">
        <f>IF(G1343="","",G1343+N(I1343))</f>
        <v/>
      </c>
      <c r="K1343" s="45" t="n"/>
      <c r="L1343" s="47" t="n"/>
      <c r="M1343" s="48" t="n"/>
      <c r="N1343" s="49" t="n"/>
      <c r="O1343" s="50">
        <f>IF(M1343="","",ROUND(M1343*N1343,2))</f>
        <v/>
      </c>
      <c r="P1343" s="50">
        <f>IF(M1343="","",M1343+N(O1343))</f>
        <v/>
      </c>
      <c r="Q1343" s="45" t="n"/>
      <c r="R1343" s="45" t="n"/>
      <c r="S1343" s="51">
        <f>IF(L1343="","",IF(COUNTIF(L$6:L1343,L1343)&gt;1,"",SUMIF(L$6:L$2000,L1343,M$6:M$2000)-SUMIF(L$6:L$2000,L1343,G$6:G$2000)))</f>
        <v/>
      </c>
      <c r="T1343" s="46">
        <f>IF(AND(C1343="",G1343=""),"",IF(L1343="","Nog factureren",IF(AND(G1343&lt;&gt;"",OR(K1343="",K1343&gt;TODAY())),"Nog betalen",IF(OR(R1343="",R1343&gt;TODAY()),"Wacht op klant","Afgerond"))))</f>
        <v/>
      </c>
    </row>
    <row r="1344">
      <c r="A1344" s="45" t="n"/>
      <c r="B1344" s="46">
        <f>IF(A1344="","",YEAR(A1344)&amp;" Q"&amp;ROUNDUP(MONTH(A1344)/3,0))</f>
        <v/>
      </c>
      <c r="C1344" s="47" t="n"/>
      <c r="D1344" s="47" t="n"/>
      <c r="E1344" s="47" t="n"/>
      <c r="F1344" s="47" t="n"/>
      <c r="G1344" s="48" t="n"/>
      <c r="H1344" s="49" t="n"/>
      <c r="I1344" s="50">
        <f>IF(G1344="","",ROUND(G1344*H1344,2))</f>
        <v/>
      </c>
      <c r="J1344" s="50">
        <f>IF(G1344="","",G1344+N(I1344))</f>
        <v/>
      </c>
      <c r="K1344" s="45" t="n"/>
      <c r="L1344" s="47" t="n"/>
      <c r="M1344" s="48" t="n"/>
      <c r="N1344" s="49" t="n"/>
      <c r="O1344" s="50">
        <f>IF(M1344="","",ROUND(M1344*N1344,2))</f>
        <v/>
      </c>
      <c r="P1344" s="50">
        <f>IF(M1344="","",M1344+N(O1344))</f>
        <v/>
      </c>
      <c r="Q1344" s="45" t="n"/>
      <c r="R1344" s="45" t="n"/>
      <c r="S1344" s="51">
        <f>IF(L1344="","",IF(COUNTIF(L$6:L1344,L1344)&gt;1,"",SUMIF(L$6:L$2000,L1344,M$6:M$2000)-SUMIF(L$6:L$2000,L1344,G$6:G$2000)))</f>
        <v/>
      </c>
      <c r="T1344" s="46">
        <f>IF(AND(C1344="",G1344=""),"",IF(L1344="","Nog factureren",IF(AND(G1344&lt;&gt;"",OR(K1344="",K1344&gt;TODAY())),"Nog betalen",IF(OR(R1344="",R1344&gt;TODAY()),"Wacht op klant","Afgerond"))))</f>
        <v/>
      </c>
    </row>
    <row r="1345">
      <c r="A1345" s="45" t="n"/>
      <c r="B1345" s="46">
        <f>IF(A1345="","",YEAR(A1345)&amp;" Q"&amp;ROUNDUP(MONTH(A1345)/3,0))</f>
        <v/>
      </c>
      <c r="C1345" s="47" t="n"/>
      <c r="D1345" s="47" t="n"/>
      <c r="E1345" s="47" t="n"/>
      <c r="F1345" s="47" t="n"/>
      <c r="G1345" s="48" t="n"/>
      <c r="H1345" s="49" t="n"/>
      <c r="I1345" s="50">
        <f>IF(G1345="","",ROUND(G1345*H1345,2))</f>
        <v/>
      </c>
      <c r="J1345" s="50">
        <f>IF(G1345="","",G1345+N(I1345))</f>
        <v/>
      </c>
      <c r="K1345" s="45" t="n"/>
      <c r="L1345" s="47" t="n"/>
      <c r="M1345" s="48" t="n"/>
      <c r="N1345" s="49" t="n"/>
      <c r="O1345" s="50">
        <f>IF(M1345="","",ROUND(M1345*N1345,2))</f>
        <v/>
      </c>
      <c r="P1345" s="50">
        <f>IF(M1345="","",M1345+N(O1345))</f>
        <v/>
      </c>
      <c r="Q1345" s="45" t="n"/>
      <c r="R1345" s="45" t="n"/>
      <c r="S1345" s="51">
        <f>IF(L1345="","",IF(COUNTIF(L$6:L1345,L1345)&gt;1,"",SUMIF(L$6:L$2000,L1345,M$6:M$2000)-SUMIF(L$6:L$2000,L1345,G$6:G$2000)))</f>
        <v/>
      </c>
      <c r="T1345" s="46">
        <f>IF(AND(C1345="",G1345=""),"",IF(L1345="","Nog factureren",IF(AND(G1345&lt;&gt;"",OR(K1345="",K1345&gt;TODAY())),"Nog betalen",IF(OR(R1345="",R1345&gt;TODAY()),"Wacht op klant","Afgerond"))))</f>
        <v/>
      </c>
    </row>
    <row r="1346">
      <c r="A1346" s="45" t="n"/>
      <c r="B1346" s="46">
        <f>IF(A1346="","",YEAR(A1346)&amp;" Q"&amp;ROUNDUP(MONTH(A1346)/3,0))</f>
        <v/>
      </c>
      <c r="C1346" s="47" t="n"/>
      <c r="D1346" s="47" t="n"/>
      <c r="E1346" s="47" t="n"/>
      <c r="F1346" s="47" t="n"/>
      <c r="G1346" s="48" t="n"/>
      <c r="H1346" s="49" t="n"/>
      <c r="I1346" s="50">
        <f>IF(G1346="","",ROUND(G1346*H1346,2))</f>
        <v/>
      </c>
      <c r="J1346" s="50">
        <f>IF(G1346="","",G1346+N(I1346))</f>
        <v/>
      </c>
      <c r="K1346" s="45" t="n"/>
      <c r="L1346" s="47" t="n"/>
      <c r="M1346" s="48" t="n"/>
      <c r="N1346" s="49" t="n"/>
      <c r="O1346" s="50">
        <f>IF(M1346="","",ROUND(M1346*N1346,2))</f>
        <v/>
      </c>
      <c r="P1346" s="50">
        <f>IF(M1346="","",M1346+N(O1346))</f>
        <v/>
      </c>
      <c r="Q1346" s="45" t="n"/>
      <c r="R1346" s="45" t="n"/>
      <c r="S1346" s="51">
        <f>IF(L1346="","",IF(COUNTIF(L$6:L1346,L1346)&gt;1,"",SUMIF(L$6:L$2000,L1346,M$6:M$2000)-SUMIF(L$6:L$2000,L1346,G$6:G$2000)))</f>
        <v/>
      </c>
      <c r="T1346" s="46">
        <f>IF(AND(C1346="",G1346=""),"",IF(L1346="","Nog factureren",IF(AND(G1346&lt;&gt;"",OR(K1346="",K1346&gt;TODAY())),"Nog betalen",IF(OR(R1346="",R1346&gt;TODAY()),"Wacht op klant","Afgerond"))))</f>
        <v/>
      </c>
    </row>
    <row r="1347">
      <c r="A1347" s="45" t="n"/>
      <c r="B1347" s="46">
        <f>IF(A1347="","",YEAR(A1347)&amp;" Q"&amp;ROUNDUP(MONTH(A1347)/3,0))</f>
        <v/>
      </c>
      <c r="C1347" s="47" t="n"/>
      <c r="D1347" s="47" t="n"/>
      <c r="E1347" s="47" t="n"/>
      <c r="F1347" s="47" t="n"/>
      <c r="G1347" s="48" t="n"/>
      <c r="H1347" s="49" t="n"/>
      <c r="I1347" s="50">
        <f>IF(G1347="","",ROUND(G1347*H1347,2))</f>
        <v/>
      </c>
      <c r="J1347" s="50">
        <f>IF(G1347="","",G1347+N(I1347))</f>
        <v/>
      </c>
      <c r="K1347" s="45" t="n"/>
      <c r="L1347" s="47" t="n"/>
      <c r="M1347" s="48" t="n"/>
      <c r="N1347" s="49" t="n"/>
      <c r="O1347" s="50">
        <f>IF(M1347="","",ROUND(M1347*N1347,2))</f>
        <v/>
      </c>
      <c r="P1347" s="50">
        <f>IF(M1347="","",M1347+N(O1347))</f>
        <v/>
      </c>
      <c r="Q1347" s="45" t="n"/>
      <c r="R1347" s="45" t="n"/>
      <c r="S1347" s="51">
        <f>IF(L1347="","",IF(COUNTIF(L$6:L1347,L1347)&gt;1,"",SUMIF(L$6:L$2000,L1347,M$6:M$2000)-SUMIF(L$6:L$2000,L1347,G$6:G$2000)))</f>
        <v/>
      </c>
      <c r="T1347" s="46">
        <f>IF(AND(C1347="",G1347=""),"",IF(L1347="","Nog factureren",IF(AND(G1347&lt;&gt;"",OR(K1347="",K1347&gt;TODAY())),"Nog betalen",IF(OR(R1347="",R1347&gt;TODAY()),"Wacht op klant","Afgerond"))))</f>
        <v/>
      </c>
    </row>
    <row r="1348">
      <c r="A1348" s="45" t="n"/>
      <c r="B1348" s="46">
        <f>IF(A1348="","",YEAR(A1348)&amp;" Q"&amp;ROUNDUP(MONTH(A1348)/3,0))</f>
        <v/>
      </c>
      <c r="C1348" s="47" t="n"/>
      <c r="D1348" s="47" t="n"/>
      <c r="E1348" s="47" t="n"/>
      <c r="F1348" s="47" t="n"/>
      <c r="G1348" s="48" t="n"/>
      <c r="H1348" s="49" t="n"/>
      <c r="I1348" s="50">
        <f>IF(G1348="","",ROUND(G1348*H1348,2))</f>
        <v/>
      </c>
      <c r="J1348" s="50">
        <f>IF(G1348="","",G1348+N(I1348))</f>
        <v/>
      </c>
      <c r="K1348" s="45" t="n"/>
      <c r="L1348" s="47" t="n"/>
      <c r="M1348" s="48" t="n"/>
      <c r="N1348" s="49" t="n"/>
      <c r="O1348" s="50">
        <f>IF(M1348="","",ROUND(M1348*N1348,2))</f>
        <v/>
      </c>
      <c r="P1348" s="50">
        <f>IF(M1348="","",M1348+N(O1348))</f>
        <v/>
      </c>
      <c r="Q1348" s="45" t="n"/>
      <c r="R1348" s="45" t="n"/>
      <c r="S1348" s="51">
        <f>IF(L1348="","",IF(COUNTIF(L$6:L1348,L1348)&gt;1,"",SUMIF(L$6:L$2000,L1348,M$6:M$2000)-SUMIF(L$6:L$2000,L1348,G$6:G$2000)))</f>
        <v/>
      </c>
      <c r="T1348" s="46">
        <f>IF(AND(C1348="",G1348=""),"",IF(L1348="","Nog factureren",IF(AND(G1348&lt;&gt;"",OR(K1348="",K1348&gt;TODAY())),"Nog betalen",IF(OR(R1348="",R1348&gt;TODAY()),"Wacht op klant","Afgerond"))))</f>
        <v/>
      </c>
    </row>
    <row r="1349">
      <c r="A1349" s="45" t="n"/>
      <c r="B1349" s="46">
        <f>IF(A1349="","",YEAR(A1349)&amp;" Q"&amp;ROUNDUP(MONTH(A1349)/3,0))</f>
        <v/>
      </c>
      <c r="C1349" s="47" t="n"/>
      <c r="D1349" s="47" t="n"/>
      <c r="E1349" s="47" t="n"/>
      <c r="F1349" s="47" t="n"/>
      <c r="G1349" s="48" t="n"/>
      <c r="H1349" s="49" t="n"/>
      <c r="I1349" s="50">
        <f>IF(G1349="","",ROUND(G1349*H1349,2))</f>
        <v/>
      </c>
      <c r="J1349" s="50">
        <f>IF(G1349="","",G1349+N(I1349))</f>
        <v/>
      </c>
      <c r="K1349" s="45" t="n"/>
      <c r="L1349" s="47" t="n"/>
      <c r="M1349" s="48" t="n"/>
      <c r="N1349" s="49" t="n"/>
      <c r="O1349" s="50">
        <f>IF(M1349="","",ROUND(M1349*N1349,2))</f>
        <v/>
      </c>
      <c r="P1349" s="50">
        <f>IF(M1349="","",M1349+N(O1349))</f>
        <v/>
      </c>
      <c r="Q1349" s="45" t="n"/>
      <c r="R1349" s="45" t="n"/>
      <c r="S1349" s="51">
        <f>IF(L1349="","",IF(COUNTIF(L$6:L1349,L1349)&gt;1,"",SUMIF(L$6:L$2000,L1349,M$6:M$2000)-SUMIF(L$6:L$2000,L1349,G$6:G$2000)))</f>
        <v/>
      </c>
      <c r="T1349" s="46">
        <f>IF(AND(C1349="",G1349=""),"",IF(L1349="","Nog factureren",IF(AND(G1349&lt;&gt;"",OR(K1349="",K1349&gt;TODAY())),"Nog betalen",IF(OR(R1349="",R1349&gt;TODAY()),"Wacht op klant","Afgerond"))))</f>
        <v/>
      </c>
    </row>
    <row r="1350">
      <c r="A1350" s="45" t="n"/>
      <c r="B1350" s="46">
        <f>IF(A1350="","",YEAR(A1350)&amp;" Q"&amp;ROUNDUP(MONTH(A1350)/3,0))</f>
        <v/>
      </c>
      <c r="C1350" s="47" t="n"/>
      <c r="D1350" s="47" t="n"/>
      <c r="E1350" s="47" t="n"/>
      <c r="F1350" s="47" t="n"/>
      <c r="G1350" s="48" t="n"/>
      <c r="H1350" s="49" t="n"/>
      <c r="I1350" s="50">
        <f>IF(G1350="","",ROUND(G1350*H1350,2))</f>
        <v/>
      </c>
      <c r="J1350" s="50">
        <f>IF(G1350="","",G1350+N(I1350))</f>
        <v/>
      </c>
      <c r="K1350" s="45" t="n"/>
      <c r="L1350" s="47" t="n"/>
      <c r="M1350" s="48" t="n"/>
      <c r="N1350" s="49" t="n"/>
      <c r="O1350" s="50">
        <f>IF(M1350="","",ROUND(M1350*N1350,2))</f>
        <v/>
      </c>
      <c r="P1350" s="50">
        <f>IF(M1350="","",M1350+N(O1350))</f>
        <v/>
      </c>
      <c r="Q1350" s="45" t="n"/>
      <c r="R1350" s="45" t="n"/>
      <c r="S1350" s="51">
        <f>IF(L1350="","",IF(COUNTIF(L$6:L1350,L1350)&gt;1,"",SUMIF(L$6:L$2000,L1350,M$6:M$2000)-SUMIF(L$6:L$2000,L1350,G$6:G$2000)))</f>
        <v/>
      </c>
      <c r="T1350" s="46">
        <f>IF(AND(C1350="",G1350=""),"",IF(L1350="","Nog factureren",IF(AND(G1350&lt;&gt;"",OR(K1350="",K1350&gt;TODAY())),"Nog betalen",IF(OR(R1350="",R1350&gt;TODAY()),"Wacht op klant","Afgerond"))))</f>
        <v/>
      </c>
    </row>
    <row r="1351">
      <c r="A1351" s="45" t="n"/>
      <c r="B1351" s="46">
        <f>IF(A1351="","",YEAR(A1351)&amp;" Q"&amp;ROUNDUP(MONTH(A1351)/3,0))</f>
        <v/>
      </c>
      <c r="C1351" s="47" t="n"/>
      <c r="D1351" s="47" t="n"/>
      <c r="E1351" s="47" t="n"/>
      <c r="F1351" s="47" t="n"/>
      <c r="G1351" s="48" t="n"/>
      <c r="H1351" s="49" t="n"/>
      <c r="I1351" s="50">
        <f>IF(G1351="","",ROUND(G1351*H1351,2))</f>
        <v/>
      </c>
      <c r="J1351" s="50">
        <f>IF(G1351="","",G1351+N(I1351))</f>
        <v/>
      </c>
      <c r="K1351" s="45" t="n"/>
      <c r="L1351" s="47" t="n"/>
      <c r="M1351" s="48" t="n"/>
      <c r="N1351" s="49" t="n"/>
      <c r="O1351" s="50">
        <f>IF(M1351="","",ROUND(M1351*N1351,2))</f>
        <v/>
      </c>
      <c r="P1351" s="50">
        <f>IF(M1351="","",M1351+N(O1351))</f>
        <v/>
      </c>
      <c r="Q1351" s="45" t="n"/>
      <c r="R1351" s="45" t="n"/>
      <c r="S1351" s="51">
        <f>IF(L1351="","",IF(COUNTIF(L$6:L1351,L1351)&gt;1,"",SUMIF(L$6:L$2000,L1351,M$6:M$2000)-SUMIF(L$6:L$2000,L1351,G$6:G$2000)))</f>
        <v/>
      </c>
      <c r="T1351" s="46">
        <f>IF(AND(C1351="",G1351=""),"",IF(L1351="","Nog factureren",IF(AND(G1351&lt;&gt;"",OR(K1351="",K1351&gt;TODAY())),"Nog betalen",IF(OR(R1351="",R1351&gt;TODAY()),"Wacht op klant","Afgerond"))))</f>
        <v/>
      </c>
    </row>
    <row r="1352">
      <c r="A1352" s="45" t="n"/>
      <c r="B1352" s="46">
        <f>IF(A1352="","",YEAR(A1352)&amp;" Q"&amp;ROUNDUP(MONTH(A1352)/3,0))</f>
        <v/>
      </c>
      <c r="C1352" s="47" t="n"/>
      <c r="D1352" s="47" t="n"/>
      <c r="E1352" s="47" t="n"/>
      <c r="F1352" s="47" t="n"/>
      <c r="G1352" s="48" t="n"/>
      <c r="H1352" s="49" t="n"/>
      <c r="I1352" s="50">
        <f>IF(G1352="","",ROUND(G1352*H1352,2))</f>
        <v/>
      </c>
      <c r="J1352" s="50">
        <f>IF(G1352="","",G1352+N(I1352))</f>
        <v/>
      </c>
      <c r="K1352" s="45" t="n"/>
      <c r="L1352" s="47" t="n"/>
      <c r="M1352" s="48" t="n"/>
      <c r="N1352" s="49" t="n"/>
      <c r="O1352" s="50">
        <f>IF(M1352="","",ROUND(M1352*N1352,2))</f>
        <v/>
      </c>
      <c r="P1352" s="50">
        <f>IF(M1352="","",M1352+N(O1352))</f>
        <v/>
      </c>
      <c r="Q1352" s="45" t="n"/>
      <c r="R1352" s="45" t="n"/>
      <c r="S1352" s="51">
        <f>IF(L1352="","",IF(COUNTIF(L$6:L1352,L1352)&gt;1,"",SUMIF(L$6:L$2000,L1352,M$6:M$2000)-SUMIF(L$6:L$2000,L1352,G$6:G$2000)))</f>
        <v/>
      </c>
      <c r="T1352" s="46">
        <f>IF(AND(C1352="",G1352=""),"",IF(L1352="","Nog factureren",IF(AND(G1352&lt;&gt;"",OR(K1352="",K1352&gt;TODAY())),"Nog betalen",IF(OR(R1352="",R1352&gt;TODAY()),"Wacht op klant","Afgerond"))))</f>
        <v/>
      </c>
    </row>
    <row r="1353">
      <c r="A1353" s="45" t="n"/>
      <c r="B1353" s="46">
        <f>IF(A1353="","",YEAR(A1353)&amp;" Q"&amp;ROUNDUP(MONTH(A1353)/3,0))</f>
        <v/>
      </c>
      <c r="C1353" s="47" t="n"/>
      <c r="D1353" s="47" t="n"/>
      <c r="E1353" s="47" t="n"/>
      <c r="F1353" s="47" t="n"/>
      <c r="G1353" s="48" t="n"/>
      <c r="H1353" s="49" t="n"/>
      <c r="I1353" s="50">
        <f>IF(G1353="","",ROUND(G1353*H1353,2))</f>
        <v/>
      </c>
      <c r="J1353" s="50">
        <f>IF(G1353="","",G1353+N(I1353))</f>
        <v/>
      </c>
      <c r="K1353" s="45" t="n"/>
      <c r="L1353" s="47" t="n"/>
      <c r="M1353" s="48" t="n"/>
      <c r="N1353" s="49" t="n"/>
      <c r="O1353" s="50">
        <f>IF(M1353="","",ROUND(M1353*N1353,2))</f>
        <v/>
      </c>
      <c r="P1353" s="50">
        <f>IF(M1353="","",M1353+N(O1353))</f>
        <v/>
      </c>
      <c r="Q1353" s="45" t="n"/>
      <c r="R1353" s="45" t="n"/>
      <c r="S1353" s="51">
        <f>IF(L1353="","",IF(COUNTIF(L$6:L1353,L1353)&gt;1,"",SUMIF(L$6:L$2000,L1353,M$6:M$2000)-SUMIF(L$6:L$2000,L1353,G$6:G$2000)))</f>
        <v/>
      </c>
      <c r="T1353" s="46">
        <f>IF(AND(C1353="",G1353=""),"",IF(L1353="","Nog factureren",IF(AND(G1353&lt;&gt;"",OR(K1353="",K1353&gt;TODAY())),"Nog betalen",IF(OR(R1353="",R1353&gt;TODAY()),"Wacht op klant","Afgerond"))))</f>
        <v/>
      </c>
    </row>
    <row r="1354">
      <c r="A1354" s="45" t="n"/>
      <c r="B1354" s="46">
        <f>IF(A1354="","",YEAR(A1354)&amp;" Q"&amp;ROUNDUP(MONTH(A1354)/3,0))</f>
        <v/>
      </c>
      <c r="C1354" s="47" t="n"/>
      <c r="D1354" s="47" t="n"/>
      <c r="E1354" s="47" t="n"/>
      <c r="F1354" s="47" t="n"/>
      <c r="G1354" s="48" t="n"/>
      <c r="H1354" s="49" t="n"/>
      <c r="I1354" s="50">
        <f>IF(G1354="","",ROUND(G1354*H1354,2))</f>
        <v/>
      </c>
      <c r="J1354" s="50">
        <f>IF(G1354="","",G1354+N(I1354))</f>
        <v/>
      </c>
      <c r="K1354" s="45" t="n"/>
      <c r="L1354" s="47" t="n"/>
      <c r="M1354" s="48" t="n"/>
      <c r="N1354" s="49" t="n"/>
      <c r="O1354" s="50">
        <f>IF(M1354="","",ROUND(M1354*N1354,2))</f>
        <v/>
      </c>
      <c r="P1354" s="50">
        <f>IF(M1354="","",M1354+N(O1354))</f>
        <v/>
      </c>
      <c r="Q1354" s="45" t="n"/>
      <c r="R1354" s="45" t="n"/>
      <c r="S1354" s="51">
        <f>IF(L1354="","",IF(COUNTIF(L$6:L1354,L1354)&gt;1,"",SUMIF(L$6:L$2000,L1354,M$6:M$2000)-SUMIF(L$6:L$2000,L1354,G$6:G$2000)))</f>
        <v/>
      </c>
      <c r="T1354" s="46">
        <f>IF(AND(C1354="",G1354=""),"",IF(L1354="","Nog factureren",IF(AND(G1354&lt;&gt;"",OR(K1354="",K1354&gt;TODAY())),"Nog betalen",IF(OR(R1354="",R1354&gt;TODAY()),"Wacht op klant","Afgerond"))))</f>
        <v/>
      </c>
    </row>
    <row r="1355">
      <c r="A1355" s="45" t="n"/>
      <c r="B1355" s="46">
        <f>IF(A1355="","",YEAR(A1355)&amp;" Q"&amp;ROUNDUP(MONTH(A1355)/3,0))</f>
        <v/>
      </c>
      <c r="C1355" s="47" t="n"/>
      <c r="D1355" s="47" t="n"/>
      <c r="E1355" s="47" t="n"/>
      <c r="F1355" s="47" t="n"/>
      <c r="G1355" s="48" t="n"/>
      <c r="H1355" s="49" t="n"/>
      <c r="I1355" s="50">
        <f>IF(G1355="","",ROUND(G1355*H1355,2))</f>
        <v/>
      </c>
      <c r="J1355" s="50">
        <f>IF(G1355="","",G1355+N(I1355))</f>
        <v/>
      </c>
      <c r="K1355" s="45" t="n"/>
      <c r="L1355" s="47" t="n"/>
      <c r="M1355" s="48" t="n"/>
      <c r="N1355" s="49" t="n"/>
      <c r="O1355" s="50">
        <f>IF(M1355="","",ROUND(M1355*N1355,2))</f>
        <v/>
      </c>
      <c r="P1355" s="50">
        <f>IF(M1355="","",M1355+N(O1355))</f>
        <v/>
      </c>
      <c r="Q1355" s="45" t="n"/>
      <c r="R1355" s="45" t="n"/>
      <c r="S1355" s="51">
        <f>IF(L1355="","",IF(COUNTIF(L$6:L1355,L1355)&gt;1,"",SUMIF(L$6:L$2000,L1355,M$6:M$2000)-SUMIF(L$6:L$2000,L1355,G$6:G$2000)))</f>
        <v/>
      </c>
      <c r="T1355" s="46">
        <f>IF(AND(C1355="",G1355=""),"",IF(L1355="","Nog factureren",IF(AND(G1355&lt;&gt;"",OR(K1355="",K1355&gt;TODAY())),"Nog betalen",IF(OR(R1355="",R1355&gt;TODAY()),"Wacht op klant","Afgerond"))))</f>
        <v/>
      </c>
    </row>
    <row r="1356">
      <c r="A1356" s="45" t="n"/>
      <c r="B1356" s="46">
        <f>IF(A1356="","",YEAR(A1356)&amp;" Q"&amp;ROUNDUP(MONTH(A1356)/3,0))</f>
        <v/>
      </c>
      <c r="C1356" s="47" t="n"/>
      <c r="D1356" s="47" t="n"/>
      <c r="E1356" s="47" t="n"/>
      <c r="F1356" s="47" t="n"/>
      <c r="G1356" s="48" t="n"/>
      <c r="H1356" s="49" t="n"/>
      <c r="I1356" s="50">
        <f>IF(G1356="","",ROUND(G1356*H1356,2))</f>
        <v/>
      </c>
      <c r="J1356" s="50">
        <f>IF(G1356="","",G1356+N(I1356))</f>
        <v/>
      </c>
      <c r="K1356" s="45" t="n"/>
      <c r="L1356" s="47" t="n"/>
      <c r="M1356" s="48" t="n"/>
      <c r="N1356" s="49" t="n"/>
      <c r="O1356" s="50">
        <f>IF(M1356="","",ROUND(M1356*N1356,2))</f>
        <v/>
      </c>
      <c r="P1356" s="50">
        <f>IF(M1356="","",M1356+N(O1356))</f>
        <v/>
      </c>
      <c r="Q1356" s="45" t="n"/>
      <c r="R1356" s="45" t="n"/>
      <c r="S1356" s="51">
        <f>IF(L1356="","",IF(COUNTIF(L$6:L1356,L1356)&gt;1,"",SUMIF(L$6:L$2000,L1356,M$6:M$2000)-SUMIF(L$6:L$2000,L1356,G$6:G$2000)))</f>
        <v/>
      </c>
      <c r="T1356" s="46">
        <f>IF(AND(C1356="",G1356=""),"",IF(L1356="","Nog factureren",IF(AND(G1356&lt;&gt;"",OR(K1356="",K1356&gt;TODAY())),"Nog betalen",IF(OR(R1356="",R1356&gt;TODAY()),"Wacht op klant","Afgerond"))))</f>
        <v/>
      </c>
    </row>
    <row r="1357">
      <c r="A1357" s="45" t="n"/>
      <c r="B1357" s="46">
        <f>IF(A1357="","",YEAR(A1357)&amp;" Q"&amp;ROUNDUP(MONTH(A1357)/3,0))</f>
        <v/>
      </c>
      <c r="C1357" s="47" t="n"/>
      <c r="D1357" s="47" t="n"/>
      <c r="E1357" s="47" t="n"/>
      <c r="F1357" s="47" t="n"/>
      <c r="G1357" s="48" t="n"/>
      <c r="H1357" s="49" t="n"/>
      <c r="I1357" s="50">
        <f>IF(G1357="","",ROUND(G1357*H1357,2))</f>
        <v/>
      </c>
      <c r="J1357" s="50">
        <f>IF(G1357="","",G1357+N(I1357))</f>
        <v/>
      </c>
      <c r="K1357" s="45" t="n"/>
      <c r="L1357" s="47" t="n"/>
      <c r="M1357" s="48" t="n"/>
      <c r="N1357" s="49" t="n"/>
      <c r="O1357" s="50">
        <f>IF(M1357="","",ROUND(M1357*N1357,2))</f>
        <v/>
      </c>
      <c r="P1357" s="50">
        <f>IF(M1357="","",M1357+N(O1357))</f>
        <v/>
      </c>
      <c r="Q1357" s="45" t="n"/>
      <c r="R1357" s="45" t="n"/>
      <c r="S1357" s="51">
        <f>IF(L1357="","",IF(COUNTIF(L$6:L1357,L1357)&gt;1,"",SUMIF(L$6:L$2000,L1357,M$6:M$2000)-SUMIF(L$6:L$2000,L1357,G$6:G$2000)))</f>
        <v/>
      </c>
      <c r="T1357" s="46">
        <f>IF(AND(C1357="",G1357=""),"",IF(L1357="","Nog factureren",IF(AND(G1357&lt;&gt;"",OR(K1357="",K1357&gt;TODAY())),"Nog betalen",IF(OR(R1357="",R1357&gt;TODAY()),"Wacht op klant","Afgerond"))))</f>
        <v/>
      </c>
    </row>
    <row r="1358">
      <c r="A1358" s="45" t="n"/>
      <c r="B1358" s="46">
        <f>IF(A1358="","",YEAR(A1358)&amp;" Q"&amp;ROUNDUP(MONTH(A1358)/3,0))</f>
        <v/>
      </c>
      <c r="C1358" s="47" t="n"/>
      <c r="D1358" s="47" t="n"/>
      <c r="E1358" s="47" t="n"/>
      <c r="F1358" s="47" t="n"/>
      <c r="G1358" s="48" t="n"/>
      <c r="H1358" s="49" t="n"/>
      <c r="I1358" s="50">
        <f>IF(G1358="","",ROUND(G1358*H1358,2))</f>
        <v/>
      </c>
      <c r="J1358" s="50">
        <f>IF(G1358="","",G1358+N(I1358))</f>
        <v/>
      </c>
      <c r="K1358" s="45" t="n"/>
      <c r="L1358" s="47" t="n"/>
      <c r="M1358" s="48" t="n"/>
      <c r="N1358" s="49" t="n"/>
      <c r="O1358" s="50">
        <f>IF(M1358="","",ROUND(M1358*N1358,2))</f>
        <v/>
      </c>
      <c r="P1358" s="50">
        <f>IF(M1358="","",M1358+N(O1358))</f>
        <v/>
      </c>
      <c r="Q1358" s="45" t="n"/>
      <c r="R1358" s="45" t="n"/>
      <c r="S1358" s="51">
        <f>IF(L1358="","",IF(COUNTIF(L$6:L1358,L1358)&gt;1,"",SUMIF(L$6:L$2000,L1358,M$6:M$2000)-SUMIF(L$6:L$2000,L1358,G$6:G$2000)))</f>
        <v/>
      </c>
      <c r="T1358" s="46">
        <f>IF(AND(C1358="",G1358=""),"",IF(L1358="","Nog factureren",IF(AND(G1358&lt;&gt;"",OR(K1358="",K1358&gt;TODAY())),"Nog betalen",IF(OR(R1358="",R1358&gt;TODAY()),"Wacht op klant","Afgerond"))))</f>
        <v/>
      </c>
    </row>
    <row r="1359">
      <c r="A1359" s="45" t="n"/>
      <c r="B1359" s="46">
        <f>IF(A1359="","",YEAR(A1359)&amp;" Q"&amp;ROUNDUP(MONTH(A1359)/3,0))</f>
        <v/>
      </c>
      <c r="C1359" s="47" t="n"/>
      <c r="D1359" s="47" t="n"/>
      <c r="E1359" s="47" t="n"/>
      <c r="F1359" s="47" t="n"/>
      <c r="G1359" s="48" t="n"/>
      <c r="H1359" s="49" t="n"/>
      <c r="I1359" s="50">
        <f>IF(G1359="","",ROUND(G1359*H1359,2))</f>
        <v/>
      </c>
      <c r="J1359" s="50">
        <f>IF(G1359="","",G1359+N(I1359))</f>
        <v/>
      </c>
      <c r="K1359" s="45" t="n"/>
      <c r="L1359" s="47" t="n"/>
      <c r="M1359" s="48" t="n"/>
      <c r="N1359" s="49" t="n"/>
      <c r="O1359" s="50">
        <f>IF(M1359="","",ROUND(M1359*N1359,2))</f>
        <v/>
      </c>
      <c r="P1359" s="50">
        <f>IF(M1359="","",M1359+N(O1359))</f>
        <v/>
      </c>
      <c r="Q1359" s="45" t="n"/>
      <c r="R1359" s="45" t="n"/>
      <c r="S1359" s="51">
        <f>IF(L1359="","",IF(COUNTIF(L$6:L1359,L1359)&gt;1,"",SUMIF(L$6:L$2000,L1359,M$6:M$2000)-SUMIF(L$6:L$2000,L1359,G$6:G$2000)))</f>
        <v/>
      </c>
      <c r="T1359" s="46">
        <f>IF(AND(C1359="",G1359=""),"",IF(L1359="","Nog factureren",IF(AND(G1359&lt;&gt;"",OR(K1359="",K1359&gt;TODAY())),"Nog betalen",IF(OR(R1359="",R1359&gt;TODAY()),"Wacht op klant","Afgerond"))))</f>
        <v/>
      </c>
    </row>
    <row r="1360">
      <c r="A1360" s="45" t="n"/>
      <c r="B1360" s="46">
        <f>IF(A1360="","",YEAR(A1360)&amp;" Q"&amp;ROUNDUP(MONTH(A1360)/3,0))</f>
        <v/>
      </c>
      <c r="C1360" s="47" t="n"/>
      <c r="D1360" s="47" t="n"/>
      <c r="E1360" s="47" t="n"/>
      <c r="F1360" s="47" t="n"/>
      <c r="G1360" s="48" t="n"/>
      <c r="H1360" s="49" t="n"/>
      <c r="I1360" s="50">
        <f>IF(G1360="","",ROUND(G1360*H1360,2))</f>
        <v/>
      </c>
      <c r="J1360" s="50">
        <f>IF(G1360="","",G1360+N(I1360))</f>
        <v/>
      </c>
      <c r="K1360" s="45" t="n"/>
      <c r="L1360" s="47" t="n"/>
      <c r="M1360" s="48" t="n"/>
      <c r="N1360" s="49" t="n"/>
      <c r="O1360" s="50">
        <f>IF(M1360="","",ROUND(M1360*N1360,2))</f>
        <v/>
      </c>
      <c r="P1360" s="50">
        <f>IF(M1360="","",M1360+N(O1360))</f>
        <v/>
      </c>
      <c r="Q1360" s="45" t="n"/>
      <c r="R1360" s="45" t="n"/>
      <c r="S1360" s="51">
        <f>IF(L1360="","",IF(COUNTIF(L$6:L1360,L1360)&gt;1,"",SUMIF(L$6:L$2000,L1360,M$6:M$2000)-SUMIF(L$6:L$2000,L1360,G$6:G$2000)))</f>
        <v/>
      </c>
      <c r="T1360" s="46">
        <f>IF(AND(C1360="",G1360=""),"",IF(L1360="","Nog factureren",IF(AND(G1360&lt;&gt;"",OR(K1360="",K1360&gt;TODAY())),"Nog betalen",IF(OR(R1360="",R1360&gt;TODAY()),"Wacht op klant","Afgerond"))))</f>
        <v/>
      </c>
    </row>
    <row r="1361">
      <c r="A1361" s="45" t="n"/>
      <c r="B1361" s="46">
        <f>IF(A1361="","",YEAR(A1361)&amp;" Q"&amp;ROUNDUP(MONTH(A1361)/3,0))</f>
        <v/>
      </c>
      <c r="C1361" s="47" t="n"/>
      <c r="D1361" s="47" t="n"/>
      <c r="E1361" s="47" t="n"/>
      <c r="F1361" s="47" t="n"/>
      <c r="G1361" s="48" t="n"/>
      <c r="H1361" s="49" t="n"/>
      <c r="I1361" s="50">
        <f>IF(G1361="","",ROUND(G1361*H1361,2))</f>
        <v/>
      </c>
      <c r="J1361" s="50">
        <f>IF(G1361="","",G1361+N(I1361))</f>
        <v/>
      </c>
      <c r="K1361" s="45" t="n"/>
      <c r="L1361" s="47" t="n"/>
      <c r="M1361" s="48" t="n"/>
      <c r="N1361" s="49" t="n"/>
      <c r="O1361" s="50">
        <f>IF(M1361="","",ROUND(M1361*N1361,2))</f>
        <v/>
      </c>
      <c r="P1361" s="50">
        <f>IF(M1361="","",M1361+N(O1361))</f>
        <v/>
      </c>
      <c r="Q1361" s="45" t="n"/>
      <c r="R1361" s="45" t="n"/>
      <c r="S1361" s="51">
        <f>IF(L1361="","",IF(COUNTIF(L$6:L1361,L1361)&gt;1,"",SUMIF(L$6:L$2000,L1361,M$6:M$2000)-SUMIF(L$6:L$2000,L1361,G$6:G$2000)))</f>
        <v/>
      </c>
      <c r="T1361" s="46">
        <f>IF(AND(C1361="",G1361=""),"",IF(L1361="","Nog factureren",IF(AND(G1361&lt;&gt;"",OR(K1361="",K1361&gt;TODAY())),"Nog betalen",IF(OR(R1361="",R1361&gt;TODAY()),"Wacht op klant","Afgerond"))))</f>
        <v/>
      </c>
    </row>
    <row r="1362">
      <c r="A1362" s="45" t="n"/>
      <c r="B1362" s="46">
        <f>IF(A1362="","",YEAR(A1362)&amp;" Q"&amp;ROUNDUP(MONTH(A1362)/3,0))</f>
        <v/>
      </c>
      <c r="C1362" s="47" t="n"/>
      <c r="D1362" s="47" t="n"/>
      <c r="E1362" s="47" t="n"/>
      <c r="F1362" s="47" t="n"/>
      <c r="G1362" s="48" t="n"/>
      <c r="H1362" s="49" t="n"/>
      <c r="I1362" s="50">
        <f>IF(G1362="","",ROUND(G1362*H1362,2))</f>
        <v/>
      </c>
      <c r="J1362" s="50">
        <f>IF(G1362="","",G1362+N(I1362))</f>
        <v/>
      </c>
      <c r="K1362" s="45" t="n"/>
      <c r="L1362" s="47" t="n"/>
      <c r="M1362" s="48" t="n"/>
      <c r="N1362" s="49" t="n"/>
      <c r="O1362" s="50">
        <f>IF(M1362="","",ROUND(M1362*N1362,2))</f>
        <v/>
      </c>
      <c r="P1362" s="50">
        <f>IF(M1362="","",M1362+N(O1362))</f>
        <v/>
      </c>
      <c r="Q1362" s="45" t="n"/>
      <c r="R1362" s="45" t="n"/>
      <c r="S1362" s="51">
        <f>IF(L1362="","",IF(COUNTIF(L$6:L1362,L1362)&gt;1,"",SUMIF(L$6:L$2000,L1362,M$6:M$2000)-SUMIF(L$6:L$2000,L1362,G$6:G$2000)))</f>
        <v/>
      </c>
      <c r="T1362" s="46">
        <f>IF(AND(C1362="",G1362=""),"",IF(L1362="","Nog factureren",IF(AND(G1362&lt;&gt;"",OR(K1362="",K1362&gt;TODAY())),"Nog betalen",IF(OR(R1362="",R1362&gt;TODAY()),"Wacht op klant","Afgerond"))))</f>
        <v/>
      </c>
    </row>
    <row r="1363">
      <c r="A1363" s="45" t="n"/>
      <c r="B1363" s="46">
        <f>IF(A1363="","",YEAR(A1363)&amp;" Q"&amp;ROUNDUP(MONTH(A1363)/3,0))</f>
        <v/>
      </c>
      <c r="C1363" s="47" t="n"/>
      <c r="D1363" s="47" t="n"/>
      <c r="E1363" s="47" t="n"/>
      <c r="F1363" s="47" t="n"/>
      <c r="G1363" s="48" t="n"/>
      <c r="H1363" s="49" t="n"/>
      <c r="I1363" s="50">
        <f>IF(G1363="","",ROUND(G1363*H1363,2))</f>
        <v/>
      </c>
      <c r="J1363" s="50">
        <f>IF(G1363="","",G1363+N(I1363))</f>
        <v/>
      </c>
      <c r="K1363" s="45" t="n"/>
      <c r="L1363" s="47" t="n"/>
      <c r="M1363" s="48" t="n"/>
      <c r="N1363" s="49" t="n"/>
      <c r="O1363" s="50">
        <f>IF(M1363="","",ROUND(M1363*N1363,2))</f>
        <v/>
      </c>
      <c r="P1363" s="50">
        <f>IF(M1363="","",M1363+N(O1363))</f>
        <v/>
      </c>
      <c r="Q1363" s="45" t="n"/>
      <c r="R1363" s="45" t="n"/>
      <c r="S1363" s="51">
        <f>IF(L1363="","",IF(COUNTIF(L$6:L1363,L1363)&gt;1,"",SUMIF(L$6:L$2000,L1363,M$6:M$2000)-SUMIF(L$6:L$2000,L1363,G$6:G$2000)))</f>
        <v/>
      </c>
      <c r="T1363" s="46">
        <f>IF(AND(C1363="",G1363=""),"",IF(L1363="","Nog factureren",IF(AND(G1363&lt;&gt;"",OR(K1363="",K1363&gt;TODAY())),"Nog betalen",IF(OR(R1363="",R1363&gt;TODAY()),"Wacht op klant","Afgerond"))))</f>
        <v/>
      </c>
    </row>
    <row r="1364">
      <c r="A1364" s="45" t="n"/>
      <c r="B1364" s="46">
        <f>IF(A1364="","",YEAR(A1364)&amp;" Q"&amp;ROUNDUP(MONTH(A1364)/3,0))</f>
        <v/>
      </c>
      <c r="C1364" s="47" t="n"/>
      <c r="D1364" s="47" t="n"/>
      <c r="E1364" s="47" t="n"/>
      <c r="F1364" s="47" t="n"/>
      <c r="G1364" s="48" t="n"/>
      <c r="H1364" s="49" t="n"/>
      <c r="I1364" s="50">
        <f>IF(G1364="","",ROUND(G1364*H1364,2))</f>
        <v/>
      </c>
      <c r="J1364" s="50">
        <f>IF(G1364="","",G1364+N(I1364))</f>
        <v/>
      </c>
      <c r="K1364" s="45" t="n"/>
      <c r="L1364" s="47" t="n"/>
      <c r="M1364" s="48" t="n"/>
      <c r="N1364" s="49" t="n"/>
      <c r="O1364" s="50">
        <f>IF(M1364="","",ROUND(M1364*N1364,2))</f>
        <v/>
      </c>
      <c r="P1364" s="50">
        <f>IF(M1364="","",M1364+N(O1364))</f>
        <v/>
      </c>
      <c r="Q1364" s="45" t="n"/>
      <c r="R1364" s="45" t="n"/>
      <c r="S1364" s="51">
        <f>IF(L1364="","",IF(COUNTIF(L$6:L1364,L1364)&gt;1,"",SUMIF(L$6:L$2000,L1364,M$6:M$2000)-SUMIF(L$6:L$2000,L1364,G$6:G$2000)))</f>
        <v/>
      </c>
      <c r="T1364" s="46">
        <f>IF(AND(C1364="",G1364=""),"",IF(L1364="","Nog factureren",IF(AND(G1364&lt;&gt;"",OR(K1364="",K1364&gt;TODAY())),"Nog betalen",IF(OR(R1364="",R1364&gt;TODAY()),"Wacht op klant","Afgerond"))))</f>
        <v/>
      </c>
    </row>
    <row r="1365">
      <c r="A1365" s="45" t="n"/>
      <c r="B1365" s="46">
        <f>IF(A1365="","",YEAR(A1365)&amp;" Q"&amp;ROUNDUP(MONTH(A1365)/3,0))</f>
        <v/>
      </c>
      <c r="C1365" s="47" t="n"/>
      <c r="D1365" s="47" t="n"/>
      <c r="E1365" s="47" t="n"/>
      <c r="F1365" s="47" t="n"/>
      <c r="G1365" s="48" t="n"/>
      <c r="H1365" s="49" t="n"/>
      <c r="I1365" s="50">
        <f>IF(G1365="","",ROUND(G1365*H1365,2))</f>
        <v/>
      </c>
      <c r="J1365" s="50">
        <f>IF(G1365="","",G1365+N(I1365))</f>
        <v/>
      </c>
      <c r="K1365" s="45" t="n"/>
      <c r="L1365" s="47" t="n"/>
      <c r="M1365" s="48" t="n"/>
      <c r="N1365" s="49" t="n"/>
      <c r="O1365" s="50">
        <f>IF(M1365="","",ROUND(M1365*N1365,2))</f>
        <v/>
      </c>
      <c r="P1365" s="50">
        <f>IF(M1365="","",M1365+N(O1365))</f>
        <v/>
      </c>
      <c r="Q1365" s="45" t="n"/>
      <c r="R1365" s="45" t="n"/>
      <c r="S1365" s="51">
        <f>IF(L1365="","",IF(COUNTIF(L$6:L1365,L1365)&gt;1,"",SUMIF(L$6:L$2000,L1365,M$6:M$2000)-SUMIF(L$6:L$2000,L1365,G$6:G$2000)))</f>
        <v/>
      </c>
      <c r="T1365" s="46">
        <f>IF(AND(C1365="",G1365=""),"",IF(L1365="","Nog factureren",IF(AND(G1365&lt;&gt;"",OR(K1365="",K1365&gt;TODAY())),"Nog betalen",IF(OR(R1365="",R1365&gt;TODAY()),"Wacht op klant","Afgerond"))))</f>
        <v/>
      </c>
    </row>
    <row r="1366">
      <c r="A1366" s="45" t="n"/>
      <c r="B1366" s="46">
        <f>IF(A1366="","",YEAR(A1366)&amp;" Q"&amp;ROUNDUP(MONTH(A1366)/3,0))</f>
        <v/>
      </c>
      <c r="C1366" s="47" t="n"/>
      <c r="D1366" s="47" t="n"/>
      <c r="E1366" s="47" t="n"/>
      <c r="F1366" s="47" t="n"/>
      <c r="G1366" s="48" t="n"/>
      <c r="H1366" s="49" t="n"/>
      <c r="I1366" s="50">
        <f>IF(G1366="","",ROUND(G1366*H1366,2))</f>
        <v/>
      </c>
      <c r="J1366" s="50">
        <f>IF(G1366="","",G1366+N(I1366))</f>
        <v/>
      </c>
      <c r="K1366" s="45" t="n"/>
      <c r="L1366" s="47" t="n"/>
      <c r="M1366" s="48" t="n"/>
      <c r="N1366" s="49" t="n"/>
      <c r="O1366" s="50">
        <f>IF(M1366="","",ROUND(M1366*N1366,2))</f>
        <v/>
      </c>
      <c r="P1366" s="50">
        <f>IF(M1366="","",M1366+N(O1366))</f>
        <v/>
      </c>
      <c r="Q1366" s="45" t="n"/>
      <c r="R1366" s="45" t="n"/>
      <c r="S1366" s="51">
        <f>IF(L1366="","",IF(COUNTIF(L$6:L1366,L1366)&gt;1,"",SUMIF(L$6:L$2000,L1366,M$6:M$2000)-SUMIF(L$6:L$2000,L1366,G$6:G$2000)))</f>
        <v/>
      </c>
      <c r="T1366" s="46">
        <f>IF(AND(C1366="",G1366=""),"",IF(L1366="","Nog factureren",IF(AND(G1366&lt;&gt;"",OR(K1366="",K1366&gt;TODAY())),"Nog betalen",IF(OR(R1366="",R1366&gt;TODAY()),"Wacht op klant","Afgerond"))))</f>
        <v/>
      </c>
    </row>
    <row r="1367">
      <c r="A1367" s="45" t="n"/>
      <c r="B1367" s="46">
        <f>IF(A1367="","",YEAR(A1367)&amp;" Q"&amp;ROUNDUP(MONTH(A1367)/3,0))</f>
        <v/>
      </c>
      <c r="C1367" s="47" t="n"/>
      <c r="D1367" s="47" t="n"/>
      <c r="E1367" s="47" t="n"/>
      <c r="F1367" s="47" t="n"/>
      <c r="G1367" s="48" t="n"/>
      <c r="H1367" s="49" t="n"/>
      <c r="I1367" s="50">
        <f>IF(G1367="","",ROUND(G1367*H1367,2))</f>
        <v/>
      </c>
      <c r="J1367" s="50">
        <f>IF(G1367="","",G1367+N(I1367))</f>
        <v/>
      </c>
      <c r="K1367" s="45" t="n"/>
      <c r="L1367" s="47" t="n"/>
      <c r="M1367" s="48" t="n"/>
      <c r="N1367" s="49" t="n"/>
      <c r="O1367" s="50">
        <f>IF(M1367="","",ROUND(M1367*N1367,2))</f>
        <v/>
      </c>
      <c r="P1367" s="50">
        <f>IF(M1367="","",M1367+N(O1367))</f>
        <v/>
      </c>
      <c r="Q1367" s="45" t="n"/>
      <c r="R1367" s="45" t="n"/>
      <c r="S1367" s="51">
        <f>IF(L1367="","",IF(COUNTIF(L$6:L1367,L1367)&gt;1,"",SUMIF(L$6:L$2000,L1367,M$6:M$2000)-SUMIF(L$6:L$2000,L1367,G$6:G$2000)))</f>
        <v/>
      </c>
      <c r="T1367" s="46">
        <f>IF(AND(C1367="",G1367=""),"",IF(L1367="","Nog factureren",IF(AND(G1367&lt;&gt;"",OR(K1367="",K1367&gt;TODAY())),"Nog betalen",IF(OR(R1367="",R1367&gt;TODAY()),"Wacht op klant","Afgerond"))))</f>
        <v/>
      </c>
    </row>
    <row r="1368">
      <c r="A1368" s="45" t="n"/>
      <c r="B1368" s="46">
        <f>IF(A1368="","",YEAR(A1368)&amp;" Q"&amp;ROUNDUP(MONTH(A1368)/3,0))</f>
        <v/>
      </c>
      <c r="C1368" s="47" t="n"/>
      <c r="D1368" s="47" t="n"/>
      <c r="E1368" s="47" t="n"/>
      <c r="F1368" s="47" t="n"/>
      <c r="G1368" s="48" t="n"/>
      <c r="H1368" s="49" t="n"/>
      <c r="I1368" s="50">
        <f>IF(G1368="","",ROUND(G1368*H1368,2))</f>
        <v/>
      </c>
      <c r="J1368" s="50">
        <f>IF(G1368="","",G1368+N(I1368))</f>
        <v/>
      </c>
      <c r="K1368" s="45" t="n"/>
      <c r="L1368" s="47" t="n"/>
      <c r="M1368" s="48" t="n"/>
      <c r="N1368" s="49" t="n"/>
      <c r="O1368" s="50">
        <f>IF(M1368="","",ROUND(M1368*N1368,2))</f>
        <v/>
      </c>
      <c r="P1368" s="50">
        <f>IF(M1368="","",M1368+N(O1368))</f>
        <v/>
      </c>
      <c r="Q1368" s="45" t="n"/>
      <c r="R1368" s="45" t="n"/>
      <c r="S1368" s="51">
        <f>IF(L1368="","",IF(COUNTIF(L$6:L1368,L1368)&gt;1,"",SUMIF(L$6:L$2000,L1368,M$6:M$2000)-SUMIF(L$6:L$2000,L1368,G$6:G$2000)))</f>
        <v/>
      </c>
      <c r="T1368" s="46">
        <f>IF(AND(C1368="",G1368=""),"",IF(L1368="","Nog factureren",IF(AND(G1368&lt;&gt;"",OR(K1368="",K1368&gt;TODAY())),"Nog betalen",IF(OR(R1368="",R1368&gt;TODAY()),"Wacht op klant","Afgerond"))))</f>
        <v/>
      </c>
    </row>
    <row r="1369">
      <c r="A1369" s="45" t="n"/>
      <c r="B1369" s="46">
        <f>IF(A1369="","",YEAR(A1369)&amp;" Q"&amp;ROUNDUP(MONTH(A1369)/3,0))</f>
        <v/>
      </c>
      <c r="C1369" s="47" t="n"/>
      <c r="D1369" s="47" t="n"/>
      <c r="E1369" s="47" t="n"/>
      <c r="F1369" s="47" t="n"/>
      <c r="G1369" s="48" t="n"/>
      <c r="H1369" s="49" t="n"/>
      <c r="I1369" s="50">
        <f>IF(G1369="","",ROUND(G1369*H1369,2))</f>
        <v/>
      </c>
      <c r="J1369" s="50">
        <f>IF(G1369="","",G1369+N(I1369))</f>
        <v/>
      </c>
      <c r="K1369" s="45" t="n"/>
      <c r="L1369" s="47" t="n"/>
      <c r="M1369" s="48" t="n"/>
      <c r="N1369" s="49" t="n"/>
      <c r="O1369" s="50">
        <f>IF(M1369="","",ROUND(M1369*N1369,2))</f>
        <v/>
      </c>
      <c r="P1369" s="50">
        <f>IF(M1369="","",M1369+N(O1369))</f>
        <v/>
      </c>
      <c r="Q1369" s="45" t="n"/>
      <c r="R1369" s="45" t="n"/>
      <c r="S1369" s="51">
        <f>IF(L1369="","",IF(COUNTIF(L$6:L1369,L1369)&gt;1,"",SUMIF(L$6:L$2000,L1369,M$6:M$2000)-SUMIF(L$6:L$2000,L1369,G$6:G$2000)))</f>
        <v/>
      </c>
      <c r="T1369" s="46">
        <f>IF(AND(C1369="",G1369=""),"",IF(L1369="","Nog factureren",IF(AND(G1369&lt;&gt;"",OR(K1369="",K1369&gt;TODAY())),"Nog betalen",IF(OR(R1369="",R1369&gt;TODAY()),"Wacht op klant","Afgerond"))))</f>
        <v/>
      </c>
    </row>
    <row r="1370">
      <c r="A1370" s="45" t="n"/>
      <c r="B1370" s="46">
        <f>IF(A1370="","",YEAR(A1370)&amp;" Q"&amp;ROUNDUP(MONTH(A1370)/3,0))</f>
        <v/>
      </c>
      <c r="C1370" s="47" t="n"/>
      <c r="D1370" s="47" t="n"/>
      <c r="E1370" s="47" t="n"/>
      <c r="F1370" s="47" t="n"/>
      <c r="G1370" s="48" t="n"/>
      <c r="H1370" s="49" t="n"/>
      <c r="I1370" s="50">
        <f>IF(G1370="","",ROUND(G1370*H1370,2))</f>
        <v/>
      </c>
      <c r="J1370" s="50">
        <f>IF(G1370="","",G1370+N(I1370))</f>
        <v/>
      </c>
      <c r="K1370" s="45" t="n"/>
      <c r="L1370" s="47" t="n"/>
      <c r="M1370" s="48" t="n"/>
      <c r="N1370" s="49" t="n"/>
      <c r="O1370" s="50">
        <f>IF(M1370="","",ROUND(M1370*N1370,2))</f>
        <v/>
      </c>
      <c r="P1370" s="50">
        <f>IF(M1370="","",M1370+N(O1370))</f>
        <v/>
      </c>
      <c r="Q1370" s="45" t="n"/>
      <c r="R1370" s="45" t="n"/>
      <c r="S1370" s="51">
        <f>IF(L1370="","",IF(COUNTIF(L$6:L1370,L1370)&gt;1,"",SUMIF(L$6:L$2000,L1370,M$6:M$2000)-SUMIF(L$6:L$2000,L1370,G$6:G$2000)))</f>
        <v/>
      </c>
      <c r="T1370" s="46">
        <f>IF(AND(C1370="",G1370=""),"",IF(L1370="","Nog factureren",IF(AND(G1370&lt;&gt;"",OR(K1370="",K1370&gt;TODAY())),"Nog betalen",IF(OR(R1370="",R1370&gt;TODAY()),"Wacht op klant","Afgerond"))))</f>
        <v/>
      </c>
    </row>
    <row r="1371">
      <c r="A1371" s="45" t="n"/>
      <c r="B1371" s="46">
        <f>IF(A1371="","",YEAR(A1371)&amp;" Q"&amp;ROUNDUP(MONTH(A1371)/3,0))</f>
        <v/>
      </c>
      <c r="C1371" s="47" t="n"/>
      <c r="D1371" s="47" t="n"/>
      <c r="E1371" s="47" t="n"/>
      <c r="F1371" s="47" t="n"/>
      <c r="G1371" s="48" t="n"/>
      <c r="H1371" s="49" t="n"/>
      <c r="I1371" s="50">
        <f>IF(G1371="","",ROUND(G1371*H1371,2))</f>
        <v/>
      </c>
      <c r="J1371" s="50">
        <f>IF(G1371="","",G1371+N(I1371))</f>
        <v/>
      </c>
      <c r="K1371" s="45" t="n"/>
      <c r="L1371" s="47" t="n"/>
      <c r="M1371" s="48" t="n"/>
      <c r="N1371" s="49" t="n"/>
      <c r="O1371" s="50">
        <f>IF(M1371="","",ROUND(M1371*N1371,2))</f>
        <v/>
      </c>
      <c r="P1371" s="50">
        <f>IF(M1371="","",M1371+N(O1371))</f>
        <v/>
      </c>
      <c r="Q1371" s="45" t="n"/>
      <c r="R1371" s="45" t="n"/>
      <c r="S1371" s="51">
        <f>IF(L1371="","",IF(COUNTIF(L$6:L1371,L1371)&gt;1,"",SUMIF(L$6:L$2000,L1371,M$6:M$2000)-SUMIF(L$6:L$2000,L1371,G$6:G$2000)))</f>
        <v/>
      </c>
      <c r="T1371" s="46">
        <f>IF(AND(C1371="",G1371=""),"",IF(L1371="","Nog factureren",IF(AND(G1371&lt;&gt;"",OR(K1371="",K1371&gt;TODAY())),"Nog betalen",IF(OR(R1371="",R1371&gt;TODAY()),"Wacht op klant","Afgerond"))))</f>
        <v/>
      </c>
    </row>
    <row r="1372">
      <c r="A1372" s="45" t="n"/>
      <c r="B1372" s="46">
        <f>IF(A1372="","",YEAR(A1372)&amp;" Q"&amp;ROUNDUP(MONTH(A1372)/3,0))</f>
        <v/>
      </c>
      <c r="C1372" s="47" t="n"/>
      <c r="D1372" s="47" t="n"/>
      <c r="E1372" s="47" t="n"/>
      <c r="F1372" s="47" t="n"/>
      <c r="G1372" s="48" t="n"/>
      <c r="H1372" s="49" t="n"/>
      <c r="I1372" s="50">
        <f>IF(G1372="","",ROUND(G1372*H1372,2))</f>
        <v/>
      </c>
      <c r="J1372" s="50">
        <f>IF(G1372="","",G1372+N(I1372))</f>
        <v/>
      </c>
      <c r="K1372" s="45" t="n"/>
      <c r="L1372" s="47" t="n"/>
      <c r="M1372" s="48" t="n"/>
      <c r="N1372" s="49" t="n"/>
      <c r="O1372" s="50">
        <f>IF(M1372="","",ROUND(M1372*N1372,2))</f>
        <v/>
      </c>
      <c r="P1372" s="50">
        <f>IF(M1372="","",M1372+N(O1372))</f>
        <v/>
      </c>
      <c r="Q1372" s="45" t="n"/>
      <c r="R1372" s="45" t="n"/>
      <c r="S1372" s="51">
        <f>IF(L1372="","",IF(COUNTIF(L$6:L1372,L1372)&gt;1,"",SUMIF(L$6:L$2000,L1372,M$6:M$2000)-SUMIF(L$6:L$2000,L1372,G$6:G$2000)))</f>
        <v/>
      </c>
      <c r="T1372" s="46">
        <f>IF(AND(C1372="",G1372=""),"",IF(L1372="","Nog factureren",IF(AND(G1372&lt;&gt;"",OR(K1372="",K1372&gt;TODAY())),"Nog betalen",IF(OR(R1372="",R1372&gt;TODAY()),"Wacht op klant","Afgerond"))))</f>
        <v/>
      </c>
    </row>
    <row r="1373">
      <c r="A1373" s="45" t="n"/>
      <c r="B1373" s="46">
        <f>IF(A1373="","",YEAR(A1373)&amp;" Q"&amp;ROUNDUP(MONTH(A1373)/3,0))</f>
        <v/>
      </c>
      <c r="C1373" s="47" t="n"/>
      <c r="D1373" s="47" t="n"/>
      <c r="E1373" s="47" t="n"/>
      <c r="F1373" s="47" t="n"/>
      <c r="G1373" s="48" t="n"/>
      <c r="H1373" s="49" t="n"/>
      <c r="I1373" s="50">
        <f>IF(G1373="","",ROUND(G1373*H1373,2))</f>
        <v/>
      </c>
      <c r="J1373" s="50">
        <f>IF(G1373="","",G1373+N(I1373))</f>
        <v/>
      </c>
      <c r="K1373" s="45" t="n"/>
      <c r="L1373" s="47" t="n"/>
      <c r="M1373" s="48" t="n"/>
      <c r="N1373" s="49" t="n"/>
      <c r="O1373" s="50">
        <f>IF(M1373="","",ROUND(M1373*N1373,2))</f>
        <v/>
      </c>
      <c r="P1373" s="50">
        <f>IF(M1373="","",M1373+N(O1373))</f>
        <v/>
      </c>
      <c r="Q1373" s="45" t="n"/>
      <c r="R1373" s="45" t="n"/>
      <c r="S1373" s="51">
        <f>IF(L1373="","",IF(COUNTIF(L$6:L1373,L1373)&gt;1,"",SUMIF(L$6:L$2000,L1373,M$6:M$2000)-SUMIF(L$6:L$2000,L1373,G$6:G$2000)))</f>
        <v/>
      </c>
      <c r="T1373" s="46">
        <f>IF(AND(C1373="",G1373=""),"",IF(L1373="","Nog factureren",IF(AND(G1373&lt;&gt;"",OR(K1373="",K1373&gt;TODAY())),"Nog betalen",IF(OR(R1373="",R1373&gt;TODAY()),"Wacht op klant","Afgerond"))))</f>
        <v/>
      </c>
    </row>
    <row r="1374">
      <c r="A1374" s="45" t="n"/>
      <c r="B1374" s="46">
        <f>IF(A1374="","",YEAR(A1374)&amp;" Q"&amp;ROUNDUP(MONTH(A1374)/3,0))</f>
        <v/>
      </c>
      <c r="C1374" s="47" t="n"/>
      <c r="D1374" s="47" t="n"/>
      <c r="E1374" s="47" t="n"/>
      <c r="F1374" s="47" t="n"/>
      <c r="G1374" s="48" t="n"/>
      <c r="H1374" s="49" t="n"/>
      <c r="I1374" s="50">
        <f>IF(G1374="","",ROUND(G1374*H1374,2))</f>
        <v/>
      </c>
      <c r="J1374" s="50">
        <f>IF(G1374="","",G1374+N(I1374))</f>
        <v/>
      </c>
      <c r="K1374" s="45" t="n"/>
      <c r="L1374" s="47" t="n"/>
      <c r="M1374" s="48" t="n"/>
      <c r="N1374" s="49" t="n"/>
      <c r="O1374" s="50">
        <f>IF(M1374="","",ROUND(M1374*N1374,2))</f>
        <v/>
      </c>
      <c r="P1374" s="50">
        <f>IF(M1374="","",M1374+N(O1374))</f>
        <v/>
      </c>
      <c r="Q1374" s="45" t="n"/>
      <c r="R1374" s="45" t="n"/>
      <c r="S1374" s="51">
        <f>IF(L1374="","",IF(COUNTIF(L$6:L1374,L1374)&gt;1,"",SUMIF(L$6:L$2000,L1374,M$6:M$2000)-SUMIF(L$6:L$2000,L1374,G$6:G$2000)))</f>
        <v/>
      </c>
      <c r="T1374" s="46">
        <f>IF(AND(C1374="",G1374=""),"",IF(L1374="","Nog factureren",IF(AND(G1374&lt;&gt;"",OR(K1374="",K1374&gt;TODAY())),"Nog betalen",IF(OR(R1374="",R1374&gt;TODAY()),"Wacht op klant","Afgerond"))))</f>
        <v/>
      </c>
    </row>
    <row r="1375">
      <c r="A1375" s="45" t="n"/>
      <c r="B1375" s="46">
        <f>IF(A1375="","",YEAR(A1375)&amp;" Q"&amp;ROUNDUP(MONTH(A1375)/3,0))</f>
        <v/>
      </c>
      <c r="C1375" s="47" t="n"/>
      <c r="D1375" s="47" t="n"/>
      <c r="E1375" s="47" t="n"/>
      <c r="F1375" s="47" t="n"/>
      <c r="G1375" s="48" t="n"/>
      <c r="H1375" s="49" t="n"/>
      <c r="I1375" s="50">
        <f>IF(G1375="","",ROUND(G1375*H1375,2))</f>
        <v/>
      </c>
      <c r="J1375" s="50">
        <f>IF(G1375="","",G1375+N(I1375))</f>
        <v/>
      </c>
      <c r="K1375" s="45" t="n"/>
      <c r="L1375" s="47" t="n"/>
      <c r="M1375" s="48" t="n"/>
      <c r="N1375" s="49" t="n"/>
      <c r="O1375" s="50">
        <f>IF(M1375="","",ROUND(M1375*N1375,2))</f>
        <v/>
      </c>
      <c r="P1375" s="50">
        <f>IF(M1375="","",M1375+N(O1375))</f>
        <v/>
      </c>
      <c r="Q1375" s="45" t="n"/>
      <c r="R1375" s="45" t="n"/>
      <c r="S1375" s="51">
        <f>IF(L1375="","",IF(COUNTIF(L$6:L1375,L1375)&gt;1,"",SUMIF(L$6:L$2000,L1375,M$6:M$2000)-SUMIF(L$6:L$2000,L1375,G$6:G$2000)))</f>
        <v/>
      </c>
      <c r="T1375" s="46">
        <f>IF(AND(C1375="",G1375=""),"",IF(L1375="","Nog factureren",IF(AND(G1375&lt;&gt;"",OR(K1375="",K1375&gt;TODAY())),"Nog betalen",IF(OR(R1375="",R1375&gt;TODAY()),"Wacht op klant","Afgerond"))))</f>
        <v/>
      </c>
    </row>
    <row r="1376">
      <c r="A1376" s="45" t="n"/>
      <c r="B1376" s="46">
        <f>IF(A1376="","",YEAR(A1376)&amp;" Q"&amp;ROUNDUP(MONTH(A1376)/3,0))</f>
        <v/>
      </c>
      <c r="C1376" s="47" t="n"/>
      <c r="D1376" s="47" t="n"/>
      <c r="E1376" s="47" t="n"/>
      <c r="F1376" s="47" t="n"/>
      <c r="G1376" s="48" t="n"/>
      <c r="H1376" s="49" t="n"/>
      <c r="I1376" s="50">
        <f>IF(G1376="","",ROUND(G1376*H1376,2))</f>
        <v/>
      </c>
      <c r="J1376" s="50">
        <f>IF(G1376="","",G1376+N(I1376))</f>
        <v/>
      </c>
      <c r="K1376" s="45" t="n"/>
      <c r="L1376" s="47" t="n"/>
      <c r="M1376" s="48" t="n"/>
      <c r="N1376" s="49" t="n"/>
      <c r="O1376" s="50">
        <f>IF(M1376="","",ROUND(M1376*N1376,2))</f>
        <v/>
      </c>
      <c r="P1376" s="50">
        <f>IF(M1376="","",M1376+N(O1376))</f>
        <v/>
      </c>
      <c r="Q1376" s="45" t="n"/>
      <c r="R1376" s="45" t="n"/>
      <c r="S1376" s="51">
        <f>IF(L1376="","",IF(COUNTIF(L$6:L1376,L1376)&gt;1,"",SUMIF(L$6:L$2000,L1376,M$6:M$2000)-SUMIF(L$6:L$2000,L1376,G$6:G$2000)))</f>
        <v/>
      </c>
      <c r="T1376" s="46">
        <f>IF(AND(C1376="",G1376=""),"",IF(L1376="","Nog factureren",IF(AND(G1376&lt;&gt;"",OR(K1376="",K1376&gt;TODAY())),"Nog betalen",IF(OR(R1376="",R1376&gt;TODAY()),"Wacht op klant","Afgerond"))))</f>
        <v/>
      </c>
    </row>
    <row r="1377">
      <c r="A1377" s="45" t="n"/>
      <c r="B1377" s="46">
        <f>IF(A1377="","",YEAR(A1377)&amp;" Q"&amp;ROUNDUP(MONTH(A1377)/3,0))</f>
        <v/>
      </c>
      <c r="C1377" s="47" t="n"/>
      <c r="D1377" s="47" t="n"/>
      <c r="E1377" s="47" t="n"/>
      <c r="F1377" s="47" t="n"/>
      <c r="G1377" s="48" t="n"/>
      <c r="H1377" s="49" t="n"/>
      <c r="I1377" s="50">
        <f>IF(G1377="","",ROUND(G1377*H1377,2))</f>
        <v/>
      </c>
      <c r="J1377" s="50">
        <f>IF(G1377="","",G1377+N(I1377))</f>
        <v/>
      </c>
      <c r="K1377" s="45" t="n"/>
      <c r="L1377" s="47" t="n"/>
      <c r="M1377" s="48" t="n"/>
      <c r="N1377" s="49" t="n"/>
      <c r="O1377" s="50">
        <f>IF(M1377="","",ROUND(M1377*N1377,2))</f>
        <v/>
      </c>
      <c r="P1377" s="50">
        <f>IF(M1377="","",M1377+N(O1377))</f>
        <v/>
      </c>
      <c r="Q1377" s="45" t="n"/>
      <c r="R1377" s="45" t="n"/>
      <c r="S1377" s="51">
        <f>IF(L1377="","",IF(COUNTIF(L$6:L1377,L1377)&gt;1,"",SUMIF(L$6:L$2000,L1377,M$6:M$2000)-SUMIF(L$6:L$2000,L1377,G$6:G$2000)))</f>
        <v/>
      </c>
      <c r="T1377" s="46">
        <f>IF(AND(C1377="",G1377=""),"",IF(L1377="","Nog factureren",IF(AND(G1377&lt;&gt;"",OR(K1377="",K1377&gt;TODAY())),"Nog betalen",IF(OR(R1377="",R1377&gt;TODAY()),"Wacht op klant","Afgerond"))))</f>
        <v/>
      </c>
    </row>
    <row r="1378">
      <c r="A1378" s="45" t="n"/>
      <c r="B1378" s="46">
        <f>IF(A1378="","",YEAR(A1378)&amp;" Q"&amp;ROUNDUP(MONTH(A1378)/3,0))</f>
        <v/>
      </c>
      <c r="C1378" s="47" t="n"/>
      <c r="D1378" s="47" t="n"/>
      <c r="E1378" s="47" t="n"/>
      <c r="F1378" s="47" t="n"/>
      <c r="G1378" s="48" t="n"/>
      <c r="H1378" s="49" t="n"/>
      <c r="I1378" s="50">
        <f>IF(G1378="","",ROUND(G1378*H1378,2))</f>
        <v/>
      </c>
      <c r="J1378" s="50">
        <f>IF(G1378="","",G1378+N(I1378))</f>
        <v/>
      </c>
      <c r="K1378" s="45" t="n"/>
      <c r="L1378" s="47" t="n"/>
      <c r="M1378" s="48" t="n"/>
      <c r="N1378" s="49" t="n"/>
      <c r="O1378" s="50">
        <f>IF(M1378="","",ROUND(M1378*N1378,2))</f>
        <v/>
      </c>
      <c r="P1378" s="50">
        <f>IF(M1378="","",M1378+N(O1378))</f>
        <v/>
      </c>
      <c r="Q1378" s="45" t="n"/>
      <c r="R1378" s="45" t="n"/>
      <c r="S1378" s="51">
        <f>IF(L1378="","",IF(COUNTIF(L$6:L1378,L1378)&gt;1,"",SUMIF(L$6:L$2000,L1378,M$6:M$2000)-SUMIF(L$6:L$2000,L1378,G$6:G$2000)))</f>
        <v/>
      </c>
      <c r="T1378" s="46">
        <f>IF(AND(C1378="",G1378=""),"",IF(L1378="","Nog factureren",IF(AND(G1378&lt;&gt;"",OR(K1378="",K1378&gt;TODAY())),"Nog betalen",IF(OR(R1378="",R1378&gt;TODAY()),"Wacht op klant","Afgerond"))))</f>
        <v/>
      </c>
    </row>
    <row r="1379">
      <c r="A1379" s="45" t="n"/>
      <c r="B1379" s="46">
        <f>IF(A1379="","",YEAR(A1379)&amp;" Q"&amp;ROUNDUP(MONTH(A1379)/3,0))</f>
        <v/>
      </c>
      <c r="C1379" s="47" t="n"/>
      <c r="D1379" s="47" t="n"/>
      <c r="E1379" s="47" t="n"/>
      <c r="F1379" s="47" t="n"/>
      <c r="G1379" s="48" t="n"/>
      <c r="H1379" s="49" t="n"/>
      <c r="I1379" s="50">
        <f>IF(G1379="","",ROUND(G1379*H1379,2))</f>
        <v/>
      </c>
      <c r="J1379" s="50">
        <f>IF(G1379="","",G1379+N(I1379))</f>
        <v/>
      </c>
      <c r="K1379" s="45" t="n"/>
      <c r="L1379" s="47" t="n"/>
      <c r="M1379" s="48" t="n"/>
      <c r="N1379" s="49" t="n"/>
      <c r="O1379" s="50">
        <f>IF(M1379="","",ROUND(M1379*N1379,2))</f>
        <v/>
      </c>
      <c r="P1379" s="50">
        <f>IF(M1379="","",M1379+N(O1379))</f>
        <v/>
      </c>
      <c r="Q1379" s="45" t="n"/>
      <c r="R1379" s="45" t="n"/>
      <c r="S1379" s="51">
        <f>IF(L1379="","",IF(COUNTIF(L$6:L1379,L1379)&gt;1,"",SUMIF(L$6:L$2000,L1379,M$6:M$2000)-SUMIF(L$6:L$2000,L1379,G$6:G$2000)))</f>
        <v/>
      </c>
      <c r="T1379" s="46">
        <f>IF(AND(C1379="",G1379=""),"",IF(L1379="","Nog factureren",IF(AND(G1379&lt;&gt;"",OR(K1379="",K1379&gt;TODAY())),"Nog betalen",IF(OR(R1379="",R1379&gt;TODAY()),"Wacht op klant","Afgerond"))))</f>
        <v/>
      </c>
    </row>
    <row r="1380">
      <c r="A1380" s="45" t="n"/>
      <c r="B1380" s="46">
        <f>IF(A1380="","",YEAR(A1380)&amp;" Q"&amp;ROUNDUP(MONTH(A1380)/3,0))</f>
        <v/>
      </c>
      <c r="C1380" s="47" t="n"/>
      <c r="D1380" s="47" t="n"/>
      <c r="E1380" s="47" t="n"/>
      <c r="F1380" s="47" t="n"/>
      <c r="G1380" s="48" t="n"/>
      <c r="H1380" s="49" t="n"/>
      <c r="I1380" s="50">
        <f>IF(G1380="","",ROUND(G1380*H1380,2))</f>
        <v/>
      </c>
      <c r="J1380" s="50">
        <f>IF(G1380="","",G1380+N(I1380))</f>
        <v/>
      </c>
      <c r="K1380" s="45" t="n"/>
      <c r="L1380" s="47" t="n"/>
      <c r="M1380" s="48" t="n"/>
      <c r="N1380" s="49" t="n"/>
      <c r="O1380" s="50">
        <f>IF(M1380="","",ROUND(M1380*N1380,2))</f>
        <v/>
      </c>
      <c r="P1380" s="50">
        <f>IF(M1380="","",M1380+N(O1380))</f>
        <v/>
      </c>
      <c r="Q1380" s="45" t="n"/>
      <c r="R1380" s="45" t="n"/>
      <c r="S1380" s="51">
        <f>IF(L1380="","",IF(COUNTIF(L$6:L1380,L1380)&gt;1,"",SUMIF(L$6:L$2000,L1380,M$6:M$2000)-SUMIF(L$6:L$2000,L1380,G$6:G$2000)))</f>
        <v/>
      </c>
      <c r="T1380" s="46">
        <f>IF(AND(C1380="",G1380=""),"",IF(L1380="","Nog factureren",IF(AND(G1380&lt;&gt;"",OR(K1380="",K1380&gt;TODAY())),"Nog betalen",IF(OR(R1380="",R1380&gt;TODAY()),"Wacht op klant","Afgerond"))))</f>
        <v/>
      </c>
    </row>
    <row r="1381">
      <c r="A1381" s="45" t="n"/>
      <c r="B1381" s="46">
        <f>IF(A1381="","",YEAR(A1381)&amp;" Q"&amp;ROUNDUP(MONTH(A1381)/3,0))</f>
        <v/>
      </c>
      <c r="C1381" s="47" t="n"/>
      <c r="D1381" s="47" t="n"/>
      <c r="E1381" s="47" t="n"/>
      <c r="F1381" s="47" t="n"/>
      <c r="G1381" s="48" t="n"/>
      <c r="H1381" s="49" t="n"/>
      <c r="I1381" s="50">
        <f>IF(G1381="","",ROUND(G1381*H1381,2))</f>
        <v/>
      </c>
      <c r="J1381" s="50">
        <f>IF(G1381="","",G1381+N(I1381))</f>
        <v/>
      </c>
      <c r="K1381" s="45" t="n"/>
      <c r="L1381" s="47" t="n"/>
      <c r="M1381" s="48" t="n"/>
      <c r="N1381" s="49" t="n"/>
      <c r="O1381" s="50">
        <f>IF(M1381="","",ROUND(M1381*N1381,2))</f>
        <v/>
      </c>
      <c r="P1381" s="50">
        <f>IF(M1381="","",M1381+N(O1381))</f>
        <v/>
      </c>
      <c r="Q1381" s="45" t="n"/>
      <c r="R1381" s="45" t="n"/>
      <c r="S1381" s="51">
        <f>IF(L1381="","",IF(COUNTIF(L$6:L1381,L1381)&gt;1,"",SUMIF(L$6:L$2000,L1381,M$6:M$2000)-SUMIF(L$6:L$2000,L1381,G$6:G$2000)))</f>
        <v/>
      </c>
      <c r="T1381" s="46">
        <f>IF(AND(C1381="",G1381=""),"",IF(L1381="","Nog factureren",IF(AND(G1381&lt;&gt;"",OR(K1381="",K1381&gt;TODAY())),"Nog betalen",IF(OR(R1381="",R1381&gt;TODAY()),"Wacht op klant","Afgerond"))))</f>
        <v/>
      </c>
    </row>
    <row r="1382">
      <c r="A1382" s="45" t="n"/>
      <c r="B1382" s="46">
        <f>IF(A1382="","",YEAR(A1382)&amp;" Q"&amp;ROUNDUP(MONTH(A1382)/3,0))</f>
        <v/>
      </c>
      <c r="C1382" s="47" t="n"/>
      <c r="D1382" s="47" t="n"/>
      <c r="E1382" s="47" t="n"/>
      <c r="F1382" s="47" t="n"/>
      <c r="G1382" s="48" t="n"/>
      <c r="H1382" s="49" t="n"/>
      <c r="I1382" s="50">
        <f>IF(G1382="","",ROUND(G1382*H1382,2))</f>
        <v/>
      </c>
      <c r="J1382" s="50">
        <f>IF(G1382="","",G1382+N(I1382))</f>
        <v/>
      </c>
      <c r="K1382" s="45" t="n"/>
      <c r="L1382" s="47" t="n"/>
      <c r="M1382" s="48" t="n"/>
      <c r="N1382" s="49" t="n"/>
      <c r="O1382" s="50">
        <f>IF(M1382="","",ROUND(M1382*N1382,2))</f>
        <v/>
      </c>
      <c r="P1382" s="50">
        <f>IF(M1382="","",M1382+N(O1382))</f>
        <v/>
      </c>
      <c r="Q1382" s="45" t="n"/>
      <c r="R1382" s="45" t="n"/>
      <c r="S1382" s="51">
        <f>IF(L1382="","",IF(COUNTIF(L$6:L1382,L1382)&gt;1,"",SUMIF(L$6:L$2000,L1382,M$6:M$2000)-SUMIF(L$6:L$2000,L1382,G$6:G$2000)))</f>
        <v/>
      </c>
      <c r="T1382" s="46">
        <f>IF(AND(C1382="",G1382=""),"",IF(L1382="","Nog factureren",IF(AND(G1382&lt;&gt;"",OR(K1382="",K1382&gt;TODAY())),"Nog betalen",IF(OR(R1382="",R1382&gt;TODAY()),"Wacht op klant","Afgerond"))))</f>
        <v/>
      </c>
    </row>
    <row r="1383">
      <c r="A1383" s="45" t="n"/>
      <c r="B1383" s="46">
        <f>IF(A1383="","",YEAR(A1383)&amp;" Q"&amp;ROUNDUP(MONTH(A1383)/3,0))</f>
        <v/>
      </c>
      <c r="C1383" s="47" t="n"/>
      <c r="D1383" s="47" t="n"/>
      <c r="E1383" s="47" t="n"/>
      <c r="F1383" s="47" t="n"/>
      <c r="G1383" s="48" t="n"/>
      <c r="H1383" s="49" t="n"/>
      <c r="I1383" s="50">
        <f>IF(G1383="","",ROUND(G1383*H1383,2))</f>
        <v/>
      </c>
      <c r="J1383" s="50">
        <f>IF(G1383="","",G1383+N(I1383))</f>
        <v/>
      </c>
      <c r="K1383" s="45" t="n"/>
      <c r="L1383" s="47" t="n"/>
      <c r="M1383" s="48" t="n"/>
      <c r="N1383" s="49" t="n"/>
      <c r="O1383" s="50">
        <f>IF(M1383="","",ROUND(M1383*N1383,2))</f>
        <v/>
      </c>
      <c r="P1383" s="50">
        <f>IF(M1383="","",M1383+N(O1383))</f>
        <v/>
      </c>
      <c r="Q1383" s="45" t="n"/>
      <c r="R1383" s="45" t="n"/>
      <c r="S1383" s="51">
        <f>IF(L1383="","",IF(COUNTIF(L$6:L1383,L1383)&gt;1,"",SUMIF(L$6:L$2000,L1383,M$6:M$2000)-SUMIF(L$6:L$2000,L1383,G$6:G$2000)))</f>
        <v/>
      </c>
      <c r="T1383" s="46">
        <f>IF(AND(C1383="",G1383=""),"",IF(L1383="","Nog factureren",IF(AND(G1383&lt;&gt;"",OR(K1383="",K1383&gt;TODAY())),"Nog betalen",IF(OR(R1383="",R1383&gt;TODAY()),"Wacht op klant","Afgerond"))))</f>
        <v/>
      </c>
    </row>
    <row r="1384">
      <c r="A1384" s="45" t="n"/>
      <c r="B1384" s="46">
        <f>IF(A1384="","",YEAR(A1384)&amp;" Q"&amp;ROUNDUP(MONTH(A1384)/3,0))</f>
        <v/>
      </c>
      <c r="C1384" s="47" t="n"/>
      <c r="D1384" s="47" t="n"/>
      <c r="E1384" s="47" t="n"/>
      <c r="F1384" s="47" t="n"/>
      <c r="G1384" s="48" t="n"/>
      <c r="H1384" s="49" t="n"/>
      <c r="I1384" s="50">
        <f>IF(G1384="","",ROUND(G1384*H1384,2))</f>
        <v/>
      </c>
      <c r="J1384" s="50">
        <f>IF(G1384="","",G1384+N(I1384))</f>
        <v/>
      </c>
      <c r="K1384" s="45" t="n"/>
      <c r="L1384" s="47" t="n"/>
      <c r="M1384" s="48" t="n"/>
      <c r="N1384" s="49" t="n"/>
      <c r="O1384" s="50">
        <f>IF(M1384="","",ROUND(M1384*N1384,2))</f>
        <v/>
      </c>
      <c r="P1384" s="50">
        <f>IF(M1384="","",M1384+N(O1384))</f>
        <v/>
      </c>
      <c r="Q1384" s="45" t="n"/>
      <c r="R1384" s="45" t="n"/>
      <c r="S1384" s="51">
        <f>IF(L1384="","",IF(COUNTIF(L$6:L1384,L1384)&gt;1,"",SUMIF(L$6:L$2000,L1384,M$6:M$2000)-SUMIF(L$6:L$2000,L1384,G$6:G$2000)))</f>
        <v/>
      </c>
      <c r="T1384" s="46">
        <f>IF(AND(C1384="",G1384=""),"",IF(L1384="","Nog factureren",IF(AND(G1384&lt;&gt;"",OR(K1384="",K1384&gt;TODAY())),"Nog betalen",IF(OR(R1384="",R1384&gt;TODAY()),"Wacht op klant","Afgerond"))))</f>
        <v/>
      </c>
    </row>
    <row r="1385">
      <c r="A1385" s="45" t="n"/>
      <c r="B1385" s="46">
        <f>IF(A1385="","",YEAR(A1385)&amp;" Q"&amp;ROUNDUP(MONTH(A1385)/3,0))</f>
        <v/>
      </c>
      <c r="C1385" s="47" t="n"/>
      <c r="D1385" s="47" t="n"/>
      <c r="E1385" s="47" t="n"/>
      <c r="F1385" s="47" t="n"/>
      <c r="G1385" s="48" t="n"/>
      <c r="H1385" s="49" t="n"/>
      <c r="I1385" s="50">
        <f>IF(G1385="","",ROUND(G1385*H1385,2))</f>
        <v/>
      </c>
      <c r="J1385" s="50">
        <f>IF(G1385="","",G1385+N(I1385))</f>
        <v/>
      </c>
      <c r="K1385" s="45" t="n"/>
      <c r="L1385" s="47" t="n"/>
      <c r="M1385" s="48" t="n"/>
      <c r="N1385" s="49" t="n"/>
      <c r="O1385" s="50">
        <f>IF(M1385="","",ROUND(M1385*N1385,2))</f>
        <v/>
      </c>
      <c r="P1385" s="50">
        <f>IF(M1385="","",M1385+N(O1385))</f>
        <v/>
      </c>
      <c r="Q1385" s="45" t="n"/>
      <c r="R1385" s="45" t="n"/>
      <c r="S1385" s="51">
        <f>IF(L1385="","",IF(COUNTIF(L$6:L1385,L1385)&gt;1,"",SUMIF(L$6:L$2000,L1385,M$6:M$2000)-SUMIF(L$6:L$2000,L1385,G$6:G$2000)))</f>
        <v/>
      </c>
      <c r="T1385" s="46">
        <f>IF(AND(C1385="",G1385=""),"",IF(L1385="","Nog factureren",IF(AND(G1385&lt;&gt;"",OR(K1385="",K1385&gt;TODAY())),"Nog betalen",IF(OR(R1385="",R1385&gt;TODAY()),"Wacht op klant","Afgerond"))))</f>
        <v/>
      </c>
    </row>
    <row r="1386">
      <c r="A1386" s="45" t="n"/>
      <c r="B1386" s="46">
        <f>IF(A1386="","",YEAR(A1386)&amp;" Q"&amp;ROUNDUP(MONTH(A1386)/3,0))</f>
        <v/>
      </c>
      <c r="C1386" s="47" t="n"/>
      <c r="D1386" s="47" t="n"/>
      <c r="E1386" s="47" t="n"/>
      <c r="F1386" s="47" t="n"/>
      <c r="G1386" s="48" t="n"/>
      <c r="H1386" s="49" t="n"/>
      <c r="I1386" s="50">
        <f>IF(G1386="","",ROUND(G1386*H1386,2))</f>
        <v/>
      </c>
      <c r="J1386" s="50">
        <f>IF(G1386="","",G1386+N(I1386))</f>
        <v/>
      </c>
      <c r="K1386" s="45" t="n"/>
      <c r="L1386" s="47" t="n"/>
      <c r="M1386" s="48" t="n"/>
      <c r="N1386" s="49" t="n"/>
      <c r="O1386" s="50">
        <f>IF(M1386="","",ROUND(M1386*N1386,2))</f>
        <v/>
      </c>
      <c r="P1386" s="50">
        <f>IF(M1386="","",M1386+N(O1386))</f>
        <v/>
      </c>
      <c r="Q1386" s="45" t="n"/>
      <c r="R1386" s="45" t="n"/>
      <c r="S1386" s="51">
        <f>IF(L1386="","",IF(COUNTIF(L$6:L1386,L1386)&gt;1,"",SUMIF(L$6:L$2000,L1386,M$6:M$2000)-SUMIF(L$6:L$2000,L1386,G$6:G$2000)))</f>
        <v/>
      </c>
      <c r="T1386" s="46">
        <f>IF(AND(C1386="",G1386=""),"",IF(L1386="","Nog factureren",IF(AND(G1386&lt;&gt;"",OR(K1386="",K1386&gt;TODAY())),"Nog betalen",IF(OR(R1386="",R1386&gt;TODAY()),"Wacht op klant","Afgerond"))))</f>
        <v/>
      </c>
    </row>
    <row r="1387">
      <c r="A1387" s="45" t="n"/>
      <c r="B1387" s="46">
        <f>IF(A1387="","",YEAR(A1387)&amp;" Q"&amp;ROUNDUP(MONTH(A1387)/3,0))</f>
        <v/>
      </c>
      <c r="C1387" s="47" t="n"/>
      <c r="D1387" s="47" t="n"/>
      <c r="E1387" s="47" t="n"/>
      <c r="F1387" s="47" t="n"/>
      <c r="G1387" s="48" t="n"/>
      <c r="H1387" s="49" t="n"/>
      <c r="I1387" s="50">
        <f>IF(G1387="","",ROUND(G1387*H1387,2))</f>
        <v/>
      </c>
      <c r="J1387" s="50">
        <f>IF(G1387="","",G1387+N(I1387))</f>
        <v/>
      </c>
      <c r="K1387" s="45" t="n"/>
      <c r="L1387" s="47" t="n"/>
      <c r="M1387" s="48" t="n"/>
      <c r="N1387" s="49" t="n"/>
      <c r="O1387" s="50">
        <f>IF(M1387="","",ROUND(M1387*N1387,2))</f>
        <v/>
      </c>
      <c r="P1387" s="50">
        <f>IF(M1387="","",M1387+N(O1387))</f>
        <v/>
      </c>
      <c r="Q1387" s="45" t="n"/>
      <c r="R1387" s="45" t="n"/>
      <c r="S1387" s="51">
        <f>IF(L1387="","",IF(COUNTIF(L$6:L1387,L1387)&gt;1,"",SUMIF(L$6:L$2000,L1387,M$6:M$2000)-SUMIF(L$6:L$2000,L1387,G$6:G$2000)))</f>
        <v/>
      </c>
      <c r="T1387" s="46">
        <f>IF(AND(C1387="",G1387=""),"",IF(L1387="","Nog factureren",IF(AND(G1387&lt;&gt;"",OR(K1387="",K1387&gt;TODAY())),"Nog betalen",IF(OR(R1387="",R1387&gt;TODAY()),"Wacht op klant","Afgerond"))))</f>
        <v/>
      </c>
    </row>
    <row r="1388">
      <c r="A1388" s="45" t="n"/>
      <c r="B1388" s="46">
        <f>IF(A1388="","",YEAR(A1388)&amp;" Q"&amp;ROUNDUP(MONTH(A1388)/3,0))</f>
        <v/>
      </c>
      <c r="C1388" s="47" t="n"/>
      <c r="D1388" s="47" t="n"/>
      <c r="E1388" s="47" t="n"/>
      <c r="F1388" s="47" t="n"/>
      <c r="G1388" s="48" t="n"/>
      <c r="H1388" s="49" t="n"/>
      <c r="I1388" s="50">
        <f>IF(G1388="","",ROUND(G1388*H1388,2))</f>
        <v/>
      </c>
      <c r="J1388" s="50">
        <f>IF(G1388="","",G1388+N(I1388))</f>
        <v/>
      </c>
      <c r="K1388" s="45" t="n"/>
      <c r="L1388" s="47" t="n"/>
      <c r="M1388" s="48" t="n"/>
      <c r="N1388" s="49" t="n"/>
      <c r="O1388" s="50">
        <f>IF(M1388="","",ROUND(M1388*N1388,2))</f>
        <v/>
      </c>
      <c r="P1388" s="50">
        <f>IF(M1388="","",M1388+N(O1388))</f>
        <v/>
      </c>
      <c r="Q1388" s="45" t="n"/>
      <c r="R1388" s="45" t="n"/>
      <c r="S1388" s="51">
        <f>IF(L1388="","",IF(COUNTIF(L$6:L1388,L1388)&gt;1,"",SUMIF(L$6:L$2000,L1388,M$6:M$2000)-SUMIF(L$6:L$2000,L1388,G$6:G$2000)))</f>
        <v/>
      </c>
      <c r="T1388" s="46">
        <f>IF(AND(C1388="",G1388=""),"",IF(L1388="","Nog factureren",IF(AND(G1388&lt;&gt;"",OR(K1388="",K1388&gt;TODAY())),"Nog betalen",IF(OR(R1388="",R1388&gt;TODAY()),"Wacht op klant","Afgerond"))))</f>
        <v/>
      </c>
    </row>
    <row r="1389">
      <c r="A1389" s="45" t="n"/>
      <c r="B1389" s="46">
        <f>IF(A1389="","",YEAR(A1389)&amp;" Q"&amp;ROUNDUP(MONTH(A1389)/3,0))</f>
        <v/>
      </c>
      <c r="C1389" s="47" t="n"/>
      <c r="D1389" s="47" t="n"/>
      <c r="E1389" s="47" t="n"/>
      <c r="F1389" s="47" t="n"/>
      <c r="G1389" s="48" t="n"/>
      <c r="H1389" s="49" t="n"/>
      <c r="I1389" s="50">
        <f>IF(G1389="","",ROUND(G1389*H1389,2))</f>
        <v/>
      </c>
      <c r="J1389" s="50">
        <f>IF(G1389="","",G1389+N(I1389))</f>
        <v/>
      </c>
      <c r="K1389" s="45" t="n"/>
      <c r="L1389" s="47" t="n"/>
      <c r="M1389" s="48" t="n"/>
      <c r="N1389" s="49" t="n"/>
      <c r="O1389" s="50">
        <f>IF(M1389="","",ROUND(M1389*N1389,2))</f>
        <v/>
      </c>
      <c r="P1389" s="50">
        <f>IF(M1389="","",M1389+N(O1389))</f>
        <v/>
      </c>
      <c r="Q1389" s="45" t="n"/>
      <c r="R1389" s="45" t="n"/>
      <c r="S1389" s="51">
        <f>IF(L1389="","",IF(COUNTIF(L$6:L1389,L1389)&gt;1,"",SUMIF(L$6:L$2000,L1389,M$6:M$2000)-SUMIF(L$6:L$2000,L1389,G$6:G$2000)))</f>
        <v/>
      </c>
      <c r="T1389" s="46">
        <f>IF(AND(C1389="",G1389=""),"",IF(L1389="","Nog factureren",IF(AND(G1389&lt;&gt;"",OR(K1389="",K1389&gt;TODAY())),"Nog betalen",IF(OR(R1389="",R1389&gt;TODAY()),"Wacht op klant","Afgerond"))))</f>
        <v/>
      </c>
    </row>
    <row r="1390">
      <c r="A1390" s="45" t="n"/>
      <c r="B1390" s="46">
        <f>IF(A1390="","",YEAR(A1390)&amp;" Q"&amp;ROUNDUP(MONTH(A1390)/3,0))</f>
        <v/>
      </c>
      <c r="C1390" s="47" t="n"/>
      <c r="D1390" s="47" t="n"/>
      <c r="E1390" s="47" t="n"/>
      <c r="F1390" s="47" t="n"/>
      <c r="G1390" s="48" t="n"/>
      <c r="H1390" s="49" t="n"/>
      <c r="I1390" s="50">
        <f>IF(G1390="","",ROUND(G1390*H1390,2))</f>
        <v/>
      </c>
      <c r="J1390" s="50">
        <f>IF(G1390="","",G1390+N(I1390))</f>
        <v/>
      </c>
      <c r="K1390" s="45" t="n"/>
      <c r="L1390" s="47" t="n"/>
      <c r="M1390" s="48" t="n"/>
      <c r="N1390" s="49" t="n"/>
      <c r="O1390" s="50">
        <f>IF(M1390="","",ROUND(M1390*N1390,2))</f>
        <v/>
      </c>
      <c r="P1390" s="50">
        <f>IF(M1390="","",M1390+N(O1390))</f>
        <v/>
      </c>
      <c r="Q1390" s="45" t="n"/>
      <c r="R1390" s="45" t="n"/>
      <c r="S1390" s="51">
        <f>IF(L1390="","",IF(COUNTIF(L$6:L1390,L1390)&gt;1,"",SUMIF(L$6:L$2000,L1390,M$6:M$2000)-SUMIF(L$6:L$2000,L1390,G$6:G$2000)))</f>
        <v/>
      </c>
      <c r="T1390" s="46">
        <f>IF(AND(C1390="",G1390=""),"",IF(L1390="","Nog factureren",IF(AND(G1390&lt;&gt;"",OR(K1390="",K1390&gt;TODAY())),"Nog betalen",IF(OR(R1390="",R1390&gt;TODAY()),"Wacht op klant","Afgerond"))))</f>
        <v/>
      </c>
    </row>
    <row r="1391">
      <c r="A1391" s="45" t="n"/>
      <c r="B1391" s="46">
        <f>IF(A1391="","",YEAR(A1391)&amp;" Q"&amp;ROUNDUP(MONTH(A1391)/3,0))</f>
        <v/>
      </c>
      <c r="C1391" s="47" t="n"/>
      <c r="D1391" s="47" t="n"/>
      <c r="E1391" s="47" t="n"/>
      <c r="F1391" s="47" t="n"/>
      <c r="G1391" s="48" t="n"/>
      <c r="H1391" s="49" t="n"/>
      <c r="I1391" s="50">
        <f>IF(G1391="","",ROUND(G1391*H1391,2))</f>
        <v/>
      </c>
      <c r="J1391" s="50">
        <f>IF(G1391="","",G1391+N(I1391))</f>
        <v/>
      </c>
      <c r="K1391" s="45" t="n"/>
      <c r="L1391" s="47" t="n"/>
      <c r="M1391" s="48" t="n"/>
      <c r="N1391" s="49" t="n"/>
      <c r="O1391" s="50">
        <f>IF(M1391="","",ROUND(M1391*N1391,2))</f>
        <v/>
      </c>
      <c r="P1391" s="50">
        <f>IF(M1391="","",M1391+N(O1391))</f>
        <v/>
      </c>
      <c r="Q1391" s="45" t="n"/>
      <c r="R1391" s="45" t="n"/>
      <c r="S1391" s="51">
        <f>IF(L1391="","",IF(COUNTIF(L$6:L1391,L1391)&gt;1,"",SUMIF(L$6:L$2000,L1391,M$6:M$2000)-SUMIF(L$6:L$2000,L1391,G$6:G$2000)))</f>
        <v/>
      </c>
      <c r="T1391" s="46">
        <f>IF(AND(C1391="",G1391=""),"",IF(L1391="","Nog factureren",IF(AND(G1391&lt;&gt;"",OR(K1391="",K1391&gt;TODAY())),"Nog betalen",IF(OR(R1391="",R1391&gt;TODAY()),"Wacht op klant","Afgerond"))))</f>
        <v/>
      </c>
    </row>
    <row r="1392">
      <c r="A1392" s="45" t="n"/>
      <c r="B1392" s="46">
        <f>IF(A1392="","",YEAR(A1392)&amp;" Q"&amp;ROUNDUP(MONTH(A1392)/3,0))</f>
        <v/>
      </c>
      <c r="C1392" s="47" t="n"/>
      <c r="D1392" s="47" t="n"/>
      <c r="E1392" s="47" t="n"/>
      <c r="F1392" s="47" t="n"/>
      <c r="G1392" s="48" t="n"/>
      <c r="H1392" s="49" t="n"/>
      <c r="I1392" s="50">
        <f>IF(G1392="","",ROUND(G1392*H1392,2))</f>
        <v/>
      </c>
      <c r="J1392" s="50">
        <f>IF(G1392="","",G1392+N(I1392))</f>
        <v/>
      </c>
      <c r="K1392" s="45" t="n"/>
      <c r="L1392" s="47" t="n"/>
      <c r="M1392" s="48" t="n"/>
      <c r="N1392" s="49" t="n"/>
      <c r="O1392" s="50">
        <f>IF(M1392="","",ROUND(M1392*N1392,2))</f>
        <v/>
      </c>
      <c r="P1392" s="50">
        <f>IF(M1392="","",M1392+N(O1392))</f>
        <v/>
      </c>
      <c r="Q1392" s="45" t="n"/>
      <c r="R1392" s="45" t="n"/>
      <c r="S1392" s="51">
        <f>IF(L1392="","",IF(COUNTIF(L$6:L1392,L1392)&gt;1,"",SUMIF(L$6:L$2000,L1392,M$6:M$2000)-SUMIF(L$6:L$2000,L1392,G$6:G$2000)))</f>
        <v/>
      </c>
      <c r="T1392" s="46">
        <f>IF(AND(C1392="",G1392=""),"",IF(L1392="","Nog factureren",IF(AND(G1392&lt;&gt;"",OR(K1392="",K1392&gt;TODAY())),"Nog betalen",IF(OR(R1392="",R1392&gt;TODAY()),"Wacht op klant","Afgerond"))))</f>
        <v/>
      </c>
    </row>
    <row r="1393">
      <c r="A1393" s="45" t="n"/>
      <c r="B1393" s="46">
        <f>IF(A1393="","",YEAR(A1393)&amp;" Q"&amp;ROUNDUP(MONTH(A1393)/3,0))</f>
        <v/>
      </c>
      <c r="C1393" s="47" t="n"/>
      <c r="D1393" s="47" t="n"/>
      <c r="E1393" s="47" t="n"/>
      <c r="F1393" s="47" t="n"/>
      <c r="G1393" s="48" t="n"/>
      <c r="H1393" s="49" t="n"/>
      <c r="I1393" s="50">
        <f>IF(G1393="","",ROUND(G1393*H1393,2))</f>
        <v/>
      </c>
      <c r="J1393" s="50">
        <f>IF(G1393="","",G1393+N(I1393))</f>
        <v/>
      </c>
      <c r="K1393" s="45" t="n"/>
      <c r="L1393" s="47" t="n"/>
      <c r="M1393" s="48" t="n"/>
      <c r="N1393" s="49" t="n"/>
      <c r="O1393" s="50">
        <f>IF(M1393="","",ROUND(M1393*N1393,2))</f>
        <v/>
      </c>
      <c r="P1393" s="50">
        <f>IF(M1393="","",M1393+N(O1393))</f>
        <v/>
      </c>
      <c r="Q1393" s="45" t="n"/>
      <c r="R1393" s="45" t="n"/>
      <c r="S1393" s="51">
        <f>IF(L1393="","",IF(COUNTIF(L$6:L1393,L1393)&gt;1,"",SUMIF(L$6:L$2000,L1393,M$6:M$2000)-SUMIF(L$6:L$2000,L1393,G$6:G$2000)))</f>
        <v/>
      </c>
      <c r="T1393" s="46">
        <f>IF(AND(C1393="",G1393=""),"",IF(L1393="","Nog factureren",IF(AND(G1393&lt;&gt;"",OR(K1393="",K1393&gt;TODAY())),"Nog betalen",IF(OR(R1393="",R1393&gt;TODAY()),"Wacht op klant","Afgerond"))))</f>
        <v/>
      </c>
    </row>
    <row r="1394">
      <c r="A1394" s="45" t="n"/>
      <c r="B1394" s="46">
        <f>IF(A1394="","",YEAR(A1394)&amp;" Q"&amp;ROUNDUP(MONTH(A1394)/3,0))</f>
        <v/>
      </c>
      <c r="C1394" s="47" t="n"/>
      <c r="D1394" s="47" t="n"/>
      <c r="E1394" s="47" t="n"/>
      <c r="F1394" s="47" t="n"/>
      <c r="G1394" s="48" t="n"/>
      <c r="H1394" s="49" t="n"/>
      <c r="I1394" s="50">
        <f>IF(G1394="","",ROUND(G1394*H1394,2))</f>
        <v/>
      </c>
      <c r="J1394" s="50">
        <f>IF(G1394="","",G1394+N(I1394))</f>
        <v/>
      </c>
      <c r="K1394" s="45" t="n"/>
      <c r="L1394" s="47" t="n"/>
      <c r="M1394" s="48" t="n"/>
      <c r="N1394" s="49" t="n"/>
      <c r="O1394" s="50">
        <f>IF(M1394="","",ROUND(M1394*N1394,2))</f>
        <v/>
      </c>
      <c r="P1394" s="50">
        <f>IF(M1394="","",M1394+N(O1394))</f>
        <v/>
      </c>
      <c r="Q1394" s="45" t="n"/>
      <c r="R1394" s="45" t="n"/>
      <c r="S1394" s="51">
        <f>IF(L1394="","",IF(COUNTIF(L$6:L1394,L1394)&gt;1,"",SUMIF(L$6:L$2000,L1394,M$6:M$2000)-SUMIF(L$6:L$2000,L1394,G$6:G$2000)))</f>
        <v/>
      </c>
      <c r="T1394" s="46">
        <f>IF(AND(C1394="",G1394=""),"",IF(L1394="","Nog factureren",IF(AND(G1394&lt;&gt;"",OR(K1394="",K1394&gt;TODAY())),"Nog betalen",IF(OR(R1394="",R1394&gt;TODAY()),"Wacht op klant","Afgerond"))))</f>
        <v/>
      </c>
    </row>
    <row r="1395">
      <c r="A1395" s="45" t="n"/>
      <c r="B1395" s="46">
        <f>IF(A1395="","",YEAR(A1395)&amp;" Q"&amp;ROUNDUP(MONTH(A1395)/3,0))</f>
        <v/>
      </c>
      <c r="C1395" s="47" t="n"/>
      <c r="D1395" s="47" t="n"/>
      <c r="E1395" s="47" t="n"/>
      <c r="F1395" s="47" t="n"/>
      <c r="G1395" s="48" t="n"/>
      <c r="H1395" s="49" t="n"/>
      <c r="I1395" s="50">
        <f>IF(G1395="","",ROUND(G1395*H1395,2))</f>
        <v/>
      </c>
      <c r="J1395" s="50">
        <f>IF(G1395="","",G1395+N(I1395))</f>
        <v/>
      </c>
      <c r="K1395" s="45" t="n"/>
      <c r="L1395" s="47" t="n"/>
      <c r="M1395" s="48" t="n"/>
      <c r="N1395" s="49" t="n"/>
      <c r="O1395" s="50">
        <f>IF(M1395="","",ROUND(M1395*N1395,2))</f>
        <v/>
      </c>
      <c r="P1395" s="50">
        <f>IF(M1395="","",M1395+N(O1395))</f>
        <v/>
      </c>
      <c r="Q1395" s="45" t="n"/>
      <c r="R1395" s="45" t="n"/>
      <c r="S1395" s="51">
        <f>IF(L1395="","",IF(COUNTIF(L$6:L1395,L1395)&gt;1,"",SUMIF(L$6:L$2000,L1395,M$6:M$2000)-SUMIF(L$6:L$2000,L1395,G$6:G$2000)))</f>
        <v/>
      </c>
      <c r="T1395" s="46">
        <f>IF(AND(C1395="",G1395=""),"",IF(L1395="","Nog factureren",IF(AND(G1395&lt;&gt;"",OR(K1395="",K1395&gt;TODAY())),"Nog betalen",IF(OR(R1395="",R1395&gt;TODAY()),"Wacht op klant","Afgerond"))))</f>
        <v/>
      </c>
    </row>
    <row r="1396">
      <c r="A1396" s="45" t="n"/>
      <c r="B1396" s="46">
        <f>IF(A1396="","",YEAR(A1396)&amp;" Q"&amp;ROUNDUP(MONTH(A1396)/3,0))</f>
        <v/>
      </c>
      <c r="C1396" s="47" t="n"/>
      <c r="D1396" s="47" t="n"/>
      <c r="E1396" s="47" t="n"/>
      <c r="F1396" s="47" t="n"/>
      <c r="G1396" s="48" t="n"/>
      <c r="H1396" s="49" t="n"/>
      <c r="I1396" s="50">
        <f>IF(G1396="","",ROUND(G1396*H1396,2))</f>
        <v/>
      </c>
      <c r="J1396" s="50">
        <f>IF(G1396="","",G1396+N(I1396))</f>
        <v/>
      </c>
      <c r="K1396" s="45" t="n"/>
      <c r="L1396" s="47" t="n"/>
      <c r="M1396" s="48" t="n"/>
      <c r="N1396" s="49" t="n"/>
      <c r="O1396" s="50">
        <f>IF(M1396="","",ROUND(M1396*N1396,2))</f>
        <v/>
      </c>
      <c r="P1396" s="50">
        <f>IF(M1396="","",M1396+N(O1396))</f>
        <v/>
      </c>
      <c r="Q1396" s="45" t="n"/>
      <c r="R1396" s="45" t="n"/>
      <c r="S1396" s="51">
        <f>IF(L1396="","",IF(COUNTIF(L$6:L1396,L1396)&gt;1,"",SUMIF(L$6:L$2000,L1396,M$6:M$2000)-SUMIF(L$6:L$2000,L1396,G$6:G$2000)))</f>
        <v/>
      </c>
      <c r="T1396" s="46">
        <f>IF(AND(C1396="",G1396=""),"",IF(L1396="","Nog factureren",IF(AND(G1396&lt;&gt;"",OR(K1396="",K1396&gt;TODAY())),"Nog betalen",IF(OR(R1396="",R1396&gt;TODAY()),"Wacht op klant","Afgerond"))))</f>
        <v/>
      </c>
    </row>
    <row r="1397">
      <c r="A1397" s="45" t="n"/>
      <c r="B1397" s="46">
        <f>IF(A1397="","",YEAR(A1397)&amp;" Q"&amp;ROUNDUP(MONTH(A1397)/3,0))</f>
        <v/>
      </c>
      <c r="C1397" s="47" t="n"/>
      <c r="D1397" s="47" t="n"/>
      <c r="E1397" s="47" t="n"/>
      <c r="F1397" s="47" t="n"/>
      <c r="G1397" s="48" t="n"/>
      <c r="H1397" s="49" t="n"/>
      <c r="I1397" s="50">
        <f>IF(G1397="","",ROUND(G1397*H1397,2))</f>
        <v/>
      </c>
      <c r="J1397" s="50">
        <f>IF(G1397="","",G1397+N(I1397))</f>
        <v/>
      </c>
      <c r="K1397" s="45" t="n"/>
      <c r="L1397" s="47" t="n"/>
      <c r="M1397" s="48" t="n"/>
      <c r="N1397" s="49" t="n"/>
      <c r="O1397" s="50">
        <f>IF(M1397="","",ROUND(M1397*N1397,2))</f>
        <v/>
      </c>
      <c r="P1397" s="50">
        <f>IF(M1397="","",M1397+N(O1397))</f>
        <v/>
      </c>
      <c r="Q1397" s="45" t="n"/>
      <c r="R1397" s="45" t="n"/>
      <c r="S1397" s="51">
        <f>IF(L1397="","",IF(COUNTIF(L$6:L1397,L1397)&gt;1,"",SUMIF(L$6:L$2000,L1397,M$6:M$2000)-SUMIF(L$6:L$2000,L1397,G$6:G$2000)))</f>
        <v/>
      </c>
      <c r="T1397" s="46">
        <f>IF(AND(C1397="",G1397=""),"",IF(L1397="","Nog factureren",IF(AND(G1397&lt;&gt;"",OR(K1397="",K1397&gt;TODAY())),"Nog betalen",IF(OR(R1397="",R1397&gt;TODAY()),"Wacht op klant","Afgerond"))))</f>
        <v/>
      </c>
    </row>
    <row r="1398">
      <c r="A1398" s="45" t="n"/>
      <c r="B1398" s="46">
        <f>IF(A1398="","",YEAR(A1398)&amp;" Q"&amp;ROUNDUP(MONTH(A1398)/3,0))</f>
        <v/>
      </c>
      <c r="C1398" s="47" t="n"/>
      <c r="D1398" s="47" t="n"/>
      <c r="E1398" s="47" t="n"/>
      <c r="F1398" s="47" t="n"/>
      <c r="G1398" s="48" t="n"/>
      <c r="H1398" s="49" t="n"/>
      <c r="I1398" s="50">
        <f>IF(G1398="","",ROUND(G1398*H1398,2))</f>
        <v/>
      </c>
      <c r="J1398" s="50">
        <f>IF(G1398="","",G1398+N(I1398))</f>
        <v/>
      </c>
      <c r="K1398" s="45" t="n"/>
      <c r="L1398" s="47" t="n"/>
      <c r="M1398" s="48" t="n"/>
      <c r="N1398" s="49" t="n"/>
      <c r="O1398" s="50">
        <f>IF(M1398="","",ROUND(M1398*N1398,2))</f>
        <v/>
      </c>
      <c r="P1398" s="50">
        <f>IF(M1398="","",M1398+N(O1398))</f>
        <v/>
      </c>
      <c r="Q1398" s="45" t="n"/>
      <c r="R1398" s="45" t="n"/>
      <c r="S1398" s="51">
        <f>IF(L1398="","",IF(COUNTIF(L$6:L1398,L1398)&gt;1,"",SUMIF(L$6:L$2000,L1398,M$6:M$2000)-SUMIF(L$6:L$2000,L1398,G$6:G$2000)))</f>
        <v/>
      </c>
      <c r="T1398" s="46">
        <f>IF(AND(C1398="",G1398=""),"",IF(L1398="","Nog factureren",IF(AND(G1398&lt;&gt;"",OR(K1398="",K1398&gt;TODAY())),"Nog betalen",IF(OR(R1398="",R1398&gt;TODAY()),"Wacht op klant","Afgerond"))))</f>
        <v/>
      </c>
    </row>
    <row r="1399">
      <c r="A1399" s="45" t="n"/>
      <c r="B1399" s="46">
        <f>IF(A1399="","",YEAR(A1399)&amp;" Q"&amp;ROUNDUP(MONTH(A1399)/3,0))</f>
        <v/>
      </c>
      <c r="C1399" s="47" t="n"/>
      <c r="D1399" s="47" t="n"/>
      <c r="E1399" s="47" t="n"/>
      <c r="F1399" s="47" t="n"/>
      <c r="G1399" s="48" t="n"/>
      <c r="H1399" s="49" t="n"/>
      <c r="I1399" s="50">
        <f>IF(G1399="","",ROUND(G1399*H1399,2))</f>
        <v/>
      </c>
      <c r="J1399" s="50">
        <f>IF(G1399="","",G1399+N(I1399))</f>
        <v/>
      </c>
      <c r="K1399" s="45" t="n"/>
      <c r="L1399" s="47" t="n"/>
      <c r="M1399" s="48" t="n"/>
      <c r="N1399" s="49" t="n"/>
      <c r="O1399" s="50">
        <f>IF(M1399="","",ROUND(M1399*N1399,2))</f>
        <v/>
      </c>
      <c r="P1399" s="50">
        <f>IF(M1399="","",M1399+N(O1399))</f>
        <v/>
      </c>
      <c r="Q1399" s="45" t="n"/>
      <c r="R1399" s="45" t="n"/>
      <c r="S1399" s="51">
        <f>IF(L1399="","",IF(COUNTIF(L$6:L1399,L1399)&gt;1,"",SUMIF(L$6:L$2000,L1399,M$6:M$2000)-SUMIF(L$6:L$2000,L1399,G$6:G$2000)))</f>
        <v/>
      </c>
      <c r="T1399" s="46">
        <f>IF(AND(C1399="",G1399=""),"",IF(L1399="","Nog factureren",IF(AND(G1399&lt;&gt;"",OR(K1399="",K1399&gt;TODAY())),"Nog betalen",IF(OR(R1399="",R1399&gt;TODAY()),"Wacht op klant","Afgerond"))))</f>
        <v/>
      </c>
    </row>
    <row r="1400">
      <c r="A1400" s="45" t="n"/>
      <c r="B1400" s="46">
        <f>IF(A1400="","",YEAR(A1400)&amp;" Q"&amp;ROUNDUP(MONTH(A1400)/3,0))</f>
        <v/>
      </c>
      <c r="C1400" s="47" t="n"/>
      <c r="D1400" s="47" t="n"/>
      <c r="E1400" s="47" t="n"/>
      <c r="F1400" s="47" t="n"/>
      <c r="G1400" s="48" t="n"/>
      <c r="H1400" s="49" t="n"/>
      <c r="I1400" s="50">
        <f>IF(G1400="","",ROUND(G1400*H1400,2))</f>
        <v/>
      </c>
      <c r="J1400" s="50">
        <f>IF(G1400="","",G1400+N(I1400))</f>
        <v/>
      </c>
      <c r="K1400" s="45" t="n"/>
      <c r="L1400" s="47" t="n"/>
      <c r="M1400" s="48" t="n"/>
      <c r="N1400" s="49" t="n"/>
      <c r="O1400" s="50">
        <f>IF(M1400="","",ROUND(M1400*N1400,2))</f>
        <v/>
      </c>
      <c r="P1400" s="50">
        <f>IF(M1400="","",M1400+N(O1400))</f>
        <v/>
      </c>
      <c r="Q1400" s="45" t="n"/>
      <c r="R1400" s="45" t="n"/>
      <c r="S1400" s="51">
        <f>IF(L1400="","",IF(COUNTIF(L$6:L1400,L1400)&gt;1,"",SUMIF(L$6:L$2000,L1400,M$6:M$2000)-SUMIF(L$6:L$2000,L1400,G$6:G$2000)))</f>
        <v/>
      </c>
      <c r="T1400" s="46">
        <f>IF(AND(C1400="",G1400=""),"",IF(L1400="","Nog factureren",IF(AND(G1400&lt;&gt;"",OR(K1400="",K1400&gt;TODAY())),"Nog betalen",IF(OR(R1400="",R1400&gt;TODAY()),"Wacht op klant","Afgerond"))))</f>
        <v/>
      </c>
    </row>
    <row r="1401">
      <c r="A1401" s="45" t="n"/>
      <c r="B1401" s="46">
        <f>IF(A1401="","",YEAR(A1401)&amp;" Q"&amp;ROUNDUP(MONTH(A1401)/3,0))</f>
        <v/>
      </c>
      <c r="C1401" s="47" t="n"/>
      <c r="D1401" s="47" t="n"/>
      <c r="E1401" s="47" t="n"/>
      <c r="F1401" s="47" t="n"/>
      <c r="G1401" s="48" t="n"/>
      <c r="H1401" s="49" t="n"/>
      <c r="I1401" s="50">
        <f>IF(G1401="","",ROUND(G1401*H1401,2))</f>
        <v/>
      </c>
      <c r="J1401" s="50">
        <f>IF(G1401="","",G1401+N(I1401))</f>
        <v/>
      </c>
      <c r="K1401" s="45" t="n"/>
      <c r="L1401" s="47" t="n"/>
      <c r="M1401" s="48" t="n"/>
      <c r="N1401" s="49" t="n"/>
      <c r="O1401" s="50">
        <f>IF(M1401="","",ROUND(M1401*N1401,2))</f>
        <v/>
      </c>
      <c r="P1401" s="50">
        <f>IF(M1401="","",M1401+N(O1401))</f>
        <v/>
      </c>
      <c r="Q1401" s="45" t="n"/>
      <c r="R1401" s="45" t="n"/>
      <c r="S1401" s="51">
        <f>IF(L1401="","",IF(COUNTIF(L$6:L1401,L1401)&gt;1,"",SUMIF(L$6:L$2000,L1401,M$6:M$2000)-SUMIF(L$6:L$2000,L1401,G$6:G$2000)))</f>
        <v/>
      </c>
      <c r="T1401" s="46">
        <f>IF(AND(C1401="",G1401=""),"",IF(L1401="","Nog factureren",IF(AND(G1401&lt;&gt;"",OR(K1401="",K1401&gt;TODAY())),"Nog betalen",IF(OR(R1401="",R1401&gt;TODAY()),"Wacht op klant","Afgerond"))))</f>
        <v/>
      </c>
    </row>
    <row r="1402">
      <c r="A1402" s="45" t="n"/>
      <c r="B1402" s="46">
        <f>IF(A1402="","",YEAR(A1402)&amp;" Q"&amp;ROUNDUP(MONTH(A1402)/3,0))</f>
        <v/>
      </c>
      <c r="C1402" s="47" t="n"/>
      <c r="D1402" s="47" t="n"/>
      <c r="E1402" s="47" t="n"/>
      <c r="F1402" s="47" t="n"/>
      <c r="G1402" s="48" t="n"/>
      <c r="H1402" s="49" t="n"/>
      <c r="I1402" s="50">
        <f>IF(G1402="","",ROUND(G1402*H1402,2))</f>
        <v/>
      </c>
      <c r="J1402" s="50">
        <f>IF(G1402="","",G1402+N(I1402))</f>
        <v/>
      </c>
      <c r="K1402" s="45" t="n"/>
      <c r="L1402" s="47" t="n"/>
      <c r="M1402" s="48" t="n"/>
      <c r="N1402" s="49" t="n"/>
      <c r="O1402" s="50">
        <f>IF(M1402="","",ROUND(M1402*N1402,2))</f>
        <v/>
      </c>
      <c r="P1402" s="50">
        <f>IF(M1402="","",M1402+N(O1402))</f>
        <v/>
      </c>
      <c r="Q1402" s="45" t="n"/>
      <c r="R1402" s="45" t="n"/>
      <c r="S1402" s="51">
        <f>IF(L1402="","",IF(COUNTIF(L$6:L1402,L1402)&gt;1,"",SUMIF(L$6:L$2000,L1402,M$6:M$2000)-SUMIF(L$6:L$2000,L1402,G$6:G$2000)))</f>
        <v/>
      </c>
      <c r="T1402" s="46">
        <f>IF(AND(C1402="",G1402=""),"",IF(L1402="","Nog factureren",IF(AND(G1402&lt;&gt;"",OR(K1402="",K1402&gt;TODAY())),"Nog betalen",IF(OR(R1402="",R1402&gt;TODAY()),"Wacht op klant","Afgerond"))))</f>
        <v/>
      </c>
    </row>
    <row r="1403">
      <c r="A1403" s="45" t="n"/>
      <c r="B1403" s="46">
        <f>IF(A1403="","",YEAR(A1403)&amp;" Q"&amp;ROUNDUP(MONTH(A1403)/3,0))</f>
        <v/>
      </c>
      <c r="C1403" s="47" t="n"/>
      <c r="D1403" s="47" t="n"/>
      <c r="E1403" s="47" t="n"/>
      <c r="F1403" s="47" t="n"/>
      <c r="G1403" s="48" t="n"/>
      <c r="H1403" s="49" t="n"/>
      <c r="I1403" s="50">
        <f>IF(G1403="","",ROUND(G1403*H1403,2))</f>
        <v/>
      </c>
      <c r="J1403" s="50">
        <f>IF(G1403="","",G1403+N(I1403))</f>
        <v/>
      </c>
      <c r="K1403" s="45" t="n"/>
      <c r="L1403" s="47" t="n"/>
      <c r="M1403" s="48" t="n"/>
      <c r="N1403" s="49" t="n"/>
      <c r="O1403" s="50">
        <f>IF(M1403="","",ROUND(M1403*N1403,2))</f>
        <v/>
      </c>
      <c r="P1403" s="50">
        <f>IF(M1403="","",M1403+N(O1403))</f>
        <v/>
      </c>
      <c r="Q1403" s="45" t="n"/>
      <c r="R1403" s="45" t="n"/>
      <c r="S1403" s="51">
        <f>IF(L1403="","",IF(COUNTIF(L$6:L1403,L1403)&gt;1,"",SUMIF(L$6:L$2000,L1403,M$6:M$2000)-SUMIF(L$6:L$2000,L1403,G$6:G$2000)))</f>
        <v/>
      </c>
      <c r="T1403" s="46">
        <f>IF(AND(C1403="",G1403=""),"",IF(L1403="","Nog factureren",IF(AND(G1403&lt;&gt;"",OR(K1403="",K1403&gt;TODAY())),"Nog betalen",IF(OR(R1403="",R1403&gt;TODAY()),"Wacht op klant","Afgerond"))))</f>
        <v/>
      </c>
    </row>
    <row r="1404">
      <c r="A1404" s="45" t="n"/>
      <c r="B1404" s="46">
        <f>IF(A1404="","",YEAR(A1404)&amp;" Q"&amp;ROUNDUP(MONTH(A1404)/3,0))</f>
        <v/>
      </c>
      <c r="C1404" s="47" t="n"/>
      <c r="D1404" s="47" t="n"/>
      <c r="E1404" s="47" t="n"/>
      <c r="F1404" s="47" t="n"/>
      <c r="G1404" s="48" t="n"/>
      <c r="H1404" s="49" t="n"/>
      <c r="I1404" s="50">
        <f>IF(G1404="","",ROUND(G1404*H1404,2))</f>
        <v/>
      </c>
      <c r="J1404" s="50">
        <f>IF(G1404="","",G1404+N(I1404))</f>
        <v/>
      </c>
      <c r="K1404" s="45" t="n"/>
      <c r="L1404" s="47" t="n"/>
      <c r="M1404" s="48" t="n"/>
      <c r="N1404" s="49" t="n"/>
      <c r="O1404" s="50">
        <f>IF(M1404="","",ROUND(M1404*N1404,2))</f>
        <v/>
      </c>
      <c r="P1404" s="50">
        <f>IF(M1404="","",M1404+N(O1404))</f>
        <v/>
      </c>
      <c r="Q1404" s="45" t="n"/>
      <c r="R1404" s="45" t="n"/>
      <c r="S1404" s="51">
        <f>IF(L1404="","",IF(COUNTIF(L$6:L1404,L1404)&gt;1,"",SUMIF(L$6:L$2000,L1404,M$6:M$2000)-SUMIF(L$6:L$2000,L1404,G$6:G$2000)))</f>
        <v/>
      </c>
      <c r="T1404" s="46">
        <f>IF(AND(C1404="",G1404=""),"",IF(L1404="","Nog factureren",IF(AND(G1404&lt;&gt;"",OR(K1404="",K1404&gt;TODAY())),"Nog betalen",IF(OR(R1404="",R1404&gt;TODAY()),"Wacht op klant","Afgerond"))))</f>
        <v/>
      </c>
    </row>
    <row r="1405">
      <c r="A1405" s="45" t="n"/>
      <c r="B1405" s="46">
        <f>IF(A1405="","",YEAR(A1405)&amp;" Q"&amp;ROUNDUP(MONTH(A1405)/3,0))</f>
        <v/>
      </c>
      <c r="C1405" s="47" t="n"/>
      <c r="D1405" s="47" t="n"/>
      <c r="E1405" s="47" t="n"/>
      <c r="F1405" s="47" t="n"/>
      <c r="G1405" s="48" t="n"/>
      <c r="H1405" s="49" t="n"/>
      <c r="I1405" s="50">
        <f>IF(G1405="","",ROUND(G1405*H1405,2))</f>
        <v/>
      </c>
      <c r="J1405" s="50">
        <f>IF(G1405="","",G1405+N(I1405))</f>
        <v/>
      </c>
      <c r="K1405" s="45" t="n"/>
      <c r="L1405" s="47" t="n"/>
      <c r="M1405" s="48" t="n"/>
      <c r="N1405" s="49" t="n"/>
      <c r="O1405" s="50">
        <f>IF(M1405="","",ROUND(M1405*N1405,2))</f>
        <v/>
      </c>
      <c r="P1405" s="50">
        <f>IF(M1405="","",M1405+N(O1405))</f>
        <v/>
      </c>
      <c r="Q1405" s="45" t="n"/>
      <c r="R1405" s="45" t="n"/>
      <c r="S1405" s="51">
        <f>IF(L1405="","",IF(COUNTIF(L$6:L1405,L1405)&gt;1,"",SUMIF(L$6:L$2000,L1405,M$6:M$2000)-SUMIF(L$6:L$2000,L1405,G$6:G$2000)))</f>
        <v/>
      </c>
      <c r="T1405" s="46">
        <f>IF(AND(C1405="",G1405=""),"",IF(L1405="","Nog factureren",IF(AND(G1405&lt;&gt;"",OR(K1405="",K1405&gt;TODAY())),"Nog betalen",IF(OR(R1405="",R1405&gt;TODAY()),"Wacht op klant","Afgerond"))))</f>
        <v/>
      </c>
    </row>
    <row r="1406">
      <c r="A1406" s="45" t="n"/>
      <c r="B1406" s="46">
        <f>IF(A1406="","",YEAR(A1406)&amp;" Q"&amp;ROUNDUP(MONTH(A1406)/3,0))</f>
        <v/>
      </c>
      <c r="C1406" s="47" t="n"/>
      <c r="D1406" s="47" t="n"/>
      <c r="E1406" s="47" t="n"/>
      <c r="F1406" s="47" t="n"/>
      <c r="G1406" s="48" t="n"/>
      <c r="H1406" s="49" t="n"/>
      <c r="I1406" s="50">
        <f>IF(G1406="","",ROUND(G1406*H1406,2))</f>
        <v/>
      </c>
      <c r="J1406" s="50">
        <f>IF(G1406="","",G1406+N(I1406))</f>
        <v/>
      </c>
      <c r="K1406" s="45" t="n"/>
      <c r="L1406" s="47" t="n"/>
      <c r="M1406" s="48" t="n"/>
      <c r="N1406" s="49" t="n"/>
      <c r="O1406" s="50">
        <f>IF(M1406="","",ROUND(M1406*N1406,2))</f>
        <v/>
      </c>
      <c r="P1406" s="50">
        <f>IF(M1406="","",M1406+N(O1406))</f>
        <v/>
      </c>
      <c r="Q1406" s="45" t="n"/>
      <c r="R1406" s="45" t="n"/>
      <c r="S1406" s="51">
        <f>IF(L1406="","",IF(COUNTIF(L$6:L1406,L1406)&gt;1,"",SUMIF(L$6:L$2000,L1406,M$6:M$2000)-SUMIF(L$6:L$2000,L1406,G$6:G$2000)))</f>
        <v/>
      </c>
      <c r="T1406" s="46">
        <f>IF(AND(C1406="",G1406=""),"",IF(L1406="","Nog factureren",IF(AND(G1406&lt;&gt;"",OR(K1406="",K1406&gt;TODAY())),"Nog betalen",IF(OR(R1406="",R1406&gt;TODAY()),"Wacht op klant","Afgerond"))))</f>
        <v/>
      </c>
    </row>
    <row r="1407">
      <c r="A1407" s="45" t="n"/>
      <c r="B1407" s="46">
        <f>IF(A1407="","",YEAR(A1407)&amp;" Q"&amp;ROUNDUP(MONTH(A1407)/3,0))</f>
        <v/>
      </c>
      <c r="C1407" s="47" t="n"/>
      <c r="D1407" s="47" t="n"/>
      <c r="E1407" s="47" t="n"/>
      <c r="F1407" s="47" t="n"/>
      <c r="G1407" s="48" t="n"/>
      <c r="H1407" s="49" t="n"/>
      <c r="I1407" s="50">
        <f>IF(G1407="","",ROUND(G1407*H1407,2))</f>
        <v/>
      </c>
      <c r="J1407" s="50">
        <f>IF(G1407="","",G1407+N(I1407))</f>
        <v/>
      </c>
      <c r="K1407" s="45" t="n"/>
      <c r="L1407" s="47" t="n"/>
      <c r="M1407" s="48" t="n"/>
      <c r="N1407" s="49" t="n"/>
      <c r="O1407" s="50">
        <f>IF(M1407="","",ROUND(M1407*N1407,2))</f>
        <v/>
      </c>
      <c r="P1407" s="50">
        <f>IF(M1407="","",M1407+N(O1407))</f>
        <v/>
      </c>
      <c r="Q1407" s="45" t="n"/>
      <c r="R1407" s="45" t="n"/>
      <c r="S1407" s="51">
        <f>IF(L1407="","",IF(COUNTIF(L$6:L1407,L1407)&gt;1,"",SUMIF(L$6:L$2000,L1407,M$6:M$2000)-SUMIF(L$6:L$2000,L1407,G$6:G$2000)))</f>
        <v/>
      </c>
      <c r="T1407" s="46">
        <f>IF(AND(C1407="",G1407=""),"",IF(L1407="","Nog factureren",IF(AND(G1407&lt;&gt;"",OR(K1407="",K1407&gt;TODAY())),"Nog betalen",IF(OR(R1407="",R1407&gt;TODAY()),"Wacht op klant","Afgerond"))))</f>
        <v/>
      </c>
    </row>
    <row r="1408">
      <c r="A1408" s="45" t="n"/>
      <c r="B1408" s="46">
        <f>IF(A1408="","",YEAR(A1408)&amp;" Q"&amp;ROUNDUP(MONTH(A1408)/3,0))</f>
        <v/>
      </c>
      <c r="C1408" s="47" t="n"/>
      <c r="D1408" s="47" t="n"/>
      <c r="E1408" s="47" t="n"/>
      <c r="F1408" s="47" t="n"/>
      <c r="G1408" s="48" t="n"/>
      <c r="H1408" s="49" t="n"/>
      <c r="I1408" s="50">
        <f>IF(G1408="","",ROUND(G1408*H1408,2))</f>
        <v/>
      </c>
      <c r="J1408" s="50">
        <f>IF(G1408="","",G1408+N(I1408))</f>
        <v/>
      </c>
      <c r="K1408" s="45" t="n"/>
      <c r="L1408" s="47" t="n"/>
      <c r="M1408" s="48" t="n"/>
      <c r="N1408" s="49" t="n"/>
      <c r="O1408" s="50">
        <f>IF(M1408="","",ROUND(M1408*N1408,2))</f>
        <v/>
      </c>
      <c r="P1408" s="50">
        <f>IF(M1408="","",M1408+N(O1408))</f>
        <v/>
      </c>
      <c r="Q1408" s="45" t="n"/>
      <c r="R1408" s="45" t="n"/>
      <c r="S1408" s="51">
        <f>IF(L1408="","",IF(COUNTIF(L$6:L1408,L1408)&gt;1,"",SUMIF(L$6:L$2000,L1408,M$6:M$2000)-SUMIF(L$6:L$2000,L1408,G$6:G$2000)))</f>
        <v/>
      </c>
      <c r="T1408" s="46">
        <f>IF(AND(C1408="",G1408=""),"",IF(L1408="","Nog factureren",IF(AND(G1408&lt;&gt;"",OR(K1408="",K1408&gt;TODAY())),"Nog betalen",IF(OR(R1408="",R1408&gt;TODAY()),"Wacht op klant","Afgerond"))))</f>
        <v/>
      </c>
    </row>
    <row r="1409">
      <c r="A1409" s="45" t="n"/>
      <c r="B1409" s="46">
        <f>IF(A1409="","",YEAR(A1409)&amp;" Q"&amp;ROUNDUP(MONTH(A1409)/3,0))</f>
        <v/>
      </c>
      <c r="C1409" s="47" t="n"/>
      <c r="D1409" s="47" t="n"/>
      <c r="E1409" s="47" t="n"/>
      <c r="F1409" s="47" t="n"/>
      <c r="G1409" s="48" t="n"/>
      <c r="H1409" s="49" t="n"/>
      <c r="I1409" s="50">
        <f>IF(G1409="","",ROUND(G1409*H1409,2))</f>
        <v/>
      </c>
      <c r="J1409" s="50">
        <f>IF(G1409="","",G1409+N(I1409))</f>
        <v/>
      </c>
      <c r="K1409" s="45" t="n"/>
      <c r="L1409" s="47" t="n"/>
      <c r="M1409" s="48" t="n"/>
      <c r="N1409" s="49" t="n"/>
      <c r="O1409" s="50">
        <f>IF(M1409="","",ROUND(M1409*N1409,2))</f>
        <v/>
      </c>
      <c r="P1409" s="50">
        <f>IF(M1409="","",M1409+N(O1409))</f>
        <v/>
      </c>
      <c r="Q1409" s="45" t="n"/>
      <c r="R1409" s="45" t="n"/>
      <c r="S1409" s="51">
        <f>IF(L1409="","",IF(COUNTIF(L$6:L1409,L1409)&gt;1,"",SUMIF(L$6:L$2000,L1409,M$6:M$2000)-SUMIF(L$6:L$2000,L1409,G$6:G$2000)))</f>
        <v/>
      </c>
      <c r="T1409" s="46">
        <f>IF(AND(C1409="",G1409=""),"",IF(L1409="","Nog factureren",IF(AND(G1409&lt;&gt;"",OR(K1409="",K1409&gt;TODAY())),"Nog betalen",IF(OR(R1409="",R1409&gt;TODAY()),"Wacht op klant","Afgerond"))))</f>
        <v/>
      </c>
    </row>
    <row r="1410">
      <c r="A1410" s="45" t="n"/>
      <c r="B1410" s="46">
        <f>IF(A1410="","",YEAR(A1410)&amp;" Q"&amp;ROUNDUP(MONTH(A1410)/3,0))</f>
        <v/>
      </c>
      <c r="C1410" s="47" t="n"/>
      <c r="D1410" s="47" t="n"/>
      <c r="E1410" s="47" t="n"/>
      <c r="F1410" s="47" t="n"/>
      <c r="G1410" s="48" t="n"/>
      <c r="H1410" s="49" t="n"/>
      <c r="I1410" s="50">
        <f>IF(G1410="","",ROUND(G1410*H1410,2))</f>
        <v/>
      </c>
      <c r="J1410" s="50">
        <f>IF(G1410="","",G1410+N(I1410))</f>
        <v/>
      </c>
      <c r="K1410" s="45" t="n"/>
      <c r="L1410" s="47" t="n"/>
      <c r="M1410" s="48" t="n"/>
      <c r="N1410" s="49" t="n"/>
      <c r="O1410" s="50">
        <f>IF(M1410="","",ROUND(M1410*N1410,2))</f>
        <v/>
      </c>
      <c r="P1410" s="50">
        <f>IF(M1410="","",M1410+N(O1410))</f>
        <v/>
      </c>
      <c r="Q1410" s="45" t="n"/>
      <c r="R1410" s="45" t="n"/>
      <c r="S1410" s="51">
        <f>IF(L1410="","",IF(COUNTIF(L$6:L1410,L1410)&gt;1,"",SUMIF(L$6:L$2000,L1410,M$6:M$2000)-SUMIF(L$6:L$2000,L1410,G$6:G$2000)))</f>
        <v/>
      </c>
      <c r="T1410" s="46">
        <f>IF(AND(C1410="",G1410=""),"",IF(L1410="","Nog factureren",IF(AND(G1410&lt;&gt;"",OR(K1410="",K1410&gt;TODAY())),"Nog betalen",IF(OR(R1410="",R1410&gt;TODAY()),"Wacht op klant","Afgerond"))))</f>
        <v/>
      </c>
    </row>
    <row r="1411">
      <c r="A1411" s="45" t="n"/>
      <c r="B1411" s="46">
        <f>IF(A1411="","",YEAR(A1411)&amp;" Q"&amp;ROUNDUP(MONTH(A1411)/3,0))</f>
        <v/>
      </c>
      <c r="C1411" s="47" t="n"/>
      <c r="D1411" s="47" t="n"/>
      <c r="E1411" s="47" t="n"/>
      <c r="F1411" s="47" t="n"/>
      <c r="G1411" s="48" t="n"/>
      <c r="H1411" s="49" t="n"/>
      <c r="I1411" s="50">
        <f>IF(G1411="","",ROUND(G1411*H1411,2))</f>
        <v/>
      </c>
      <c r="J1411" s="50">
        <f>IF(G1411="","",G1411+N(I1411))</f>
        <v/>
      </c>
      <c r="K1411" s="45" t="n"/>
      <c r="L1411" s="47" t="n"/>
      <c r="M1411" s="48" t="n"/>
      <c r="N1411" s="49" t="n"/>
      <c r="O1411" s="50">
        <f>IF(M1411="","",ROUND(M1411*N1411,2))</f>
        <v/>
      </c>
      <c r="P1411" s="50">
        <f>IF(M1411="","",M1411+N(O1411))</f>
        <v/>
      </c>
      <c r="Q1411" s="45" t="n"/>
      <c r="R1411" s="45" t="n"/>
      <c r="S1411" s="51">
        <f>IF(L1411="","",IF(COUNTIF(L$6:L1411,L1411)&gt;1,"",SUMIF(L$6:L$2000,L1411,M$6:M$2000)-SUMIF(L$6:L$2000,L1411,G$6:G$2000)))</f>
        <v/>
      </c>
      <c r="T1411" s="46">
        <f>IF(AND(C1411="",G1411=""),"",IF(L1411="","Nog factureren",IF(AND(G1411&lt;&gt;"",OR(K1411="",K1411&gt;TODAY())),"Nog betalen",IF(OR(R1411="",R1411&gt;TODAY()),"Wacht op klant","Afgerond"))))</f>
        <v/>
      </c>
    </row>
    <row r="1412">
      <c r="A1412" s="45" t="n"/>
      <c r="B1412" s="46">
        <f>IF(A1412="","",YEAR(A1412)&amp;" Q"&amp;ROUNDUP(MONTH(A1412)/3,0))</f>
        <v/>
      </c>
      <c r="C1412" s="47" t="n"/>
      <c r="D1412" s="47" t="n"/>
      <c r="E1412" s="47" t="n"/>
      <c r="F1412" s="47" t="n"/>
      <c r="G1412" s="48" t="n"/>
      <c r="H1412" s="49" t="n"/>
      <c r="I1412" s="50">
        <f>IF(G1412="","",ROUND(G1412*H1412,2))</f>
        <v/>
      </c>
      <c r="J1412" s="50">
        <f>IF(G1412="","",G1412+N(I1412))</f>
        <v/>
      </c>
      <c r="K1412" s="45" t="n"/>
      <c r="L1412" s="47" t="n"/>
      <c r="M1412" s="48" t="n"/>
      <c r="N1412" s="49" t="n"/>
      <c r="O1412" s="50">
        <f>IF(M1412="","",ROUND(M1412*N1412,2))</f>
        <v/>
      </c>
      <c r="P1412" s="50">
        <f>IF(M1412="","",M1412+N(O1412))</f>
        <v/>
      </c>
      <c r="Q1412" s="45" t="n"/>
      <c r="R1412" s="45" t="n"/>
      <c r="S1412" s="51">
        <f>IF(L1412="","",IF(COUNTIF(L$6:L1412,L1412)&gt;1,"",SUMIF(L$6:L$2000,L1412,M$6:M$2000)-SUMIF(L$6:L$2000,L1412,G$6:G$2000)))</f>
        <v/>
      </c>
      <c r="T1412" s="46">
        <f>IF(AND(C1412="",G1412=""),"",IF(L1412="","Nog factureren",IF(AND(G1412&lt;&gt;"",OR(K1412="",K1412&gt;TODAY())),"Nog betalen",IF(OR(R1412="",R1412&gt;TODAY()),"Wacht op klant","Afgerond"))))</f>
        <v/>
      </c>
    </row>
    <row r="1413">
      <c r="A1413" s="45" t="n"/>
      <c r="B1413" s="46">
        <f>IF(A1413="","",YEAR(A1413)&amp;" Q"&amp;ROUNDUP(MONTH(A1413)/3,0))</f>
        <v/>
      </c>
      <c r="C1413" s="47" t="n"/>
      <c r="D1413" s="47" t="n"/>
      <c r="E1413" s="47" t="n"/>
      <c r="F1413" s="47" t="n"/>
      <c r="G1413" s="48" t="n"/>
      <c r="H1413" s="49" t="n"/>
      <c r="I1413" s="50">
        <f>IF(G1413="","",ROUND(G1413*H1413,2))</f>
        <v/>
      </c>
      <c r="J1413" s="50">
        <f>IF(G1413="","",G1413+N(I1413))</f>
        <v/>
      </c>
      <c r="K1413" s="45" t="n"/>
      <c r="L1413" s="47" t="n"/>
      <c r="M1413" s="48" t="n"/>
      <c r="N1413" s="49" t="n"/>
      <c r="O1413" s="50">
        <f>IF(M1413="","",ROUND(M1413*N1413,2))</f>
        <v/>
      </c>
      <c r="P1413" s="50">
        <f>IF(M1413="","",M1413+N(O1413))</f>
        <v/>
      </c>
      <c r="Q1413" s="45" t="n"/>
      <c r="R1413" s="45" t="n"/>
      <c r="S1413" s="51">
        <f>IF(L1413="","",IF(COUNTIF(L$6:L1413,L1413)&gt;1,"",SUMIF(L$6:L$2000,L1413,M$6:M$2000)-SUMIF(L$6:L$2000,L1413,G$6:G$2000)))</f>
        <v/>
      </c>
      <c r="T1413" s="46">
        <f>IF(AND(C1413="",G1413=""),"",IF(L1413="","Nog factureren",IF(AND(G1413&lt;&gt;"",OR(K1413="",K1413&gt;TODAY())),"Nog betalen",IF(OR(R1413="",R1413&gt;TODAY()),"Wacht op klant","Afgerond"))))</f>
        <v/>
      </c>
    </row>
    <row r="1414">
      <c r="A1414" s="45" t="n"/>
      <c r="B1414" s="46">
        <f>IF(A1414="","",YEAR(A1414)&amp;" Q"&amp;ROUNDUP(MONTH(A1414)/3,0))</f>
        <v/>
      </c>
      <c r="C1414" s="47" t="n"/>
      <c r="D1414" s="47" t="n"/>
      <c r="E1414" s="47" t="n"/>
      <c r="F1414" s="47" t="n"/>
      <c r="G1414" s="48" t="n"/>
      <c r="H1414" s="49" t="n"/>
      <c r="I1414" s="50">
        <f>IF(G1414="","",ROUND(G1414*H1414,2))</f>
        <v/>
      </c>
      <c r="J1414" s="50">
        <f>IF(G1414="","",G1414+N(I1414))</f>
        <v/>
      </c>
      <c r="K1414" s="45" t="n"/>
      <c r="L1414" s="47" t="n"/>
      <c r="M1414" s="48" t="n"/>
      <c r="N1414" s="49" t="n"/>
      <c r="O1414" s="50">
        <f>IF(M1414="","",ROUND(M1414*N1414,2))</f>
        <v/>
      </c>
      <c r="P1414" s="50">
        <f>IF(M1414="","",M1414+N(O1414))</f>
        <v/>
      </c>
      <c r="Q1414" s="45" t="n"/>
      <c r="R1414" s="45" t="n"/>
      <c r="S1414" s="51">
        <f>IF(L1414="","",IF(COUNTIF(L$6:L1414,L1414)&gt;1,"",SUMIF(L$6:L$2000,L1414,M$6:M$2000)-SUMIF(L$6:L$2000,L1414,G$6:G$2000)))</f>
        <v/>
      </c>
      <c r="T1414" s="46">
        <f>IF(AND(C1414="",G1414=""),"",IF(L1414="","Nog factureren",IF(AND(G1414&lt;&gt;"",OR(K1414="",K1414&gt;TODAY())),"Nog betalen",IF(OR(R1414="",R1414&gt;TODAY()),"Wacht op klant","Afgerond"))))</f>
        <v/>
      </c>
    </row>
    <row r="1415">
      <c r="A1415" s="45" t="n"/>
      <c r="B1415" s="46">
        <f>IF(A1415="","",YEAR(A1415)&amp;" Q"&amp;ROUNDUP(MONTH(A1415)/3,0))</f>
        <v/>
      </c>
      <c r="C1415" s="47" t="n"/>
      <c r="D1415" s="47" t="n"/>
      <c r="E1415" s="47" t="n"/>
      <c r="F1415" s="47" t="n"/>
      <c r="G1415" s="48" t="n"/>
      <c r="H1415" s="49" t="n"/>
      <c r="I1415" s="50">
        <f>IF(G1415="","",ROUND(G1415*H1415,2))</f>
        <v/>
      </c>
      <c r="J1415" s="50">
        <f>IF(G1415="","",G1415+N(I1415))</f>
        <v/>
      </c>
      <c r="K1415" s="45" t="n"/>
      <c r="L1415" s="47" t="n"/>
      <c r="M1415" s="48" t="n"/>
      <c r="N1415" s="49" t="n"/>
      <c r="O1415" s="50">
        <f>IF(M1415="","",ROUND(M1415*N1415,2))</f>
        <v/>
      </c>
      <c r="P1415" s="50">
        <f>IF(M1415="","",M1415+N(O1415))</f>
        <v/>
      </c>
      <c r="Q1415" s="45" t="n"/>
      <c r="R1415" s="45" t="n"/>
      <c r="S1415" s="51">
        <f>IF(L1415="","",IF(COUNTIF(L$6:L1415,L1415)&gt;1,"",SUMIF(L$6:L$2000,L1415,M$6:M$2000)-SUMIF(L$6:L$2000,L1415,G$6:G$2000)))</f>
        <v/>
      </c>
      <c r="T1415" s="46">
        <f>IF(AND(C1415="",G1415=""),"",IF(L1415="","Nog factureren",IF(AND(G1415&lt;&gt;"",OR(K1415="",K1415&gt;TODAY())),"Nog betalen",IF(OR(R1415="",R1415&gt;TODAY()),"Wacht op klant","Afgerond"))))</f>
        <v/>
      </c>
    </row>
    <row r="1416">
      <c r="A1416" s="45" t="n"/>
      <c r="B1416" s="46">
        <f>IF(A1416="","",YEAR(A1416)&amp;" Q"&amp;ROUNDUP(MONTH(A1416)/3,0))</f>
        <v/>
      </c>
      <c r="C1416" s="47" t="n"/>
      <c r="D1416" s="47" t="n"/>
      <c r="E1416" s="47" t="n"/>
      <c r="F1416" s="47" t="n"/>
      <c r="G1416" s="48" t="n"/>
      <c r="H1416" s="49" t="n"/>
      <c r="I1416" s="50">
        <f>IF(G1416="","",ROUND(G1416*H1416,2))</f>
        <v/>
      </c>
      <c r="J1416" s="50">
        <f>IF(G1416="","",G1416+N(I1416))</f>
        <v/>
      </c>
      <c r="K1416" s="45" t="n"/>
      <c r="L1416" s="47" t="n"/>
      <c r="M1416" s="48" t="n"/>
      <c r="N1416" s="49" t="n"/>
      <c r="O1416" s="50">
        <f>IF(M1416="","",ROUND(M1416*N1416,2))</f>
        <v/>
      </c>
      <c r="P1416" s="50">
        <f>IF(M1416="","",M1416+N(O1416))</f>
        <v/>
      </c>
      <c r="Q1416" s="45" t="n"/>
      <c r="R1416" s="45" t="n"/>
      <c r="S1416" s="51">
        <f>IF(L1416="","",IF(COUNTIF(L$6:L1416,L1416)&gt;1,"",SUMIF(L$6:L$2000,L1416,M$6:M$2000)-SUMIF(L$6:L$2000,L1416,G$6:G$2000)))</f>
        <v/>
      </c>
      <c r="T1416" s="46">
        <f>IF(AND(C1416="",G1416=""),"",IF(L1416="","Nog factureren",IF(AND(G1416&lt;&gt;"",OR(K1416="",K1416&gt;TODAY())),"Nog betalen",IF(OR(R1416="",R1416&gt;TODAY()),"Wacht op klant","Afgerond"))))</f>
        <v/>
      </c>
    </row>
    <row r="1417">
      <c r="A1417" s="45" t="n"/>
      <c r="B1417" s="46">
        <f>IF(A1417="","",YEAR(A1417)&amp;" Q"&amp;ROUNDUP(MONTH(A1417)/3,0))</f>
        <v/>
      </c>
      <c r="C1417" s="47" t="n"/>
      <c r="D1417" s="47" t="n"/>
      <c r="E1417" s="47" t="n"/>
      <c r="F1417" s="47" t="n"/>
      <c r="G1417" s="48" t="n"/>
      <c r="H1417" s="49" t="n"/>
      <c r="I1417" s="50">
        <f>IF(G1417="","",ROUND(G1417*H1417,2))</f>
        <v/>
      </c>
      <c r="J1417" s="50">
        <f>IF(G1417="","",G1417+N(I1417))</f>
        <v/>
      </c>
      <c r="K1417" s="45" t="n"/>
      <c r="L1417" s="47" t="n"/>
      <c r="M1417" s="48" t="n"/>
      <c r="N1417" s="49" t="n"/>
      <c r="O1417" s="50">
        <f>IF(M1417="","",ROUND(M1417*N1417,2))</f>
        <v/>
      </c>
      <c r="P1417" s="50">
        <f>IF(M1417="","",M1417+N(O1417))</f>
        <v/>
      </c>
      <c r="Q1417" s="45" t="n"/>
      <c r="R1417" s="45" t="n"/>
      <c r="S1417" s="51">
        <f>IF(L1417="","",IF(COUNTIF(L$6:L1417,L1417)&gt;1,"",SUMIF(L$6:L$2000,L1417,M$6:M$2000)-SUMIF(L$6:L$2000,L1417,G$6:G$2000)))</f>
        <v/>
      </c>
      <c r="T1417" s="46">
        <f>IF(AND(C1417="",G1417=""),"",IF(L1417="","Nog factureren",IF(AND(G1417&lt;&gt;"",OR(K1417="",K1417&gt;TODAY())),"Nog betalen",IF(OR(R1417="",R1417&gt;TODAY()),"Wacht op klant","Afgerond"))))</f>
        <v/>
      </c>
    </row>
    <row r="1418">
      <c r="A1418" s="45" t="n"/>
      <c r="B1418" s="46">
        <f>IF(A1418="","",YEAR(A1418)&amp;" Q"&amp;ROUNDUP(MONTH(A1418)/3,0))</f>
        <v/>
      </c>
      <c r="C1418" s="47" t="n"/>
      <c r="D1418" s="47" t="n"/>
      <c r="E1418" s="47" t="n"/>
      <c r="F1418" s="47" t="n"/>
      <c r="G1418" s="48" t="n"/>
      <c r="H1418" s="49" t="n"/>
      <c r="I1418" s="50">
        <f>IF(G1418="","",ROUND(G1418*H1418,2))</f>
        <v/>
      </c>
      <c r="J1418" s="50">
        <f>IF(G1418="","",G1418+N(I1418))</f>
        <v/>
      </c>
      <c r="K1418" s="45" t="n"/>
      <c r="L1418" s="47" t="n"/>
      <c r="M1418" s="48" t="n"/>
      <c r="N1418" s="49" t="n"/>
      <c r="O1418" s="50">
        <f>IF(M1418="","",ROUND(M1418*N1418,2))</f>
        <v/>
      </c>
      <c r="P1418" s="50">
        <f>IF(M1418="","",M1418+N(O1418))</f>
        <v/>
      </c>
      <c r="Q1418" s="45" t="n"/>
      <c r="R1418" s="45" t="n"/>
      <c r="S1418" s="51">
        <f>IF(L1418="","",IF(COUNTIF(L$6:L1418,L1418)&gt;1,"",SUMIF(L$6:L$2000,L1418,M$6:M$2000)-SUMIF(L$6:L$2000,L1418,G$6:G$2000)))</f>
        <v/>
      </c>
      <c r="T1418" s="46">
        <f>IF(AND(C1418="",G1418=""),"",IF(L1418="","Nog factureren",IF(AND(G1418&lt;&gt;"",OR(K1418="",K1418&gt;TODAY())),"Nog betalen",IF(OR(R1418="",R1418&gt;TODAY()),"Wacht op klant","Afgerond"))))</f>
        <v/>
      </c>
    </row>
    <row r="1419">
      <c r="A1419" s="45" t="n"/>
      <c r="B1419" s="46">
        <f>IF(A1419="","",YEAR(A1419)&amp;" Q"&amp;ROUNDUP(MONTH(A1419)/3,0))</f>
        <v/>
      </c>
      <c r="C1419" s="47" t="n"/>
      <c r="D1419" s="47" t="n"/>
      <c r="E1419" s="47" t="n"/>
      <c r="F1419" s="47" t="n"/>
      <c r="G1419" s="48" t="n"/>
      <c r="H1419" s="49" t="n"/>
      <c r="I1419" s="50">
        <f>IF(G1419="","",ROUND(G1419*H1419,2))</f>
        <v/>
      </c>
      <c r="J1419" s="50">
        <f>IF(G1419="","",G1419+N(I1419))</f>
        <v/>
      </c>
      <c r="K1419" s="45" t="n"/>
      <c r="L1419" s="47" t="n"/>
      <c r="M1419" s="48" t="n"/>
      <c r="N1419" s="49" t="n"/>
      <c r="O1419" s="50">
        <f>IF(M1419="","",ROUND(M1419*N1419,2))</f>
        <v/>
      </c>
      <c r="P1419" s="50">
        <f>IF(M1419="","",M1419+N(O1419))</f>
        <v/>
      </c>
      <c r="Q1419" s="45" t="n"/>
      <c r="R1419" s="45" t="n"/>
      <c r="S1419" s="51">
        <f>IF(L1419="","",IF(COUNTIF(L$6:L1419,L1419)&gt;1,"",SUMIF(L$6:L$2000,L1419,M$6:M$2000)-SUMIF(L$6:L$2000,L1419,G$6:G$2000)))</f>
        <v/>
      </c>
      <c r="T1419" s="46">
        <f>IF(AND(C1419="",G1419=""),"",IF(L1419="","Nog factureren",IF(AND(G1419&lt;&gt;"",OR(K1419="",K1419&gt;TODAY())),"Nog betalen",IF(OR(R1419="",R1419&gt;TODAY()),"Wacht op klant","Afgerond"))))</f>
        <v/>
      </c>
    </row>
    <row r="1420">
      <c r="A1420" s="45" t="n"/>
      <c r="B1420" s="46">
        <f>IF(A1420="","",YEAR(A1420)&amp;" Q"&amp;ROUNDUP(MONTH(A1420)/3,0))</f>
        <v/>
      </c>
      <c r="C1420" s="47" t="n"/>
      <c r="D1420" s="47" t="n"/>
      <c r="E1420" s="47" t="n"/>
      <c r="F1420" s="47" t="n"/>
      <c r="G1420" s="48" t="n"/>
      <c r="H1420" s="49" t="n"/>
      <c r="I1420" s="50">
        <f>IF(G1420="","",ROUND(G1420*H1420,2))</f>
        <v/>
      </c>
      <c r="J1420" s="50">
        <f>IF(G1420="","",G1420+N(I1420))</f>
        <v/>
      </c>
      <c r="K1420" s="45" t="n"/>
      <c r="L1420" s="47" t="n"/>
      <c r="M1420" s="48" t="n"/>
      <c r="N1420" s="49" t="n"/>
      <c r="O1420" s="50">
        <f>IF(M1420="","",ROUND(M1420*N1420,2))</f>
        <v/>
      </c>
      <c r="P1420" s="50">
        <f>IF(M1420="","",M1420+N(O1420))</f>
        <v/>
      </c>
      <c r="Q1420" s="45" t="n"/>
      <c r="R1420" s="45" t="n"/>
      <c r="S1420" s="51">
        <f>IF(L1420="","",IF(COUNTIF(L$6:L1420,L1420)&gt;1,"",SUMIF(L$6:L$2000,L1420,M$6:M$2000)-SUMIF(L$6:L$2000,L1420,G$6:G$2000)))</f>
        <v/>
      </c>
      <c r="T1420" s="46">
        <f>IF(AND(C1420="",G1420=""),"",IF(L1420="","Nog factureren",IF(AND(G1420&lt;&gt;"",OR(K1420="",K1420&gt;TODAY())),"Nog betalen",IF(OR(R1420="",R1420&gt;TODAY()),"Wacht op klant","Afgerond"))))</f>
        <v/>
      </c>
    </row>
    <row r="1421">
      <c r="A1421" s="45" t="n"/>
      <c r="B1421" s="46">
        <f>IF(A1421="","",YEAR(A1421)&amp;" Q"&amp;ROUNDUP(MONTH(A1421)/3,0))</f>
        <v/>
      </c>
      <c r="C1421" s="47" t="n"/>
      <c r="D1421" s="47" t="n"/>
      <c r="E1421" s="47" t="n"/>
      <c r="F1421" s="47" t="n"/>
      <c r="G1421" s="48" t="n"/>
      <c r="H1421" s="49" t="n"/>
      <c r="I1421" s="50">
        <f>IF(G1421="","",ROUND(G1421*H1421,2))</f>
        <v/>
      </c>
      <c r="J1421" s="50">
        <f>IF(G1421="","",G1421+N(I1421))</f>
        <v/>
      </c>
      <c r="K1421" s="45" t="n"/>
      <c r="L1421" s="47" t="n"/>
      <c r="M1421" s="48" t="n"/>
      <c r="N1421" s="49" t="n"/>
      <c r="O1421" s="50">
        <f>IF(M1421="","",ROUND(M1421*N1421,2))</f>
        <v/>
      </c>
      <c r="P1421" s="50">
        <f>IF(M1421="","",M1421+N(O1421))</f>
        <v/>
      </c>
      <c r="Q1421" s="45" t="n"/>
      <c r="R1421" s="45" t="n"/>
      <c r="S1421" s="51">
        <f>IF(L1421="","",IF(COUNTIF(L$6:L1421,L1421)&gt;1,"",SUMIF(L$6:L$2000,L1421,M$6:M$2000)-SUMIF(L$6:L$2000,L1421,G$6:G$2000)))</f>
        <v/>
      </c>
      <c r="T1421" s="46">
        <f>IF(AND(C1421="",G1421=""),"",IF(L1421="","Nog factureren",IF(AND(G1421&lt;&gt;"",OR(K1421="",K1421&gt;TODAY())),"Nog betalen",IF(OR(R1421="",R1421&gt;TODAY()),"Wacht op klant","Afgerond"))))</f>
        <v/>
      </c>
    </row>
    <row r="1422">
      <c r="A1422" s="45" t="n"/>
      <c r="B1422" s="46">
        <f>IF(A1422="","",YEAR(A1422)&amp;" Q"&amp;ROUNDUP(MONTH(A1422)/3,0))</f>
        <v/>
      </c>
      <c r="C1422" s="47" t="n"/>
      <c r="D1422" s="47" t="n"/>
      <c r="E1422" s="47" t="n"/>
      <c r="F1422" s="47" t="n"/>
      <c r="G1422" s="48" t="n"/>
      <c r="H1422" s="49" t="n"/>
      <c r="I1422" s="50">
        <f>IF(G1422="","",ROUND(G1422*H1422,2))</f>
        <v/>
      </c>
      <c r="J1422" s="50">
        <f>IF(G1422="","",G1422+N(I1422))</f>
        <v/>
      </c>
      <c r="K1422" s="45" t="n"/>
      <c r="L1422" s="47" t="n"/>
      <c r="M1422" s="48" t="n"/>
      <c r="N1422" s="49" t="n"/>
      <c r="O1422" s="50">
        <f>IF(M1422="","",ROUND(M1422*N1422,2))</f>
        <v/>
      </c>
      <c r="P1422" s="50">
        <f>IF(M1422="","",M1422+N(O1422))</f>
        <v/>
      </c>
      <c r="Q1422" s="45" t="n"/>
      <c r="R1422" s="45" t="n"/>
      <c r="S1422" s="51">
        <f>IF(L1422="","",IF(COUNTIF(L$6:L1422,L1422)&gt;1,"",SUMIF(L$6:L$2000,L1422,M$6:M$2000)-SUMIF(L$6:L$2000,L1422,G$6:G$2000)))</f>
        <v/>
      </c>
      <c r="T1422" s="46">
        <f>IF(AND(C1422="",G1422=""),"",IF(L1422="","Nog factureren",IF(AND(G1422&lt;&gt;"",OR(K1422="",K1422&gt;TODAY())),"Nog betalen",IF(OR(R1422="",R1422&gt;TODAY()),"Wacht op klant","Afgerond"))))</f>
        <v/>
      </c>
    </row>
    <row r="1423">
      <c r="A1423" s="45" t="n"/>
      <c r="B1423" s="46">
        <f>IF(A1423="","",YEAR(A1423)&amp;" Q"&amp;ROUNDUP(MONTH(A1423)/3,0))</f>
        <v/>
      </c>
      <c r="C1423" s="47" t="n"/>
      <c r="D1423" s="47" t="n"/>
      <c r="E1423" s="47" t="n"/>
      <c r="F1423" s="47" t="n"/>
      <c r="G1423" s="48" t="n"/>
      <c r="H1423" s="49" t="n"/>
      <c r="I1423" s="50">
        <f>IF(G1423="","",ROUND(G1423*H1423,2))</f>
        <v/>
      </c>
      <c r="J1423" s="50">
        <f>IF(G1423="","",G1423+N(I1423))</f>
        <v/>
      </c>
      <c r="K1423" s="45" t="n"/>
      <c r="L1423" s="47" t="n"/>
      <c r="M1423" s="48" t="n"/>
      <c r="N1423" s="49" t="n"/>
      <c r="O1423" s="50">
        <f>IF(M1423="","",ROUND(M1423*N1423,2))</f>
        <v/>
      </c>
      <c r="P1423" s="50">
        <f>IF(M1423="","",M1423+N(O1423))</f>
        <v/>
      </c>
      <c r="Q1423" s="45" t="n"/>
      <c r="R1423" s="45" t="n"/>
      <c r="S1423" s="51">
        <f>IF(L1423="","",IF(COUNTIF(L$6:L1423,L1423)&gt;1,"",SUMIF(L$6:L$2000,L1423,M$6:M$2000)-SUMIF(L$6:L$2000,L1423,G$6:G$2000)))</f>
        <v/>
      </c>
      <c r="T1423" s="46">
        <f>IF(AND(C1423="",G1423=""),"",IF(L1423="","Nog factureren",IF(AND(G1423&lt;&gt;"",OR(K1423="",K1423&gt;TODAY())),"Nog betalen",IF(OR(R1423="",R1423&gt;TODAY()),"Wacht op klant","Afgerond"))))</f>
        <v/>
      </c>
    </row>
    <row r="1424">
      <c r="A1424" s="45" t="n"/>
      <c r="B1424" s="46">
        <f>IF(A1424="","",YEAR(A1424)&amp;" Q"&amp;ROUNDUP(MONTH(A1424)/3,0))</f>
        <v/>
      </c>
      <c r="C1424" s="47" t="n"/>
      <c r="D1424" s="47" t="n"/>
      <c r="E1424" s="47" t="n"/>
      <c r="F1424" s="47" t="n"/>
      <c r="G1424" s="48" t="n"/>
      <c r="H1424" s="49" t="n"/>
      <c r="I1424" s="50">
        <f>IF(G1424="","",ROUND(G1424*H1424,2))</f>
        <v/>
      </c>
      <c r="J1424" s="50">
        <f>IF(G1424="","",G1424+N(I1424))</f>
        <v/>
      </c>
      <c r="K1424" s="45" t="n"/>
      <c r="L1424" s="47" t="n"/>
      <c r="M1424" s="48" t="n"/>
      <c r="N1424" s="49" t="n"/>
      <c r="O1424" s="50">
        <f>IF(M1424="","",ROUND(M1424*N1424,2))</f>
        <v/>
      </c>
      <c r="P1424" s="50">
        <f>IF(M1424="","",M1424+N(O1424))</f>
        <v/>
      </c>
      <c r="Q1424" s="45" t="n"/>
      <c r="R1424" s="45" t="n"/>
      <c r="S1424" s="51">
        <f>IF(L1424="","",IF(COUNTIF(L$6:L1424,L1424)&gt;1,"",SUMIF(L$6:L$2000,L1424,M$6:M$2000)-SUMIF(L$6:L$2000,L1424,G$6:G$2000)))</f>
        <v/>
      </c>
      <c r="T1424" s="46">
        <f>IF(AND(C1424="",G1424=""),"",IF(L1424="","Nog factureren",IF(AND(G1424&lt;&gt;"",OR(K1424="",K1424&gt;TODAY())),"Nog betalen",IF(OR(R1424="",R1424&gt;TODAY()),"Wacht op klant","Afgerond"))))</f>
        <v/>
      </c>
    </row>
    <row r="1425">
      <c r="A1425" s="45" t="n"/>
      <c r="B1425" s="46">
        <f>IF(A1425="","",YEAR(A1425)&amp;" Q"&amp;ROUNDUP(MONTH(A1425)/3,0))</f>
        <v/>
      </c>
      <c r="C1425" s="47" t="n"/>
      <c r="D1425" s="47" t="n"/>
      <c r="E1425" s="47" t="n"/>
      <c r="F1425" s="47" t="n"/>
      <c r="G1425" s="48" t="n"/>
      <c r="H1425" s="49" t="n"/>
      <c r="I1425" s="50">
        <f>IF(G1425="","",ROUND(G1425*H1425,2))</f>
        <v/>
      </c>
      <c r="J1425" s="50">
        <f>IF(G1425="","",G1425+N(I1425))</f>
        <v/>
      </c>
      <c r="K1425" s="45" t="n"/>
      <c r="L1425" s="47" t="n"/>
      <c r="M1425" s="48" t="n"/>
      <c r="N1425" s="49" t="n"/>
      <c r="O1425" s="50">
        <f>IF(M1425="","",ROUND(M1425*N1425,2))</f>
        <v/>
      </c>
      <c r="P1425" s="50">
        <f>IF(M1425="","",M1425+N(O1425))</f>
        <v/>
      </c>
      <c r="Q1425" s="45" t="n"/>
      <c r="R1425" s="45" t="n"/>
      <c r="S1425" s="51">
        <f>IF(L1425="","",IF(COUNTIF(L$6:L1425,L1425)&gt;1,"",SUMIF(L$6:L$2000,L1425,M$6:M$2000)-SUMIF(L$6:L$2000,L1425,G$6:G$2000)))</f>
        <v/>
      </c>
      <c r="T1425" s="46">
        <f>IF(AND(C1425="",G1425=""),"",IF(L1425="","Nog factureren",IF(AND(G1425&lt;&gt;"",OR(K1425="",K1425&gt;TODAY())),"Nog betalen",IF(OR(R1425="",R1425&gt;TODAY()),"Wacht op klant","Afgerond"))))</f>
        <v/>
      </c>
    </row>
    <row r="1426">
      <c r="A1426" s="45" t="n"/>
      <c r="B1426" s="46">
        <f>IF(A1426="","",YEAR(A1426)&amp;" Q"&amp;ROUNDUP(MONTH(A1426)/3,0))</f>
        <v/>
      </c>
      <c r="C1426" s="47" t="n"/>
      <c r="D1426" s="47" t="n"/>
      <c r="E1426" s="47" t="n"/>
      <c r="F1426" s="47" t="n"/>
      <c r="G1426" s="48" t="n"/>
      <c r="H1426" s="49" t="n"/>
      <c r="I1426" s="50">
        <f>IF(G1426="","",ROUND(G1426*H1426,2))</f>
        <v/>
      </c>
      <c r="J1426" s="50">
        <f>IF(G1426="","",G1426+N(I1426))</f>
        <v/>
      </c>
      <c r="K1426" s="45" t="n"/>
      <c r="L1426" s="47" t="n"/>
      <c r="M1426" s="48" t="n"/>
      <c r="N1426" s="49" t="n"/>
      <c r="O1426" s="50">
        <f>IF(M1426="","",ROUND(M1426*N1426,2))</f>
        <v/>
      </c>
      <c r="P1426" s="50">
        <f>IF(M1426="","",M1426+N(O1426))</f>
        <v/>
      </c>
      <c r="Q1426" s="45" t="n"/>
      <c r="R1426" s="45" t="n"/>
      <c r="S1426" s="51">
        <f>IF(L1426="","",IF(COUNTIF(L$6:L1426,L1426)&gt;1,"",SUMIF(L$6:L$2000,L1426,M$6:M$2000)-SUMIF(L$6:L$2000,L1426,G$6:G$2000)))</f>
        <v/>
      </c>
      <c r="T1426" s="46">
        <f>IF(AND(C1426="",G1426=""),"",IF(L1426="","Nog factureren",IF(AND(G1426&lt;&gt;"",OR(K1426="",K1426&gt;TODAY())),"Nog betalen",IF(OR(R1426="",R1426&gt;TODAY()),"Wacht op klant","Afgerond"))))</f>
        <v/>
      </c>
    </row>
    <row r="1427">
      <c r="A1427" s="45" t="n"/>
      <c r="B1427" s="46">
        <f>IF(A1427="","",YEAR(A1427)&amp;" Q"&amp;ROUNDUP(MONTH(A1427)/3,0))</f>
        <v/>
      </c>
      <c r="C1427" s="47" t="n"/>
      <c r="D1427" s="47" t="n"/>
      <c r="E1427" s="47" t="n"/>
      <c r="F1427" s="47" t="n"/>
      <c r="G1427" s="48" t="n"/>
      <c r="H1427" s="49" t="n"/>
      <c r="I1427" s="50">
        <f>IF(G1427="","",ROUND(G1427*H1427,2))</f>
        <v/>
      </c>
      <c r="J1427" s="50">
        <f>IF(G1427="","",G1427+N(I1427))</f>
        <v/>
      </c>
      <c r="K1427" s="45" t="n"/>
      <c r="L1427" s="47" t="n"/>
      <c r="M1427" s="48" t="n"/>
      <c r="N1427" s="49" t="n"/>
      <c r="O1427" s="50">
        <f>IF(M1427="","",ROUND(M1427*N1427,2))</f>
        <v/>
      </c>
      <c r="P1427" s="50">
        <f>IF(M1427="","",M1427+N(O1427))</f>
        <v/>
      </c>
      <c r="Q1427" s="45" t="n"/>
      <c r="R1427" s="45" t="n"/>
      <c r="S1427" s="51">
        <f>IF(L1427="","",IF(COUNTIF(L$6:L1427,L1427)&gt;1,"",SUMIF(L$6:L$2000,L1427,M$6:M$2000)-SUMIF(L$6:L$2000,L1427,G$6:G$2000)))</f>
        <v/>
      </c>
      <c r="T1427" s="46">
        <f>IF(AND(C1427="",G1427=""),"",IF(L1427="","Nog factureren",IF(AND(G1427&lt;&gt;"",OR(K1427="",K1427&gt;TODAY())),"Nog betalen",IF(OR(R1427="",R1427&gt;TODAY()),"Wacht op klant","Afgerond"))))</f>
        <v/>
      </c>
    </row>
    <row r="1428">
      <c r="A1428" s="45" t="n"/>
      <c r="B1428" s="46">
        <f>IF(A1428="","",YEAR(A1428)&amp;" Q"&amp;ROUNDUP(MONTH(A1428)/3,0))</f>
        <v/>
      </c>
      <c r="C1428" s="47" t="n"/>
      <c r="D1428" s="47" t="n"/>
      <c r="E1428" s="47" t="n"/>
      <c r="F1428" s="47" t="n"/>
      <c r="G1428" s="48" t="n"/>
      <c r="H1428" s="49" t="n"/>
      <c r="I1428" s="50">
        <f>IF(G1428="","",ROUND(G1428*H1428,2))</f>
        <v/>
      </c>
      <c r="J1428" s="50">
        <f>IF(G1428="","",G1428+N(I1428))</f>
        <v/>
      </c>
      <c r="K1428" s="45" t="n"/>
      <c r="L1428" s="47" t="n"/>
      <c r="M1428" s="48" t="n"/>
      <c r="N1428" s="49" t="n"/>
      <c r="O1428" s="50">
        <f>IF(M1428="","",ROUND(M1428*N1428,2))</f>
        <v/>
      </c>
      <c r="P1428" s="50">
        <f>IF(M1428="","",M1428+N(O1428))</f>
        <v/>
      </c>
      <c r="Q1428" s="45" t="n"/>
      <c r="R1428" s="45" t="n"/>
      <c r="S1428" s="51">
        <f>IF(L1428="","",IF(COUNTIF(L$6:L1428,L1428)&gt;1,"",SUMIF(L$6:L$2000,L1428,M$6:M$2000)-SUMIF(L$6:L$2000,L1428,G$6:G$2000)))</f>
        <v/>
      </c>
      <c r="T1428" s="46">
        <f>IF(AND(C1428="",G1428=""),"",IF(L1428="","Nog factureren",IF(AND(G1428&lt;&gt;"",OR(K1428="",K1428&gt;TODAY())),"Nog betalen",IF(OR(R1428="",R1428&gt;TODAY()),"Wacht op klant","Afgerond"))))</f>
        <v/>
      </c>
    </row>
    <row r="1429">
      <c r="A1429" s="45" t="n"/>
      <c r="B1429" s="46">
        <f>IF(A1429="","",YEAR(A1429)&amp;" Q"&amp;ROUNDUP(MONTH(A1429)/3,0))</f>
        <v/>
      </c>
      <c r="C1429" s="47" t="n"/>
      <c r="D1429" s="47" t="n"/>
      <c r="E1429" s="47" t="n"/>
      <c r="F1429" s="47" t="n"/>
      <c r="G1429" s="48" t="n"/>
      <c r="H1429" s="49" t="n"/>
      <c r="I1429" s="50">
        <f>IF(G1429="","",ROUND(G1429*H1429,2))</f>
        <v/>
      </c>
      <c r="J1429" s="50">
        <f>IF(G1429="","",G1429+N(I1429))</f>
        <v/>
      </c>
      <c r="K1429" s="45" t="n"/>
      <c r="L1429" s="47" t="n"/>
      <c r="M1429" s="48" t="n"/>
      <c r="N1429" s="49" t="n"/>
      <c r="O1429" s="50">
        <f>IF(M1429="","",ROUND(M1429*N1429,2))</f>
        <v/>
      </c>
      <c r="P1429" s="50">
        <f>IF(M1429="","",M1429+N(O1429))</f>
        <v/>
      </c>
      <c r="Q1429" s="45" t="n"/>
      <c r="R1429" s="45" t="n"/>
      <c r="S1429" s="51">
        <f>IF(L1429="","",IF(COUNTIF(L$6:L1429,L1429)&gt;1,"",SUMIF(L$6:L$2000,L1429,M$6:M$2000)-SUMIF(L$6:L$2000,L1429,G$6:G$2000)))</f>
        <v/>
      </c>
      <c r="T1429" s="46">
        <f>IF(AND(C1429="",G1429=""),"",IF(L1429="","Nog factureren",IF(AND(G1429&lt;&gt;"",OR(K1429="",K1429&gt;TODAY())),"Nog betalen",IF(OR(R1429="",R1429&gt;TODAY()),"Wacht op klant","Afgerond"))))</f>
        <v/>
      </c>
    </row>
    <row r="1430">
      <c r="A1430" s="45" t="n"/>
      <c r="B1430" s="46">
        <f>IF(A1430="","",YEAR(A1430)&amp;" Q"&amp;ROUNDUP(MONTH(A1430)/3,0))</f>
        <v/>
      </c>
      <c r="C1430" s="47" t="n"/>
      <c r="D1430" s="47" t="n"/>
      <c r="E1430" s="47" t="n"/>
      <c r="F1430" s="47" t="n"/>
      <c r="G1430" s="48" t="n"/>
      <c r="H1430" s="49" t="n"/>
      <c r="I1430" s="50">
        <f>IF(G1430="","",ROUND(G1430*H1430,2))</f>
        <v/>
      </c>
      <c r="J1430" s="50">
        <f>IF(G1430="","",G1430+N(I1430))</f>
        <v/>
      </c>
      <c r="K1430" s="45" t="n"/>
      <c r="L1430" s="47" t="n"/>
      <c r="M1430" s="48" t="n"/>
      <c r="N1430" s="49" t="n"/>
      <c r="O1430" s="50">
        <f>IF(M1430="","",ROUND(M1430*N1430,2))</f>
        <v/>
      </c>
      <c r="P1430" s="50">
        <f>IF(M1430="","",M1430+N(O1430))</f>
        <v/>
      </c>
      <c r="Q1430" s="45" t="n"/>
      <c r="R1430" s="45" t="n"/>
      <c r="S1430" s="51">
        <f>IF(L1430="","",IF(COUNTIF(L$6:L1430,L1430)&gt;1,"",SUMIF(L$6:L$2000,L1430,M$6:M$2000)-SUMIF(L$6:L$2000,L1430,G$6:G$2000)))</f>
        <v/>
      </c>
      <c r="T1430" s="46">
        <f>IF(AND(C1430="",G1430=""),"",IF(L1430="","Nog factureren",IF(AND(G1430&lt;&gt;"",OR(K1430="",K1430&gt;TODAY())),"Nog betalen",IF(OR(R1430="",R1430&gt;TODAY()),"Wacht op klant","Afgerond"))))</f>
        <v/>
      </c>
    </row>
    <row r="1431">
      <c r="A1431" s="45" t="n"/>
      <c r="B1431" s="46">
        <f>IF(A1431="","",YEAR(A1431)&amp;" Q"&amp;ROUNDUP(MONTH(A1431)/3,0))</f>
        <v/>
      </c>
      <c r="C1431" s="47" t="n"/>
      <c r="D1431" s="47" t="n"/>
      <c r="E1431" s="47" t="n"/>
      <c r="F1431" s="47" t="n"/>
      <c r="G1431" s="48" t="n"/>
      <c r="H1431" s="49" t="n"/>
      <c r="I1431" s="50">
        <f>IF(G1431="","",ROUND(G1431*H1431,2))</f>
        <v/>
      </c>
      <c r="J1431" s="50">
        <f>IF(G1431="","",G1431+N(I1431))</f>
        <v/>
      </c>
      <c r="K1431" s="45" t="n"/>
      <c r="L1431" s="47" t="n"/>
      <c r="M1431" s="48" t="n"/>
      <c r="N1431" s="49" t="n"/>
      <c r="O1431" s="50">
        <f>IF(M1431="","",ROUND(M1431*N1431,2))</f>
        <v/>
      </c>
      <c r="P1431" s="50">
        <f>IF(M1431="","",M1431+N(O1431))</f>
        <v/>
      </c>
      <c r="Q1431" s="45" t="n"/>
      <c r="R1431" s="45" t="n"/>
      <c r="S1431" s="51">
        <f>IF(L1431="","",IF(COUNTIF(L$6:L1431,L1431)&gt;1,"",SUMIF(L$6:L$2000,L1431,M$6:M$2000)-SUMIF(L$6:L$2000,L1431,G$6:G$2000)))</f>
        <v/>
      </c>
      <c r="T1431" s="46">
        <f>IF(AND(C1431="",G1431=""),"",IF(L1431="","Nog factureren",IF(AND(G1431&lt;&gt;"",OR(K1431="",K1431&gt;TODAY())),"Nog betalen",IF(OR(R1431="",R1431&gt;TODAY()),"Wacht op klant","Afgerond"))))</f>
        <v/>
      </c>
    </row>
    <row r="1432">
      <c r="A1432" s="45" t="n"/>
      <c r="B1432" s="46">
        <f>IF(A1432="","",YEAR(A1432)&amp;" Q"&amp;ROUNDUP(MONTH(A1432)/3,0))</f>
        <v/>
      </c>
      <c r="C1432" s="47" t="n"/>
      <c r="D1432" s="47" t="n"/>
      <c r="E1432" s="47" t="n"/>
      <c r="F1432" s="47" t="n"/>
      <c r="G1432" s="48" t="n"/>
      <c r="H1432" s="49" t="n"/>
      <c r="I1432" s="50">
        <f>IF(G1432="","",ROUND(G1432*H1432,2))</f>
        <v/>
      </c>
      <c r="J1432" s="50">
        <f>IF(G1432="","",G1432+N(I1432))</f>
        <v/>
      </c>
      <c r="K1432" s="45" t="n"/>
      <c r="L1432" s="47" t="n"/>
      <c r="M1432" s="48" t="n"/>
      <c r="N1432" s="49" t="n"/>
      <c r="O1432" s="50">
        <f>IF(M1432="","",ROUND(M1432*N1432,2))</f>
        <v/>
      </c>
      <c r="P1432" s="50">
        <f>IF(M1432="","",M1432+N(O1432))</f>
        <v/>
      </c>
      <c r="Q1432" s="45" t="n"/>
      <c r="R1432" s="45" t="n"/>
      <c r="S1432" s="51">
        <f>IF(L1432="","",IF(COUNTIF(L$6:L1432,L1432)&gt;1,"",SUMIF(L$6:L$2000,L1432,M$6:M$2000)-SUMIF(L$6:L$2000,L1432,G$6:G$2000)))</f>
        <v/>
      </c>
      <c r="T1432" s="46">
        <f>IF(AND(C1432="",G1432=""),"",IF(L1432="","Nog factureren",IF(AND(G1432&lt;&gt;"",OR(K1432="",K1432&gt;TODAY())),"Nog betalen",IF(OR(R1432="",R1432&gt;TODAY()),"Wacht op klant","Afgerond"))))</f>
        <v/>
      </c>
    </row>
    <row r="1433">
      <c r="A1433" s="45" t="n"/>
      <c r="B1433" s="46">
        <f>IF(A1433="","",YEAR(A1433)&amp;" Q"&amp;ROUNDUP(MONTH(A1433)/3,0))</f>
        <v/>
      </c>
      <c r="C1433" s="47" t="n"/>
      <c r="D1433" s="47" t="n"/>
      <c r="E1433" s="47" t="n"/>
      <c r="F1433" s="47" t="n"/>
      <c r="G1433" s="48" t="n"/>
      <c r="H1433" s="49" t="n"/>
      <c r="I1433" s="50">
        <f>IF(G1433="","",ROUND(G1433*H1433,2))</f>
        <v/>
      </c>
      <c r="J1433" s="50">
        <f>IF(G1433="","",G1433+N(I1433))</f>
        <v/>
      </c>
      <c r="K1433" s="45" t="n"/>
      <c r="L1433" s="47" t="n"/>
      <c r="M1433" s="48" t="n"/>
      <c r="N1433" s="49" t="n"/>
      <c r="O1433" s="50">
        <f>IF(M1433="","",ROUND(M1433*N1433,2))</f>
        <v/>
      </c>
      <c r="P1433" s="50">
        <f>IF(M1433="","",M1433+N(O1433))</f>
        <v/>
      </c>
      <c r="Q1433" s="45" t="n"/>
      <c r="R1433" s="45" t="n"/>
      <c r="S1433" s="51">
        <f>IF(L1433="","",IF(COUNTIF(L$6:L1433,L1433)&gt;1,"",SUMIF(L$6:L$2000,L1433,M$6:M$2000)-SUMIF(L$6:L$2000,L1433,G$6:G$2000)))</f>
        <v/>
      </c>
      <c r="T1433" s="46">
        <f>IF(AND(C1433="",G1433=""),"",IF(L1433="","Nog factureren",IF(AND(G1433&lt;&gt;"",OR(K1433="",K1433&gt;TODAY())),"Nog betalen",IF(OR(R1433="",R1433&gt;TODAY()),"Wacht op klant","Afgerond"))))</f>
        <v/>
      </c>
    </row>
    <row r="1434">
      <c r="A1434" s="45" t="n"/>
      <c r="B1434" s="46">
        <f>IF(A1434="","",YEAR(A1434)&amp;" Q"&amp;ROUNDUP(MONTH(A1434)/3,0))</f>
        <v/>
      </c>
      <c r="C1434" s="47" t="n"/>
      <c r="D1434" s="47" t="n"/>
      <c r="E1434" s="47" t="n"/>
      <c r="F1434" s="47" t="n"/>
      <c r="G1434" s="48" t="n"/>
      <c r="H1434" s="49" t="n"/>
      <c r="I1434" s="50">
        <f>IF(G1434="","",ROUND(G1434*H1434,2))</f>
        <v/>
      </c>
      <c r="J1434" s="50">
        <f>IF(G1434="","",G1434+N(I1434))</f>
        <v/>
      </c>
      <c r="K1434" s="45" t="n"/>
      <c r="L1434" s="47" t="n"/>
      <c r="M1434" s="48" t="n"/>
      <c r="N1434" s="49" t="n"/>
      <c r="O1434" s="50">
        <f>IF(M1434="","",ROUND(M1434*N1434,2))</f>
        <v/>
      </c>
      <c r="P1434" s="50">
        <f>IF(M1434="","",M1434+N(O1434))</f>
        <v/>
      </c>
      <c r="Q1434" s="45" t="n"/>
      <c r="R1434" s="45" t="n"/>
      <c r="S1434" s="51">
        <f>IF(L1434="","",IF(COUNTIF(L$6:L1434,L1434)&gt;1,"",SUMIF(L$6:L$2000,L1434,M$6:M$2000)-SUMIF(L$6:L$2000,L1434,G$6:G$2000)))</f>
        <v/>
      </c>
      <c r="T1434" s="46">
        <f>IF(AND(C1434="",G1434=""),"",IF(L1434="","Nog factureren",IF(AND(G1434&lt;&gt;"",OR(K1434="",K1434&gt;TODAY())),"Nog betalen",IF(OR(R1434="",R1434&gt;TODAY()),"Wacht op klant","Afgerond"))))</f>
        <v/>
      </c>
    </row>
    <row r="1435">
      <c r="A1435" s="45" t="n"/>
      <c r="B1435" s="46">
        <f>IF(A1435="","",YEAR(A1435)&amp;" Q"&amp;ROUNDUP(MONTH(A1435)/3,0))</f>
        <v/>
      </c>
      <c r="C1435" s="47" t="n"/>
      <c r="D1435" s="47" t="n"/>
      <c r="E1435" s="47" t="n"/>
      <c r="F1435" s="47" t="n"/>
      <c r="G1435" s="48" t="n"/>
      <c r="H1435" s="49" t="n"/>
      <c r="I1435" s="50">
        <f>IF(G1435="","",ROUND(G1435*H1435,2))</f>
        <v/>
      </c>
      <c r="J1435" s="50">
        <f>IF(G1435="","",G1435+N(I1435))</f>
        <v/>
      </c>
      <c r="K1435" s="45" t="n"/>
      <c r="L1435" s="47" t="n"/>
      <c r="M1435" s="48" t="n"/>
      <c r="N1435" s="49" t="n"/>
      <c r="O1435" s="50">
        <f>IF(M1435="","",ROUND(M1435*N1435,2))</f>
        <v/>
      </c>
      <c r="P1435" s="50">
        <f>IF(M1435="","",M1435+N(O1435))</f>
        <v/>
      </c>
      <c r="Q1435" s="45" t="n"/>
      <c r="R1435" s="45" t="n"/>
      <c r="S1435" s="51">
        <f>IF(L1435="","",IF(COUNTIF(L$6:L1435,L1435)&gt;1,"",SUMIF(L$6:L$2000,L1435,M$6:M$2000)-SUMIF(L$6:L$2000,L1435,G$6:G$2000)))</f>
        <v/>
      </c>
      <c r="T1435" s="46">
        <f>IF(AND(C1435="",G1435=""),"",IF(L1435="","Nog factureren",IF(AND(G1435&lt;&gt;"",OR(K1435="",K1435&gt;TODAY())),"Nog betalen",IF(OR(R1435="",R1435&gt;TODAY()),"Wacht op klant","Afgerond"))))</f>
        <v/>
      </c>
    </row>
    <row r="1436">
      <c r="A1436" s="45" t="n"/>
      <c r="B1436" s="46">
        <f>IF(A1436="","",YEAR(A1436)&amp;" Q"&amp;ROUNDUP(MONTH(A1436)/3,0))</f>
        <v/>
      </c>
      <c r="C1436" s="47" t="n"/>
      <c r="D1436" s="47" t="n"/>
      <c r="E1436" s="47" t="n"/>
      <c r="F1436" s="47" t="n"/>
      <c r="G1436" s="48" t="n"/>
      <c r="H1436" s="49" t="n"/>
      <c r="I1436" s="50">
        <f>IF(G1436="","",ROUND(G1436*H1436,2))</f>
        <v/>
      </c>
      <c r="J1436" s="50">
        <f>IF(G1436="","",G1436+N(I1436))</f>
        <v/>
      </c>
      <c r="K1436" s="45" t="n"/>
      <c r="L1436" s="47" t="n"/>
      <c r="M1436" s="48" t="n"/>
      <c r="N1436" s="49" t="n"/>
      <c r="O1436" s="50">
        <f>IF(M1436="","",ROUND(M1436*N1436,2))</f>
        <v/>
      </c>
      <c r="P1436" s="50">
        <f>IF(M1436="","",M1436+N(O1436))</f>
        <v/>
      </c>
      <c r="Q1436" s="45" t="n"/>
      <c r="R1436" s="45" t="n"/>
      <c r="S1436" s="51">
        <f>IF(L1436="","",IF(COUNTIF(L$6:L1436,L1436)&gt;1,"",SUMIF(L$6:L$2000,L1436,M$6:M$2000)-SUMIF(L$6:L$2000,L1436,G$6:G$2000)))</f>
        <v/>
      </c>
      <c r="T1436" s="46">
        <f>IF(AND(C1436="",G1436=""),"",IF(L1436="","Nog factureren",IF(AND(G1436&lt;&gt;"",OR(K1436="",K1436&gt;TODAY())),"Nog betalen",IF(OR(R1436="",R1436&gt;TODAY()),"Wacht op klant","Afgerond"))))</f>
        <v/>
      </c>
    </row>
    <row r="1437">
      <c r="A1437" s="45" t="n"/>
      <c r="B1437" s="46">
        <f>IF(A1437="","",YEAR(A1437)&amp;" Q"&amp;ROUNDUP(MONTH(A1437)/3,0))</f>
        <v/>
      </c>
      <c r="C1437" s="47" t="n"/>
      <c r="D1437" s="47" t="n"/>
      <c r="E1437" s="47" t="n"/>
      <c r="F1437" s="47" t="n"/>
      <c r="G1437" s="48" t="n"/>
      <c r="H1437" s="49" t="n"/>
      <c r="I1437" s="50">
        <f>IF(G1437="","",ROUND(G1437*H1437,2))</f>
        <v/>
      </c>
      <c r="J1437" s="50">
        <f>IF(G1437="","",G1437+N(I1437))</f>
        <v/>
      </c>
      <c r="K1437" s="45" t="n"/>
      <c r="L1437" s="47" t="n"/>
      <c r="M1437" s="48" t="n"/>
      <c r="N1437" s="49" t="n"/>
      <c r="O1437" s="50">
        <f>IF(M1437="","",ROUND(M1437*N1437,2))</f>
        <v/>
      </c>
      <c r="P1437" s="50">
        <f>IF(M1437="","",M1437+N(O1437))</f>
        <v/>
      </c>
      <c r="Q1437" s="45" t="n"/>
      <c r="R1437" s="45" t="n"/>
      <c r="S1437" s="51">
        <f>IF(L1437="","",IF(COUNTIF(L$6:L1437,L1437)&gt;1,"",SUMIF(L$6:L$2000,L1437,M$6:M$2000)-SUMIF(L$6:L$2000,L1437,G$6:G$2000)))</f>
        <v/>
      </c>
      <c r="T1437" s="46">
        <f>IF(AND(C1437="",G1437=""),"",IF(L1437="","Nog factureren",IF(AND(G1437&lt;&gt;"",OR(K1437="",K1437&gt;TODAY())),"Nog betalen",IF(OR(R1437="",R1437&gt;TODAY()),"Wacht op klant","Afgerond"))))</f>
        <v/>
      </c>
    </row>
    <row r="1438">
      <c r="A1438" s="45" t="n"/>
      <c r="B1438" s="46">
        <f>IF(A1438="","",YEAR(A1438)&amp;" Q"&amp;ROUNDUP(MONTH(A1438)/3,0))</f>
        <v/>
      </c>
      <c r="C1438" s="47" t="n"/>
      <c r="D1438" s="47" t="n"/>
      <c r="E1438" s="47" t="n"/>
      <c r="F1438" s="47" t="n"/>
      <c r="G1438" s="48" t="n"/>
      <c r="H1438" s="49" t="n"/>
      <c r="I1438" s="50">
        <f>IF(G1438="","",ROUND(G1438*H1438,2))</f>
        <v/>
      </c>
      <c r="J1438" s="50">
        <f>IF(G1438="","",G1438+N(I1438))</f>
        <v/>
      </c>
      <c r="K1438" s="45" t="n"/>
      <c r="L1438" s="47" t="n"/>
      <c r="M1438" s="48" t="n"/>
      <c r="N1438" s="49" t="n"/>
      <c r="O1438" s="50">
        <f>IF(M1438="","",ROUND(M1438*N1438,2))</f>
        <v/>
      </c>
      <c r="P1438" s="50">
        <f>IF(M1438="","",M1438+N(O1438))</f>
        <v/>
      </c>
      <c r="Q1438" s="45" t="n"/>
      <c r="R1438" s="45" t="n"/>
      <c r="S1438" s="51">
        <f>IF(L1438="","",IF(COUNTIF(L$6:L1438,L1438)&gt;1,"",SUMIF(L$6:L$2000,L1438,M$6:M$2000)-SUMIF(L$6:L$2000,L1438,G$6:G$2000)))</f>
        <v/>
      </c>
      <c r="T1438" s="46">
        <f>IF(AND(C1438="",G1438=""),"",IF(L1438="","Nog factureren",IF(AND(G1438&lt;&gt;"",OR(K1438="",K1438&gt;TODAY())),"Nog betalen",IF(OR(R1438="",R1438&gt;TODAY()),"Wacht op klant","Afgerond"))))</f>
        <v/>
      </c>
    </row>
    <row r="1439">
      <c r="A1439" s="45" t="n"/>
      <c r="B1439" s="46">
        <f>IF(A1439="","",YEAR(A1439)&amp;" Q"&amp;ROUNDUP(MONTH(A1439)/3,0))</f>
        <v/>
      </c>
      <c r="C1439" s="47" t="n"/>
      <c r="D1439" s="47" t="n"/>
      <c r="E1439" s="47" t="n"/>
      <c r="F1439" s="47" t="n"/>
      <c r="G1439" s="48" t="n"/>
      <c r="H1439" s="49" t="n"/>
      <c r="I1439" s="50">
        <f>IF(G1439="","",ROUND(G1439*H1439,2))</f>
        <v/>
      </c>
      <c r="J1439" s="50">
        <f>IF(G1439="","",G1439+N(I1439))</f>
        <v/>
      </c>
      <c r="K1439" s="45" t="n"/>
      <c r="L1439" s="47" t="n"/>
      <c r="M1439" s="48" t="n"/>
      <c r="N1439" s="49" t="n"/>
      <c r="O1439" s="50">
        <f>IF(M1439="","",ROUND(M1439*N1439,2))</f>
        <v/>
      </c>
      <c r="P1439" s="50">
        <f>IF(M1439="","",M1439+N(O1439))</f>
        <v/>
      </c>
      <c r="Q1439" s="45" t="n"/>
      <c r="R1439" s="45" t="n"/>
      <c r="S1439" s="51">
        <f>IF(L1439="","",IF(COUNTIF(L$6:L1439,L1439)&gt;1,"",SUMIF(L$6:L$2000,L1439,M$6:M$2000)-SUMIF(L$6:L$2000,L1439,G$6:G$2000)))</f>
        <v/>
      </c>
      <c r="T1439" s="46">
        <f>IF(AND(C1439="",G1439=""),"",IF(L1439="","Nog factureren",IF(AND(G1439&lt;&gt;"",OR(K1439="",K1439&gt;TODAY())),"Nog betalen",IF(OR(R1439="",R1439&gt;TODAY()),"Wacht op klant","Afgerond"))))</f>
        <v/>
      </c>
    </row>
    <row r="1440">
      <c r="A1440" s="45" t="n"/>
      <c r="B1440" s="46">
        <f>IF(A1440="","",YEAR(A1440)&amp;" Q"&amp;ROUNDUP(MONTH(A1440)/3,0))</f>
        <v/>
      </c>
      <c r="C1440" s="47" t="n"/>
      <c r="D1440" s="47" t="n"/>
      <c r="E1440" s="47" t="n"/>
      <c r="F1440" s="47" t="n"/>
      <c r="G1440" s="48" t="n"/>
      <c r="H1440" s="49" t="n"/>
      <c r="I1440" s="50">
        <f>IF(G1440="","",ROUND(G1440*H1440,2))</f>
        <v/>
      </c>
      <c r="J1440" s="50">
        <f>IF(G1440="","",G1440+N(I1440))</f>
        <v/>
      </c>
      <c r="K1440" s="45" t="n"/>
      <c r="L1440" s="47" t="n"/>
      <c r="M1440" s="48" t="n"/>
      <c r="N1440" s="49" t="n"/>
      <c r="O1440" s="50">
        <f>IF(M1440="","",ROUND(M1440*N1440,2))</f>
        <v/>
      </c>
      <c r="P1440" s="50">
        <f>IF(M1440="","",M1440+N(O1440))</f>
        <v/>
      </c>
      <c r="Q1440" s="45" t="n"/>
      <c r="R1440" s="45" t="n"/>
      <c r="S1440" s="51">
        <f>IF(L1440="","",IF(COUNTIF(L$6:L1440,L1440)&gt;1,"",SUMIF(L$6:L$2000,L1440,M$6:M$2000)-SUMIF(L$6:L$2000,L1440,G$6:G$2000)))</f>
        <v/>
      </c>
      <c r="T1440" s="46">
        <f>IF(AND(C1440="",G1440=""),"",IF(L1440="","Nog factureren",IF(AND(G1440&lt;&gt;"",OR(K1440="",K1440&gt;TODAY())),"Nog betalen",IF(OR(R1440="",R1440&gt;TODAY()),"Wacht op klant","Afgerond"))))</f>
        <v/>
      </c>
    </row>
    <row r="1441">
      <c r="A1441" s="45" t="n"/>
      <c r="B1441" s="46">
        <f>IF(A1441="","",YEAR(A1441)&amp;" Q"&amp;ROUNDUP(MONTH(A1441)/3,0))</f>
        <v/>
      </c>
      <c r="C1441" s="47" t="n"/>
      <c r="D1441" s="47" t="n"/>
      <c r="E1441" s="47" t="n"/>
      <c r="F1441" s="47" t="n"/>
      <c r="G1441" s="48" t="n"/>
      <c r="H1441" s="49" t="n"/>
      <c r="I1441" s="50">
        <f>IF(G1441="","",ROUND(G1441*H1441,2))</f>
        <v/>
      </c>
      <c r="J1441" s="50">
        <f>IF(G1441="","",G1441+N(I1441))</f>
        <v/>
      </c>
      <c r="K1441" s="45" t="n"/>
      <c r="L1441" s="47" t="n"/>
      <c r="M1441" s="48" t="n"/>
      <c r="N1441" s="49" t="n"/>
      <c r="O1441" s="50">
        <f>IF(M1441="","",ROUND(M1441*N1441,2))</f>
        <v/>
      </c>
      <c r="P1441" s="50">
        <f>IF(M1441="","",M1441+N(O1441))</f>
        <v/>
      </c>
      <c r="Q1441" s="45" t="n"/>
      <c r="R1441" s="45" t="n"/>
      <c r="S1441" s="51">
        <f>IF(L1441="","",IF(COUNTIF(L$6:L1441,L1441)&gt;1,"",SUMIF(L$6:L$2000,L1441,M$6:M$2000)-SUMIF(L$6:L$2000,L1441,G$6:G$2000)))</f>
        <v/>
      </c>
      <c r="T1441" s="46">
        <f>IF(AND(C1441="",G1441=""),"",IF(L1441="","Nog factureren",IF(AND(G1441&lt;&gt;"",OR(K1441="",K1441&gt;TODAY())),"Nog betalen",IF(OR(R1441="",R1441&gt;TODAY()),"Wacht op klant","Afgerond"))))</f>
        <v/>
      </c>
    </row>
    <row r="1442">
      <c r="A1442" s="45" t="n"/>
      <c r="B1442" s="46">
        <f>IF(A1442="","",YEAR(A1442)&amp;" Q"&amp;ROUNDUP(MONTH(A1442)/3,0))</f>
        <v/>
      </c>
      <c r="C1442" s="47" t="n"/>
      <c r="D1442" s="47" t="n"/>
      <c r="E1442" s="47" t="n"/>
      <c r="F1442" s="47" t="n"/>
      <c r="G1442" s="48" t="n"/>
      <c r="H1442" s="49" t="n"/>
      <c r="I1442" s="50">
        <f>IF(G1442="","",ROUND(G1442*H1442,2))</f>
        <v/>
      </c>
      <c r="J1442" s="50">
        <f>IF(G1442="","",G1442+N(I1442))</f>
        <v/>
      </c>
      <c r="K1442" s="45" t="n"/>
      <c r="L1442" s="47" t="n"/>
      <c r="M1442" s="48" t="n"/>
      <c r="N1442" s="49" t="n"/>
      <c r="O1442" s="50">
        <f>IF(M1442="","",ROUND(M1442*N1442,2))</f>
        <v/>
      </c>
      <c r="P1442" s="50">
        <f>IF(M1442="","",M1442+N(O1442))</f>
        <v/>
      </c>
      <c r="Q1442" s="45" t="n"/>
      <c r="R1442" s="45" t="n"/>
      <c r="S1442" s="51">
        <f>IF(L1442="","",IF(COUNTIF(L$6:L1442,L1442)&gt;1,"",SUMIF(L$6:L$2000,L1442,M$6:M$2000)-SUMIF(L$6:L$2000,L1442,G$6:G$2000)))</f>
        <v/>
      </c>
      <c r="T1442" s="46">
        <f>IF(AND(C1442="",G1442=""),"",IF(L1442="","Nog factureren",IF(AND(G1442&lt;&gt;"",OR(K1442="",K1442&gt;TODAY())),"Nog betalen",IF(OR(R1442="",R1442&gt;TODAY()),"Wacht op klant","Afgerond"))))</f>
        <v/>
      </c>
    </row>
    <row r="1443">
      <c r="A1443" s="45" t="n"/>
      <c r="B1443" s="46">
        <f>IF(A1443="","",YEAR(A1443)&amp;" Q"&amp;ROUNDUP(MONTH(A1443)/3,0))</f>
        <v/>
      </c>
      <c r="C1443" s="47" t="n"/>
      <c r="D1443" s="47" t="n"/>
      <c r="E1443" s="47" t="n"/>
      <c r="F1443" s="47" t="n"/>
      <c r="G1443" s="48" t="n"/>
      <c r="H1443" s="49" t="n"/>
      <c r="I1443" s="50">
        <f>IF(G1443="","",ROUND(G1443*H1443,2))</f>
        <v/>
      </c>
      <c r="J1443" s="50">
        <f>IF(G1443="","",G1443+N(I1443))</f>
        <v/>
      </c>
      <c r="K1443" s="45" t="n"/>
      <c r="L1443" s="47" t="n"/>
      <c r="M1443" s="48" t="n"/>
      <c r="N1443" s="49" t="n"/>
      <c r="O1443" s="50">
        <f>IF(M1443="","",ROUND(M1443*N1443,2))</f>
        <v/>
      </c>
      <c r="P1443" s="50">
        <f>IF(M1443="","",M1443+N(O1443))</f>
        <v/>
      </c>
      <c r="Q1443" s="45" t="n"/>
      <c r="R1443" s="45" t="n"/>
      <c r="S1443" s="51">
        <f>IF(L1443="","",IF(COUNTIF(L$6:L1443,L1443)&gt;1,"",SUMIF(L$6:L$2000,L1443,M$6:M$2000)-SUMIF(L$6:L$2000,L1443,G$6:G$2000)))</f>
        <v/>
      </c>
      <c r="T1443" s="46">
        <f>IF(AND(C1443="",G1443=""),"",IF(L1443="","Nog factureren",IF(AND(G1443&lt;&gt;"",OR(K1443="",K1443&gt;TODAY())),"Nog betalen",IF(OR(R1443="",R1443&gt;TODAY()),"Wacht op klant","Afgerond"))))</f>
        <v/>
      </c>
    </row>
    <row r="1444">
      <c r="A1444" s="45" t="n"/>
      <c r="B1444" s="46">
        <f>IF(A1444="","",YEAR(A1444)&amp;" Q"&amp;ROUNDUP(MONTH(A1444)/3,0))</f>
        <v/>
      </c>
      <c r="C1444" s="47" t="n"/>
      <c r="D1444" s="47" t="n"/>
      <c r="E1444" s="47" t="n"/>
      <c r="F1444" s="47" t="n"/>
      <c r="G1444" s="48" t="n"/>
      <c r="H1444" s="49" t="n"/>
      <c r="I1444" s="50">
        <f>IF(G1444="","",ROUND(G1444*H1444,2))</f>
        <v/>
      </c>
      <c r="J1444" s="50">
        <f>IF(G1444="","",G1444+N(I1444))</f>
        <v/>
      </c>
      <c r="K1444" s="45" t="n"/>
      <c r="L1444" s="47" t="n"/>
      <c r="M1444" s="48" t="n"/>
      <c r="N1444" s="49" t="n"/>
      <c r="O1444" s="50">
        <f>IF(M1444="","",ROUND(M1444*N1444,2))</f>
        <v/>
      </c>
      <c r="P1444" s="50">
        <f>IF(M1444="","",M1444+N(O1444))</f>
        <v/>
      </c>
      <c r="Q1444" s="45" t="n"/>
      <c r="R1444" s="45" t="n"/>
      <c r="S1444" s="51">
        <f>IF(L1444="","",IF(COUNTIF(L$6:L1444,L1444)&gt;1,"",SUMIF(L$6:L$2000,L1444,M$6:M$2000)-SUMIF(L$6:L$2000,L1444,G$6:G$2000)))</f>
        <v/>
      </c>
      <c r="T1444" s="46">
        <f>IF(AND(C1444="",G1444=""),"",IF(L1444="","Nog factureren",IF(AND(G1444&lt;&gt;"",OR(K1444="",K1444&gt;TODAY())),"Nog betalen",IF(OR(R1444="",R1444&gt;TODAY()),"Wacht op klant","Afgerond"))))</f>
        <v/>
      </c>
    </row>
    <row r="1445">
      <c r="A1445" s="45" t="n"/>
      <c r="B1445" s="46">
        <f>IF(A1445="","",YEAR(A1445)&amp;" Q"&amp;ROUNDUP(MONTH(A1445)/3,0))</f>
        <v/>
      </c>
      <c r="C1445" s="47" t="n"/>
      <c r="D1445" s="47" t="n"/>
      <c r="E1445" s="47" t="n"/>
      <c r="F1445" s="47" t="n"/>
      <c r="G1445" s="48" t="n"/>
      <c r="H1445" s="49" t="n"/>
      <c r="I1445" s="50">
        <f>IF(G1445="","",ROUND(G1445*H1445,2))</f>
        <v/>
      </c>
      <c r="J1445" s="50">
        <f>IF(G1445="","",G1445+N(I1445))</f>
        <v/>
      </c>
      <c r="K1445" s="45" t="n"/>
      <c r="L1445" s="47" t="n"/>
      <c r="M1445" s="48" t="n"/>
      <c r="N1445" s="49" t="n"/>
      <c r="O1445" s="50">
        <f>IF(M1445="","",ROUND(M1445*N1445,2))</f>
        <v/>
      </c>
      <c r="P1445" s="50">
        <f>IF(M1445="","",M1445+N(O1445))</f>
        <v/>
      </c>
      <c r="Q1445" s="45" t="n"/>
      <c r="R1445" s="45" t="n"/>
      <c r="S1445" s="51">
        <f>IF(L1445="","",IF(COUNTIF(L$6:L1445,L1445)&gt;1,"",SUMIF(L$6:L$2000,L1445,M$6:M$2000)-SUMIF(L$6:L$2000,L1445,G$6:G$2000)))</f>
        <v/>
      </c>
      <c r="T1445" s="46">
        <f>IF(AND(C1445="",G1445=""),"",IF(L1445="","Nog factureren",IF(AND(G1445&lt;&gt;"",OR(K1445="",K1445&gt;TODAY())),"Nog betalen",IF(OR(R1445="",R1445&gt;TODAY()),"Wacht op klant","Afgerond"))))</f>
        <v/>
      </c>
    </row>
    <row r="1446">
      <c r="A1446" s="45" t="n"/>
      <c r="B1446" s="46">
        <f>IF(A1446="","",YEAR(A1446)&amp;" Q"&amp;ROUNDUP(MONTH(A1446)/3,0))</f>
        <v/>
      </c>
      <c r="C1446" s="47" t="n"/>
      <c r="D1446" s="47" t="n"/>
      <c r="E1446" s="47" t="n"/>
      <c r="F1446" s="47" t="n"/>
      <c r="G1446" s="48" t="n"/>
      <c r="H1446" s="49" t="n"/>
      <c r="I1446" s="50">
        <f>IF(G1446="","",ROUND(G1446*H1446,2))</f>
        <v/>
      </c>
      <c r="J1446" s="50">
        <f>IF(G1446="","",G1446+N(I1446))</f>
        <v/>
      </c>
      <c r="K1446" s="45" t="n"/>
      <c r="L1446" s="47" t="n"/>
      <c r="M1446" s="48" t="n"/>
      <c r="N1446" s="49" t="n"/>
      <c r="O1446" s="50">
        <f>IF(M1446="","",ROUND(M1446*N1446,2))</f>
        <v/>
      </c>
      <c r="P1446" s="50">
        <f>IF(M1446="","",M1446+N(O1446))</f>
        <v/>
      </c>
      <c r="Q1446" s="45" t="n"/>
      <c r="R1446" s="45" t="n"/>
      <c r="S1446" s="51">
        <f>IF(L1446="","",IF(COUNTIF(L$6:L1446,L1446)&gt;1,"",SUMIF(L$6:L$2000,L1446,M$6:M$2000)-SUMIF(L$6:L$2000,L1446,G$6:G$2000)))</f>
        <v/>
      </c>
      <c r="T1446" s="46">
        <f>IF(AND(C1446="",G1446=""),"",IF(L1446="","Nog factureren",IF(AND(G1446&lt;&gt;"",OR(K1446="",K1446&gt;TODAY())),"Nog betalen",IF(OR(R1446="",R1446&gt;TODAY()),"Wacht op klant","Afgerond"))))</f>
        <v/>
      </c>
    </row>
    <row r="1447">
      <c r="A1447" s="45" t="n"/>
      <c r="B1447" s="46">
        <f>IF(A1447="","",YEAR(A1447)&amp;" Q"&amp;ROUNDUP(MONTH(A1447)/3,0))</f>
        <v/>
      </c>
      <c r="C1447" s="47" t="n"/>
      <c r="D1447" s="47" t="n"/>
      <c r="E1447" s="47" t="n"/>
      <c r="F1447" s="47" t="n"/>
      <c r="G1447" s="48" t="n"/>
      <c r="H1447" s="49" t="n"/>
      <c r="I1447" s="50">
        <f>IF(G1447="","",ROUND(G1447*H1447,2))</f>
        <v/>
      </c>
      <c r="J1447" s="50">
        <f>IF(G1447="","",G1447+N(I1447))</f>
        <v/>
      </c>
      <c r="K1447" s="45" t="n"/>
      <c r="L1447" s="47" t="n"/>
      <c r="M1447" s="48" t="n"/>
      <c r="N1447" s="49" t="n"/>
      <c r="O1447" s="50">
        <f>IF(M1447="","",ROUND(M1447*N1447,2))</f>
        <v/>
      </c>
      <c r="P1447" s="50">
        <f>IF(M1447="","",M1447+N(O1447))</f>
        <v/>
      </c>
      <c r="Q1447" s="45" t="n"/>
      <c r="R1447" s="45" t="n"/>
      <c r="S1447" s="51">
        <f>IF(L1447="","",IF(COUNTIF(L$6:L1447,L1447)&gt;1,"",SUMIF(L$6:L$2000,L1447,M$6:M$2000)-SUMIF(L$6:L$2000,L1447,G$6:G$2000)))</f>
        <v/>
      </c>
      <c r="T1447" s="46">
        <f>IF(AND(C1447="",G1447=""),"",IF(L1447="","Nog factureren",IF(AND(G1447&lt;&gt;"",OR(K1447="",K1447&gt;TODAY())),"Nog betalen",IF(OR(R1447="",R1447&gt;TODAY()),"Wacht op klant","Afgerond"))))</f>
        <v/>
      </c>
    </row>
    <row r="1448">
      <c r="A1448" s="45" t="n"/>
      <c r="B1448" s="46">
        <f>IF(A1448="","",YEAR(A1448)&amp;" Q"&amp;ROUNDUP(MONTH(A1448)/3,0))</f>
        <v/>
      </c>
      <c r="C1448" s="47" t="n"/>
      <c r="D1448" s="47" t="n"/>
      <c r="E1448" s="47" t="n"/>
      <c r="F1448" s="47" t="n"/>
      <c r="G1448" s="48" t="n"/>
      <c r="H1448" s="49" t="n"/>
      <c r="I1448" s="50">
        <f>IF(G1448="","",ROUND(G1448*H1448,2))</f>
        <v/>
      </c>
      <c r="J1448" s="50">
        <f>IF(G1448="","",G1448+N(I1448))</f>
        <v/>
      </c>
      <c r="K1448" s="45" t="n"/>
      <c r="L1448" s="47" t="n"/>
      <c r="M1448" s="48" t="n"/>
      <c r="N1448" s="49" t="n"/>
      <c r="O1448" s="50">
        <f>IF(M1448="","",ROUND(M1448*N1448,2))</f>
        <v/>
      </c>
      <c r="P1448" s="50">
        <f>IF(M1448="","",M1448+N(O1448))</f>
        <v/>
      </c>
      <c r="Q1448" s="45" t="n"/>
      <c r="R1448" s="45" t="n"/>
      <c r="S1448" s="51">
        <f>IF(L1448="","",IF(COUNTIF(L$6:L1448,L1448)&gt;1,"",SUMIF(L$6:L$2000,L1448,M$6:M$2000)-SUMIF(L$6:L$2000,L1448,G$6:G$2000)))</f>
        <v/>
      </c>
      <c r="T1448" s="46">
        <f>IF(AND(C1448="",G1448=""),"",IF(L1448="","Nog factureren",IF(AND(G1448&lt;&gt;"",OR(K1448="",K1448&gt;TODAY())),"Nog betalen",IF(OR(R1448="",R1448&gt;TODAY()),"Wacht op klant","Afgerond"))))</f>
        <v/>
      </c>
    </row>
    <row r="1449">
      <c r="A1449" s="45" t="n"/>
      <c r="B1449" s="46">
        <f>IF(A1449="","",YEAR(A1449)&amp;" Q"&amp;ROUNDUP(MONTH(A1449)/3,0))</f>
        <v/>
      </c>
      <c r="C1449" s="47" t="n"/>
      <c r="D1449" s="47" t="n"/>
      <c r="E1449" s="47" t="n"/>
      <c r="F1449" s="47" t="n"/>
      <c r="G1449" s="48" t="n"/>
      <c r="H1449" s="49" t="n"/>
      <c r="I1449" s="50">
        <f>IF(G1449="","",ROUND(G1449*H1449,2))</f>
        <v/>
      </c>
      <c r="J1449" s="50">
        <f>IF(G1449="","",G1449+N(I1449))</f>
        <v/>
      </c>
      <c r="K1449" s="45" t="n"/>
      <c r="L1449" s="47" t="n"/>
      <c r="M1449" s="48" t="n"/>
      <c r="N1449" s="49" t="n"/>
      <c r="O1449" s="50">
        <f>IF(M1449="","",ROUND(M1449*N1449,2))</f>
        <v/>
      </c>
      <c r="P1449" s="50">
        <f>IF(M1449="","",M1449+N(O1449))</f>
        <v/>
      </c>
      <c r="Q1449" s="45" t="n"/>
      <c r="R1449" s="45" t="n"/>
      <c r="S1449" s="51">
        <f>IF(L1449="","",IF(COUNTIF(L$6:L1449,L1449)&gt;1,"",SUMIF(L$6:L$2000,L1449,M$6:M$2000)-SUMIF(L$6:L$2000,L1449,G$6:G$2000)))</f>
        <v/>
      </c>
      <c r="T1449" s="46">
        <f>IF(AND(C1449="",G1449=""),"",IF(L1449="","Nog factureren",IF(AND(G1449&lt;&gt;"",OR(K1449="",K1449&gt;TODAY())),"Nog betalen",IF(OR(R1449="",R1449&gt;TODAY()),"Wacht op klant","Afgerond"))))</f>
        <v/>
      </c>
    </row>
    <row r="1450">
      <c r="A1450" s="45" t="n"/>
      <c r="B1450" s="46">
        <f>IF(A1450="","",YEAR(A1450)&amp;" Q"&amp;ROUNDUP(MONTH(A1450)/3,0))</f>
        <v/>
      </c>
      <c r="C1450" s="47" t="n"/>
      <c r="D1450" s="47" t="n"/>
      <c r="E1450" s="47" t="n"/>
      <c r="F1450" s="47" t="n"/>
      <c r="G1450" s="48" t="n"/>
      <c r="H1450" s="49" t="n"/>
      <c r="I1450" s="50">
        <f>IF(G1450="","",ROUND(G1450*H1450,2))</f>
        <v/>
      </c>
      <c r="J1450" s="50">
        <f>IF(G1450="","",G1450+N(I1450))</f>
        <v/>
      </c>
      <c r="K1450" s="45" t="n"/>
      <c r="L1450" s="47" t="n"/>
      <c r="M1450" s="48" t="n"/>
      <c r="N1450" s="49" t="n"/>
      <c r="O1450" s="50">
        <f>IF(M1450="","",ROUND(M1450*N1450,2))</f>
        <v/>
      </c>
      <c r="P1450" s="50">
        <f>IF(M1450="","",M1450+N(O1450))</f>
        <v/>
      </c>
      <c r="Q1450" s="45" t="n"/>
      <c r="R1450" s="45" t="n"/>
      <c r="S1450" s="51">
        <f>IF(L1450="","",IF(COUNTIF(L$6:L1450,L1450)&gt;1,"",SUMIF(L$6:L$2000,L1450,M$6:M$2000)-SUMIF(L$6:L$2000,L1450,G$6:G$2000)))</f>
        <v/>
      </c>
      <c r="T1450" s="46">
        <f>IF(AND(C1450="",G1450=""),"",IF(L1450="","Nog factureren",IF(AND(G1450&lt;&gt;"",OR(K1450="",K1450&gt;TODAY())),"Nog betalen",IF(OR(R1450="",R1450&gt;TODAY()),"Wacht op klant","Afgerond"))))</f>
        <v/>
      </c>
    </row>
    <row r="1451">
      <c r="A1451" s="45" t="n"/>
      <c r="B1451" s="46">
        <f>IF(A1451="","",YEAR(A1451)&amp;" Q"&amp;ROUNDUP(MONTH(A1451)/3,0))</f>
        <v/>
      </c>
      <c r="C1451" s="47" t="n"/>
      <c r="D1451" s="47" t="n"/>
      <c r="E1451" s="47" t="n"/>
      <c r="F1451" s="47" t="n"/>
      <c r="G1451" s="48" t="n"/>
      <c r="H1451" s="49" t="n"/>
      <c r="I1451" s="50">
        <f>IF(G1451="","",ROUND(G1451*H1451,2))</f>
        <v/>
      </c>
      <c r="J1451" s="50">
        <f>IF(G1451="","",G1451+N(I1451))</f>
        <v/>
      </c>
      <c r="K1451" s="45" t="n"/>
      <c r="L1451" s="47" t="n"/>
      <c r="M1451" s="48" t="n"/>
      <c r="N1451" s="49" t="n"/>
      <c r="O1451" s="50">
        <f>IF(M1451="","",ROUND(M1451*N1451,2))</f>
        <v/>
      </c>
      <c r="P1451" s="50">
        <f>IF(M1451="","",M1451+N(O1451))</f>
        <v/>
      </c>
      <c r="Q1451" s="45" t="n"/>
      <c r="R1451" s="45" t="n"/>
      <c r="S1451" s="51">
        <f>IF(L1451="","",IF(COUNTIF(L$6:L1451,L1451)&gt;1,"",SUMIF(L$6:L$2000,L1451,M$6:M$2000)-SUMIF(L$6:L$2000,L1451,G$6:G$2000)))</f>
        <v/>
      </c>
      <c r="T1451" s="46">
        <f>IF(AND(C1451="",G1451=""),"",IF(L1451="","Nog factureren",IF(AND(G1451&lt;&gt;"",OR(K1451="",K1451&gt;TODAY())),"Nog betalen",IF(OR(R1451="",R1451&gt;TODAY()),"Wacht op klant","Afgerond"))))</f>
        <v/>
      </c>
    </row>
    <row r="1452">
      <c r="A1452" s="45" t="n"/>
      <c r="B1452" s="46">
        <f>IF(A1452="","",YEAR(A1452)&amp;" Q"&amp;ROUNDUP(MONTH(A1452)/3,0))</f>
        <v/>
      </c>
      <c r="C1452" s="47" t="n"/>
      <c r="D1452" s="47" t="n"/>
      <c r="E1452" s="47" t="n"/>
      <c r="F1452" s="47" t="n"/>
      <c r="G1452" s="48" t="n"/>
      <c r="H1452" s="49" t="n"/>
      <c r="I1452" s="50">
        <f>IF(G1452="","",ROUND(G1452*H1452,2))</f>
        <v/>
      </c>
      <c r="J1452" s="50">
        <f>IF(G1452="","",G1452+N(I1452))</f>
        <v/>
      </c>
      <c r="K1452" s="45" t="n"/>
      <c r="L1452" s="47" t="n"/>
      <c r="M1452" s="48" t="n"/>
      <c r="N1452" s="49" t="n"/>
      <c r="O1452" s="50">
        <f>IF(M1452="","",ROUND(M1452*N1452,2))</f>
        <v/>
      </c>
      <c r="P1452" s="50">
        <f>IF(M1452="","",M1452+N(O1452))</f>
        <v/>
      </c>
      <c r="Q1452" s="45" t="n"/>
      <c r="R1452" s="45" t="n"/>
      <c r="S1452" s="51">
        <f>IF(L1452="","",IF(COUNTIF(L$6:L1452,L1452)&gt;1,"",SUMIF(L$6:L$2000,L1452,M$6:M$2000)-SUMIF(L$6:L$2000,L1452,G$6:G$2000)))</f>
        <v/>
      </c>
      <c r="T1452" s="46">
        <f>IF(AND(C1452="",G1452=""),"",IF(L1452="","Nog factureren",IF(AND(G1452&lt;&gt;"",OR(K1452="",K1452&gt;TODAY())),"Nog betalen",IF(OR(R1452="",R1452&gt;TODAY()),"Wacht op klant","Afgerond"))))</f>
        <v/>
      </c>
    </row>
    <row r="1453">
      <c r="A1453" s="45" t="n"/>
      <c r="B1453" s="46">
        <f>IF(A1453="","",YEAR(A1453)&amp;" Q"&amp;ROUNDUP(MONTH(A1453)/3,0))</f>
        <v/>
      </c>
      <c r="C1453" s="47" t="n"/>
      <c r="D1453" s="47" t="n"/>
      <c r="E1453" s="47" t="n"/>
      <c r="F1453" s="47" t="n"/>
      <c r="G1453" s="48" t="n"/>
      <c r="H1453" s="49" t="n"/>
      <c r="I1453" s="50">
        <f>IF(G1453="","",ROUND(G1453*H1453,2))</f>
        <v/>
      </c>
      <c r="J1453" s="50">
        <f>IF(G1453="","",G1453+N(I1453))</f>
        <v/>
      </c>
      <c r="K1453" s="45" t="n"/>
      <c r="L1453" s="47" t="n"/>
      <c r="M1453" s="48" t="n"/>
      <c r="N1453" s="49" t="n"/>
      <c r="O1453" s="50">
        <f>IF(M1453="","",ROUND(M1453*N1453,2))</f>
        <v/>
      </c>
      <c r="P1453" s="50">
        <f>IF(M1453="","",M1453+N(O1453))</f>
        <v/>
      </c>
      <c r="Q1453" s="45" t="n"/>
      <c r="R1453" s="45" t="n"/>
      <c r="S1453" s="51">
        <f>IF(L1453="","",IF(COUNTIF(L$6:L1453,L1453)&gt;1,"",SUMIF(L$6:L$2000,L1453,M$6:M$2000)-SUMIF(L$6:L$2000,L1453,G$6:G$2000)))</f>
        <v/>
      </c>
      <c r="T1453" s="46">
        <f>IF(AND(C1453="",G1453=""),"",IF(L1453="","Nog factureren",IF(AND(G1453&lt;&gt;"",OR(K1453="",K1453&gt;TODAY())),"Nog betalen",IF(OR(R1453="",R1453&gt;TODAY()),"Wacht op klant","Afgerond"))))</f>
        <v/>
      </c>
    </row>
    <row r="1454">
      <c r="A1454" s="45" t="n"/>
      <c r="B1454" s="46">
        <f>IF(A1454="","",YEAR(A1454)&amp;" Q"&amp;ROUNDUP(MONTH(A1454)/3,0))</f>
        <v/>
      </c>
      <c r="C1454" s="47" t="n"/>
      <c r="D1454" s="47" t="n"/>
      <c r="E1454" s="47" t="n"/>
      <c r="F1454" s="47" t="n"/>
      <c r="G1454" s="48" t="n"/>
      <c r="H1454" s="49" t="n"/>
      <c r="I1454" s="50">
        <f>IF(G1454="","",ROUND(G1454*H1454,2))</f>
        <v/>
      </c>
      <c r="J1454" s="50">
        <f>IF(G1454="","",G1454+N(I1454))</f>
        <v/>
      </c>
      <c r="K1454" s="45" t="n"/>
      <c r="L1454" s="47" t="n"/>
      <c r="M1454" s="48" t="n"/>
      <c r="N1454" s="49" t="n"/>
      <c r="O1454" s="50">
        <f>IF(M1454="","",ROUND(M1454*N1454,2))</f>
        <v/>
      </c>
      <c r="P1454" s="50">
        <f>IF(M1454="","",M1454+N(O1454))</f>
        <v/>
      </c>
      <c r="Q1454" s="45" t="n"/>
      <c r="R1454" s="45" t="n"/>
      <c r="S1454" s="51">
        <f>IF(L1454="","",IF(COUNTIF(L$6:L1454,L1454)&gt;1,"",SUMIF(L$6:L$2000,L1454,M$6:M$2000)-SUMIF(L$6:L$2000,L1454,G$6:G$2000)))</f>
        <v/>
      </c>
      <c r="T1454" s="46">
        <f>IF(AND(C1454="",G1454=""),"",IF(L1454="","Nog factureren",IF(AND(G1454&lt;&gt;"",OR(K1454="",K1454&gt;TODAY())),"Nog betalen",IF(OR(R1454="",R1454&gt;TODAY()),"Wacht op klant","Afgerond"))))</f>
        <v/>
      </c>
    </row>
    <row r="1455">
      <c r="A1455" s="45" t="n"/>
      <c r="B1455" s="46">
        <f>IF(A1455="","",YEAR(A1455)&amp;" Q"&amp;ROUNDUP(MONTH(A1455)/3,0))</f>
        <v/>
      </c>
      <c r="C1455" s="47" t="n"/>
      <c r="D1455" s="47" t="n"/>
      <c r="E1455" s="47" t="n"/>
      <c r="F1455" s="47" t="n"/>
      <c r="G1455" s="48" t="n"/>
      <c r="H1455" s="49" t="n"/>
      <c r="I1455" s="50">
        <f>IF(G1455="","",ROUND(G1455*H1455,2))</f>
        <v/>
      </c>
      <c r="J1455" s="50">
        <f>IF(G1455="","",G1455+N(I1455))</f>
        <v/>
      </c>
      <c r="K1455" s="45" t="n"/>
      <c r="L1455" s="47" t="n"/>
      <c r="M1455" s="48" t="n"/>
      <c r="N1455" s="49" t="n"/>
      <c r="O1455" s="50">
        <f>IF(M1455="","",ROUND(M1455*N1455,2))</f>
        <v/>
      </c>
      <c r="P1455" s="50">
        <f>IF(M1455="","",M1455+N(O1455))</f>
        <v/>
      </c>
      <c r="Q1455" s="45" t="n"/>
      <c r="R1455" s="45" t="n"/>
      <c r="S1455" s="51">
        <f>IF(L1455="","",IF(COUNTIF(L$6:L1455,L1455)&gt;1,"",SUMIF(L$6:L$2000,L1455,M$6:M$2000)-SUMIF(L$6:L$2000,L1455,G$6:G$2000)))</f>
        <v/>
      </c>
      <c r="T1455" s="46">
        <f>IF(AND(C1455="",G1455=""),"",IF(L1455="","Nog factureren",IF(AND(G1455&lt;&gt;"",OR(K1455="",K1455&gt;TODAY())),"Nog betalen",IF(OR(R1455="",R1455&gt;TODAY()),"Wacht op klant","Afgerond"))))</f>
        <v/>
      </c>
    </row>
    <row r="1456">
      <c r="A1456" s="45" t="n"/>
      <c r="B1456" s="46">
        <f>IF(A1456="","",YEAR(A1456)&amp;" Q"&amp;ROUNDUP(MONTH(A1456)/3,0))</f>
        <v/>
      </c>
      <c r="C1456" s="47" t="n"/>
      <c r="D1456" s="47" t="n"/>
      <c r="E1456" s="47" t="n"/>
      <c r="F1456" s="47" t="n"/>
      <c r="G1456" s="48" t="n"/>
      <c r="H1456" s="49" t="n"/>
      <c r="I1456" s="50">
        <f>IF(G1456="","",ROUND(G1456*H1456,2))</f>
        <v/>
      </c>
      <c r="J1456" s="50">
        <f>IF(G1456="","",G1456+N(I1456))</f>
        <v/>
      </c>
      <c r="K1456" s="45" t="n"/>
      <c r="L1456" s="47" t="n"/>
      <c r="M1456" s="48" t="n"/>
      <c r="N1456" s="49" t="n"/>
      <c r="O1456" s="50">
        <f>IF(M1456="","",ROUND(M1456*N1456,2))</f>
        <v/>
      </c>
      <c r="P1456" s="50">
        <f>IF(M1456="","",M1456+N(O1456))</f>
        <v/>
      </c>
      <c r="Q1456" s="45" t="n"/>
      <c r="R1456" s="45" t="n"/>
      <c r="S1456" s="51">
        <f>IF(L1456="","",IF(COUNTIF(L$6:L1456,L1456)&gt;1,"",SUMIF(L$6:L$2000,L1456,M$6:M$2000)-SUMIF(L$6:L$2000,L1456,G$6:G$2000)))</f>
        <v/>
      </c>
      <c r="T1456" s="46">
        <f>IF(AND(C1456="",G1456=""),"",IF(L1456="","Nog factureren",IF(AND(G1456&lt;&gt;"",OR(K1456="",K1456&gt;TODAY())),"Nog betalen",IF(OR(R1456="",R1456&gt;TODAY()),"Wacht op klant","Afgerond"))))</f>
        <v/>
      </c>
    </row>
    <row r="1457">
      <c r="A1457" s="45" t="n"/>
      <c r="B1457" s="46">
        <f>IF(A1457="","",YEAR(A1457)&amp;" Q"&amp;ROUNDUP(MONTH(A1457)/3,0))</f>
        <v/>
      </c>
      <c r="C1457" s="47" t="n"/>
      <c r="D1457" s="47" t="n"/>
      <c r="E1457" s="47" t="n"/>
      <c r="F1457" s="47" t="n"/>
      <c r="G1457" s="48" t="n"/>
      <c r="H1457" s="49" t="n"/>
      <c r="I1457" s="50">
        <f>IF(G1457="","",ROUND(G1457*H1457,2))</f>
        <v/>
      </c>
      <c r="J1457" s="50">
        <f>IF(G1457="","",G1457+N(I1457))</f>
        <v/>
      </c>
      <c r="K1457" s="45" t="n"/>
      <c r="L1457" s="47" t="n"/>
      <c r="M1457" s="48" t="n"/>
      <c r="N1457" s="49" t="n"/>
      <c r="O1457" s="50">
        <f>IF(M1457="","",ROUND(M1457*N1457,2))</f>
        <v/>
      </c>
      <c r="P1457" s="50">
        <f>IF(M1457="","",M1457+N(O1457))</f>
        <v/>
      </c>
      <c r="Q1457" s="45" t="n"/>
      <c r="R1457" s="45" t="n"/>
      <c r="S1457" s="51">
        <f>IF(L1457="","",IF(COUNTIF(L$6:L1457,L1457)&gt;1,"",SUMIF(L$6:L$2000,L1457,M$6:M$2000)-SUMIF(L$6:L$2000,L1457,G$6:G$2000)))</f>
        <v/>
      </c>
      <c r="T1457" s="46">
        <f>IF(AND(C1457="",G1457=""),"",IF(L1457="","Nog factureren",IF(AND(G1457&lt;&gt;"",OR(K1457="",K1457&gt;TODAY())),"Nog betalen",IF(OR(R1457="",R1457&gt;TODAY()),"Wacht op klant","Afgerond"))))</f>
        <v/>
      </c>
    </row>
    <row r="1458">
      <c r="A1458" s="45" t="n"/>
      <c r="B1458" s="46">
        <f>IF(A1458="","",YEAR(A1458)&amp;" Q"&amp;ROUNDUP(MONTH(A1458)/3,0))</f>
        <v/>
      </c>
      <c r="C1458" s="47" t="n"/>
      <c r="D1458" s="47" t="n"/>
      <c r="E1458" s="47" t="n"/>
      <c r="F1458" s="47" t="n"/>
      <c r="G1458" s="48" t="n"/>
      <c r="H1458" s="49" t="n"/>
      <c r="I1458" s="50">
        <f>IF(G1458="","",ROUND(G1458*H1458,2))</f>
        <v/>
      </c>
      <c r="J1458" s="50">
        <f>IF(G1458="","",G1458+N(I1458))</f>
        <v/>
      </c>
      <c r="K1458" s="45" t="n"/>
      <c r="L1458" s="47" t="n"/>
      <c r="M1458" s="48" t="n"/>
      <c r="N1458" s="49" t="n"/>
      <c r="O1458" s="50">
        <f>IF(M1458="","",ROUND(M1458*N1458,2))</f>
        <v/>
      </c>
      <c r="P1458" s="50">
        <f>IF(M1458="","",M1458+N(O1458))</f>
        <v/>
      </c>
      <c r="Q1458" s="45" t="n"/>
      <c r="R1458" s="45" t="n"/>
      <c r="S1458" s="51">
        <f>IF(L1458="","",IF(COUNTIF(L$6:L1458,L1458)&gt;1,"",SUMIF(L$6:L$2000,L1458,M$6:M$2000)-SUMIF(L$6:L$2000,L1458,G$6:G$2000)))</f>
        <v/>
      </c>
      <c r="T1458" s="46">
        <f>IF(AND(C1458="",G1458=""),"",IF(L1458="","Nog factureren",IF(AND(G1458&lt;&gt;"",OR(K1458="",K1458&gt;TODAY())),"Nog betalen",IF(OR(R1458="",R1458&gt;TODAY()),"Wacht op klant","Afgerond"))))</f>
        <v/>
      </c>
    </row>
    <row r="1459">
      <c r="A1459" s="45" t="n"/>
      <c r="B1459" s="46">
        <f>IF(A1459="","",YEAR(A1459)&amp;" Q"&amp;ROUNDUP(MONTH(A1459)/3,0))</f>
        <v/>
      </c>
      <c r="C1459" s="47" t="n"/>
      <c r="D1459" s="47" t="n"/>
      <c r="E1459" s="47" t="n"/>
      <c r="F1459" s="47" t="n"/>
      <c r="G1459" s="48" t="n"/>
      <c r="H1459" s="49" t="n"/>
      <c r="I1459" s="50">
        <f>IF(G1459="","",ROUND(G1459*H1459,2))</f>
        <v/>
      </c>
      <c r="J1459" s="50">
        <f>IF(G1459="","",G1459+N(I1459))</f>
        <v/>
      </c>
      <c r="K1459" s="45" t="n"/>
      <c r="L1459" s="47" t="n"/>
      <c r="M1459" s="48" t="n"/>
      <c r="N1459" s="49" t="n"/>
      <c r="O1459" s="50">
        <f>IF(M1459="","",ROUND(M1459*N1459,2))</f>
        <v/>
      </c>
      <c r="P1459" s="50">
        <f>IF(M1459="","",M1459+N(O1459))</f>
        <v/>
      </c>
      <c r="Q1459" s="45" t="n"/>
      <c r="R1459" s="45" t="n"/>
      <c r="S1459" s="51">
        <f>IF(L1459="","",IF(COUNTIF(L$6:L1459,L1459)&gt;1,"",SUMIF(L$6:L$2000,L1459,M$6:M$2000)-SUMIF(L$6:L$2000,L1459,G$6:G$2000)))</f>
        <v/>
      </c>
      <c r="T1459" s="46">
        <f>IF(AND(C1459="",G1459=""),"",IF(L1459="","Nog factureren",IF(AND(G1459&lt;&gt;"",OR(K1459="",K1459&gt;TODAY())),"Nog betalen",IF(OR(R1459="",R1459&gt;TODAY()),"Wacht op klant","Afgerond"))))</f>
        <v/>
      </c>
    </row>
    <row r="1460">
      <c r="A1460" s="45" t="n"/>
      <c r="B1460" s="46">
        <f>IF(A1460="","",YEAR(A1460)&amp;" Q"&amp;ROUNDUP(MONTH(A1460)/3,0))</f>
        <v/>
      </c>
      <c r="C1460" s="47" t="n"/>
      <c r="D1460" s="47" t="n"/>
      <c r="E1460" s="47" t="n"/>
      <c r="F1460" s="47" t="n"/>
      <c r="G1460" s="48" t="n"/>
      <c r="H1460" s="49" t="n"/>
      <c r="I1460" s="50">
        <f>IF(G1460="","",ROUND(G1460*H1460,2))</f>
        <v/>
      </c>
      <c r="J1460" s="50">
        <f>IF(G1460="","",G1460+N(I1460))</f>
        <v/>
      </c>
      <c r="K1460" s="45" t="n"/>
      <c r="L1460" s="47" t="n"/>
      <c r="M1460" s="48" t="n"/>
      <c r="N1460" s="49" t="n"/>
      <c r="O1460" s="50">
        <f>IF(M1460="","",ROUND(M1460*N1460,2))</f>
        <v/>
      </c>
      <c r="P1460" s="50">
        <f>IF(M1460="","",M1460+N(O1460))</f>
        <v/>
      </c>
      <c r="Q1460" s="45" t="n"/>
      <c r="R1460" s="45" t="n"/>
      <c r="S1460" s="51">
        <f>IF(L1460="","",IF(COUNTIF(L$6:L1460,L1460)&gt;1,"",SUMIF(L$6:L$2000,L1460,M$6:M$2000)-SUMIF(L$6:L$2000,L1460,G$6:G$2000)))</f>
        <v/>
      </c>
      <c r="T1460" s="46">
        <f>IF(AND(C1460="",G1460=""),"",IF(L1460="","Nog factureren",IF(AND(G1460&lt;&gt;"",OR(K1460="",K1460&gt;TODAY())),"Nog betalen",IF(OR(R1460="",R1460&gt;TODAY()),"Wacht op klant","Afgerond"))))</f>
        <v/>
      </c>
    </row>
    <row r="1461">
      <c r="A1461" s="45" t="n"/>
      <c r="B1461" s="46">
        <f>IF(A1461="","",YEAR(A1461)&amp;" Q"&amp;ROUNDUP(MONTH(A1461)/3,0))</f>
        <v/>
      </c>
      <c r="C1461" s="47" t="n"/>
      <c r="D1461" s="47" t="n"/>
      <c r="E1461" s="47" t="n"/>
      <c r="F1461" s="47" t="n"/>
      <c r="G1461" s="48" t="n"/>
      <c r="H1461" s="49" t="n"/>
      <c r="I1461" s="50">
        <f>IF(G1461="","",ROUND(G1461*H1461,2))</f>
        <v/>
      </c>
      <c r="J1461" s="50">
        <f>IF(G1461="","",G1461+N(I1461))</f>
        <v/>
      </c>
      <c r="K1461" s="45" t="n"/>
      <c r="L1461" s="47" t="n"/>
      <c r="M1461" s="48" t="n"/>
      <c r="N1461" s="49" t="n"/>
      <c r="O1461" s="50">
        <f>IF(M1461="","",ROUND(M1461*N1461,2))</f>
        <v/>
      </c>
      <c r="P1461" s="50">
        <f>IF(M1461="","",M1461+N(O1461))</f>
        <v/>
      </c>
      <c r="Q1461" s="45" t="n"/>
      <c r="R1461" s="45" t="n"/>
      <c r="S1461" s="51">
        <f>IF(L1461="","",IF(COUNTIF(L$6:L1461,L1461)&gt;1,"",SUMIF(L$6:L$2000,L1461,M$6:M$2000)-SUMIF(L$6:L$2000,L1461,G$6:G$2000)))</f>
        <v/>
      </c>
      <c r="T1461" s="46">
        <f>IF(AND(C1461="",G1461=""),"",IF(L1461="","Nog factureren",IF(AND(G1461&lt;&gt;"",OR(K1461="",K1461&gt;TODAY())),"Nog betalen",IF(OR(R1461="",R1461&gt;TODAY()),"Wacht op klant","Afgerond"))))</f>
        <v/>
      </c>
    </row>
    <row r="1462">
      <c r="A1462" s="45" t="n"/>
      <c r="B1462" s="46">
        <f>IF(A1462="","",YEAR(A1462)&amp;" Q"&amp;ROUNDUP(MONTH(A1462)/3,0))</f>
        <v/>
      </c>
      <c r="C1462" s="47" t="n"/>
      <c r="D1462" s="47" t="n"/>
      <c r="E1462" s="47" t="n"/>
      <c r="F1462" s="47" t="n"/>
      <c r="G1462" s="48" t="n"/>
      <c r="H1462" s="49" t="n"/>
      <c r="I1462" s="50">
        <f>IF(G1462="","",ROUND(G1462*H1462,2))</f>
        <v/>
      </c>
      <c r="J1462" s="50">
        <f>IF(G1462="","",G1462+N(I1462))</f>
        <v/>
      </c>
      <c r="K1462" s="45" t="n"/>
      <c r="L1462" s="47" t="n"/>
      <c r="M1462" s="48" t="n"/>
      <c r="N1462" s="49" t="n"/>
      <c r="O1462" s="50">
        <f>IF(M1462="","",ROUND(M1462*N1462,2))</f>
        <v/>
      </c>
      <c r="P1462" s="50">
        <f>IF(M1462="","",M1462+N(O1462))</f>
        <v/>
      </c>
      <c r="Q1462" s="45" t="n"/>
      <c r="R1462" s="45" t="n"/>
      <c r="S1462" s="51">
        <f>IF(L1462="","",IF(COUNTIF(L$6:L1462,L1462)&gt;1,"",SUMIF(L$6:L$2000,L1462,M$6:M$2000)-SUMIF(L$6:L$2000,L1462,G$6:G$2000)))</f>
        <v/>
      </c>
      <c r="T1462" s="46">
        <f>IF(AND(C1462="",G1462=""),"",IF(L1462="","Nog factureren",IF(AND(G1462&lt;&gt;"",OR(K1462="",K1462&gt;TODAY())),"Nog betalen",IF(OR(R1462="",R1462&gt;TODAY()),"Wacht op klant","Afgerond"))))</f>
        <v/>
      </c>
    </row>
    <row r="1463">
      <c r="A1463" s="45" t="n"/>
      <c r="B1463" s="46">
        <f>IF(A1463="","",YEAR(A1463)&amp;" Q"&amp;ROUNDUP(MONTH(A1463)/3,0))</f>
        <v/>
      </c>
      <c r="C1463" s="47" t="n"/>
      <c r="D1463" s="47" t="n"/>
      <c r="E1463" s="47" t="n"/>
      <c r="F1463" s="47" t="n"/>
      <c r="G1463" s="48" t="n"/>
      <c r="H1463" s="49" t="n"/>
      <c r="I1463" s="50">
        <f>IF(G1463="","",ROUND(G1463*H1463,2))</f>
        <v/>
      </c>
      <c r="J1463" s="50">
        <f>IF(G1463="","",G1463+N(I1463))</f>
        <v/>
      </c>
      <c r="K1463" s="45" t="n"/>
      <c r="L1463" s="47" t="n"/>
      <c r="M1463" s="48" t="n"/>
      <c r="N1463" s="49" t="n"/>
      <c r="O1463" s="50">
        <f>IF(M1463="","",ROUND(M1463*N1463,2))</f>
        <v/>
      </c>
      <c r="P1463" s="50">
        <f>IF(M1463="","",M1463+N(O1463))</f>
        <v/>
      </c>
      <c r="Q1463" s="45" t="n"/>
      <c r="R1463" s="45" t="n"/>
      <c r="S1463" s="51">
        <f>IF(L1463="","",IF(COUNTIF(L$6:L1463,L1463)&gt;1,"",SUMIF(L$6:L$2000,L1463,M$6:M$2000)-SUMIF(L$6:L$2000,L1463,G$6:G$2000)))</f>
        <v/>
      </c>
      <c r="T1463" s="46">
        <f>IF(AND(C1463="",G1463=""),"",IF(L1463="","Nog factureren",IF(AND(G1463&lt;&gt;"",OR(K1463="",K1463&gt;TODAY())),"Nog betalen",IF(OR(R1463="",R1463&gt;TODAY()),"Wacht op klant","Afgerond"))))</f>
        <v/>
      </c>
    </row>
    <row r="1464">
      <c r="A1464" s="45" t="n"/>
      <c r="B1464" s="46">
        <f>IF(A1464="","",YEAR(A1464)&amp;" Q"&amp;ROUNDUP(MONTH(A1464)/3,0))</f>
        <v/>
      </c>
      <c r="C1464" s="47" t="n"/>
      <c r="D1464" s="47" t="n"/>
      <c r="E1464" s="47" t="n"/>
      <c r="F1464" s="47" t="n"/>
      <c r="G1464" s="48" t="n"/>
      <c r="H1464" s="49" t="n"/>
      <c r="I1464" s="50">
        <f>IF(G1464="","",ROUND(G1464*H1464,2))</f>
        <v/>
      </c>
      <c r="J1464" s="50">
        <f>IF(G1464="","",G1464+N(I1464))</f>
        <v/>
      </c>
      <c r="K1464" s="45" t="n"/>
      <c r="L1464" s="47" t="n"/>
      <c r="M1464" s="48" t="n"/>
      <c r="N1464" s="49" t="n"/>
      <c r="O1464" s="50">
        <f>IF(M1464="","",ROUND(M1464*N1464,2))</f>
        <v/>
      </c>
      <c r="P1464" s="50">
        <f>IF(M1464="","",M1464+N(O1464))</f>
        <v/>
      </c>
      <c r="Q1464" s="45" t="n"/>
      <c r="R1464" s="45" t="n"/>
      <c r="S1464" s="51">
        <f>IF(L1464="","",IF(COUNTIF(L$6:L1464,L1464)&gt;1,"",SUMIF(L$6:L$2000,L1464,M$6:M$2000)-SUMIF(L$6:L$2000,L1464,G$6:G$2000)))</f>
        <v/>
      </c>
      <c r="T1464" s="46">
        <f>IF(AND(C1464="",G1464=""),"",IF(L1464="","Nog factureren",IF(AND(G1464&lt;&gt;"",OR(K1464="",K1464&gt;TODAY())),"Nog betalen",IF(OR(R1464="",R1464&gt;TODAY()),"Wacht op klant","Afgerond"))))</f>
        <v/>
      </c>
    </row>
    <row r="1465">
      <c r="A1465" s="45" t="n"/>
      <c r="B1465" s="46">
        <f>IF(A1465="","",YEAR(A1465)&amp;" Q"&amp;ROUNDUP(MONTH(A1465)/3,0))</f>
        <v/>
      </c>
      <c r="C1465" s="47" t="n"/>
      <c r="D1465" s="47" t="n"/>
      <c r="E1465" s="47" t="n"/>
      <c r="F1465" s="47" t="n"/>
      <c r="G1465" s="48" t="n"/>
      <c r="H1465" s="49" t="n"/>
      <c r="I1465" s="50">
        <f>IF(G1465="","",ROUND(G1465*H1465,2))</f>
        <v/>
      </c>
      <c r="J1465" s="50">
        <f>IF(G1465="","",G1465+N(I1465))</f>
        <v/>
      </c>
      <c r="K1465" s="45" t="n"/>
      <c r="L1465" s="47" t="n"/>
      <c r="M1465" s="48" t="n"/>
      <c r="N1465" s="49" t="n"/>
      <c r="O1465" s="50">
        <f>IF(M1465="","",ROUND(M1465*N1465,2))</f>
        <v/>
      </c>
      <c r="P1465" s="50">
        <f>IF(M1465="","",M1465+N(O1465))</f>
        <v/>
      </c>
      <c r="Q1465" s="45" t="n"/>
      <c r="R1465" s="45" t="n"/>
      <c r="S1465" s="51">
        <f>IF(L1465="","",IF(COUNTIF(L$6:L1465,L1465)&gt;1,"",SUMIF(L$6:L$2000,L1465,M$6:M$2000)-SUMIF(L$6:L$2000,L1465,G$6:G$2000)))</f>
        <v/>
      </c>
      <c r="T1465" s="46">
        <f>IF(AND(C1465="",G1465=""),"",IF(L1465="","Nog factureren",IF(AND(G1465&lt;&gt;"",OR(K1465="",K1465&gt;TODAY())),"Nog betalen",IF(OR(R1465="",R1465&gt;TODAY()),"Wacht op klant","Afgerond"))))</f>
        <v/>
      </c>
    </row>
    <row r="1466">
      <c r="A1466" s="45" t="n"/>
      <c r="B1466" s="46">
        <f>IF(A1466="","",YEAR(A1466)&amp;" Q"&amp;ROUNDUP(MONTH(A1466)/3,0))</f>
        <v/>
      </c>
      <c r="C1466" s="47" t="n"/>
      <c r="D1466" s="47" t="n"/>
      <c r="E1466" s="47" t="n"/>
      <c r="F1466" s="47" t="n"/>
      <c r="G1466" s="48" t="n"/>
      <c r="H1466" s="49" t="n"/>
      <c r="I1466" s="50">
        <f>IF(G1466="","",ROUND(G1466*H1466,2))</f>
        <v/>
      </c>
      <c r="J1466" s="50">
        <f>IF(G1466="","",G1466+N(I1466))</f>
        <v/>
      </c>
      <c r="K1466" s="45" t="n"/>
      <c r="L1466" s="47" t="n"/>
      <c r="M1466" s="48" t="n"/>
      <c r="N1466" s="49" t="n"/>
      <c r="O1466" s="50">
        <f>IF(M1466="","",ROUND(M1466*N1466,2))</f>
        <v/>
      </c>
      <c r="P1466" s="50">
        <f>IF(M1466="","",M1466+N(O1466))</f>
        <v/>
      </c>
      <c r="Q1466" s="45" t="n"/>
      <c r="R1466" s="45" t="n"/>
      <c r="S1466" s="51">
        <f>IF(L1466="","",IF(COUNTIF(L$6:L1466,L1466)&gt;1,"",SUMIF(L$6:L$2000,L1466,M$6:M$2000)-SUMIF(L$6:L$2000,L1466,G$6:G$2000)))</f>
        <v/>
      </c>
      <c r="T1466" s="46">
        <f>IF(AND(C1466="",G1466=""),"",IF(L1466="","Nog factureren",IF(AND(G1466&lt;&gt;"",OR(K1466="",K1466&gt;TODAY())),"Nog betalen",IF(OR(R1466="",R1466&gt;TODAY()),"Wacht op klant","Afgerond"))))</f>
        <v/>
      </c>
    </row>
    <row r="1467">
      <c r="A1467" s="45" t="n"/>
      <c r="B1467" s="46">
        <f>IF(A1467="","",YEAR(A1467)&amp;" Q"&amp;ROUNDUP(MONTH(A1467)/3,0))</f>
        <v/>
      </c>
      <c r="C1467" s="47" t="n"/>
      <c r="D1467" s="47" t="n"/>
      <c r="E1467" s="47" t="n"/>
      <c r="F1467" s="47" t="n"/>
      <c r="G1467" s="48" t="n"/>
      <c r="H1467" s="49" t="n"/>
      <c r="I1467" s="50">
        <f>IF(G1467="","",ROUND(G1467*H1467,2))</f>
        <v/>
      </c>
      <c r="J1467" s="50">
        <f>IF(G1467="","",G1467+N(I1467))</f>
        <v/>
      </c>
      <c r="K1467" s="45" t="n"/>
      <c r="L1467" s="47" t="n"/>
      <c r="M1467" s="48" t="n"/>
      <c r="N1467" s="49" t="n"/>
      <c r="O1467" s="50">
        <f>IF(M1467="","",ROUND(M1467*N1467,2))</f>
        <v/>
      </c>
      <c r="P1467" s="50">
        <f>IF(M1467="","",M1467+N(O1467))</f>
        <v/>
      </c>
      <c r="Q1467" s="45" t="n"/>
      <c r="R1467" s="45" t="n"/>
      <c r="S1467" s="51">
        <f>IF(L1467="","",IF(COUNTIF(L$6:L1467,L1467)&gt;1,"",SUMIF(L$6:L$2000,L1467,M$6:M$2000)-SUMIF(L$6:L$2000,L1467,G$6:G$2000)))</f>
        <v/>
      </c>
      <c r="T1467" s="46">
        <f>IF(AND(C1467="",G1467=""),"",IF(L1467="","Nog factureren",IF(AND(G1467&lt;&gt;"",OR(K1467="",K1467&gt;TODAY())),"Nog betalen",IF(OR(R1467="",R1467&gt;TODAY()),"Wacht op klant","Afgerond"))))</f>
        <v/>
      </c>
    </row>
    <row r="1468">
      <c r="A1468" s="45" t="n"/>
      <c r="B1468" s="46">
        <f>IF(A1468="","",YEAR(A1468)&amp;" Q"&amp;ROUNDUP(MONTH(A1468)/3,0))</f>
        <v/>
      </c>
      <c r="C1468" s="47" t="n"/>
      <c r="D1468" s="47" t="n"/>
      <c r="E1468" s="47" t="n"/>
      <c r="F1468" s="47" t="n"/>
      <c r="G1468" s="48" t="n"/>
      <c r="H1468" s="49" t="n"/>
      <c r="I1468" s="50">
        <f>IF(G1468="","",ROUND(G1468*H1468,2))</f>
        <v/>
      </c>
      <c r="J1468" s="50">
        <f>IF(G1468="","",G1468+N(I1468))</f>
        <v/>
      </c>
      <c r="K1468" s="45" t="n"/>
      <c r="L1468" s="47" t="n"/>
      <c r="M1468" s="48" t="n"/>
      <c r="N1468" s="49" t="n"/>
      <c r="O1468" s="50">
        <f>IF(M1468="","",ROUND(M1468*N1468,2))</f>
        <v/>
      </c>
      <c r="P1468" s="50">
        <f>IF(M1468="","",M1468+N(O1468))</f>
        <v/>
      </c>
      <c r="Q1468" s="45" t="n"/>
      <c r="R1468" s="45" t="n"/>
      <c r="S1468" s="51">
        <f>IF(L1468="","",IF(COUNTIF(L$6:L1468,L1468)&gt;1,"",SUMIF(L$6:L$2000,L1468,M$6:M$2000)-SUMIF(L$6:L$2000,L1468,G$6:G$2000)))</f>
        <v/>
      </c>
      <c r="T1468" s="46">
        <f>IF(AND(C1468="",G1468=""),"",IF(L1468="","Nog factureren",IF(AND(G1468&lt;&gt;"",OR(K1468="",K1468&gt;TODAY())),"Nog betalen",IF(OR(R1468="",R1468&gt;TODAY()),"Wacht op klant","Afgerond"))))</f>
        <v/>
      </c>
    </row>
    <row r="1469">
      <c r="A1469" s="45" t="n"/>
      <c r="B1469" s="46">
        <f>IF(A1469="","",YEAR(A1469)&amp;" Q"&amp;ROUNDUP(MONTH(A1469)/3,0))</f>
        <v/>
      </c>
      <c r="C1469" s="47" t="n"/>
      <c r="D1469" s="47" t="n"/>
      <c r="E1469" s="47" t="n"/>
      <c r="F1469" s="47" t="n"/>
      <c r="G1469" s="48" t="n"/>
      <c r="H1469" s="49" t="n"/>
      <c r="I1469" s="50">
        <f>IF(G1469="","",ROUND(G1469*H1469,2))</f>
        <v/>
      </c>
      <c r="J1469" s="50">
        <f>IF(G1469="","",G1469+N(I1469))</f>
        <v/>
      </c>
      <c r="K1469" s="45" t="n"/>
      <c r="L1469" s="47" t="n"/>
      <c r="M1469" s="48" t="n"/>
      <c r="N1469" s="49" t="n"/>
      <c r="O1469" s="50">
        <f>IF(M1469="","",ROUND(M1469*N1469,2))</f>
        <v/>
      </c>
      <c r="P1469" s="50">
        <f>IF(M1469="","",M1469+N(O1469))</f>
        <v/>
      </c>
      <c r="Q1469" s="45" t="n"/>
      <c r="R1469" s="45" t="n"/>
      <c r="S1469" s="51">
        <f>IF(L1469="","",IF(COUNTIF(L$6:L1469,L1469)&gt;1,"",SUMIF(L$6:L$2000,L1469,M$6:M$2000)-SUMIF(L$6:L$2000,L1469,G$6:G$2000)))</f>
        <v/>
      </c>
      <c r="T1469" s="46">
        <f>IF(AND(C1469="",G1469=""),"",IF(L1469="","Nog factureren",IF(AND(G1469&lt;&gt;"",OR(K1469="",K1469&gt;TODAY())),"Nog betalen",IF(OR(R1469="",R1469&gt;TODAY()),"Wacht op klant","Afgerond"))))</f>
        <v/>
      </c>
    </row>
    <row r="1470">
      <c r="A1470" s="45" t="n"/>
      <c r="B1470" s="46">
        <f>IF(A1470="","",YEAR(A1470)&amp;" Q"&amp;ROUNDUP(MONTH(A1470)/3,0))</f>
        <v/>
      </c>
      <c r="C1470" s="47" t="n"/>
      <c r="D1470" s="47" t="n"/>
      <c r="E1470" s="47" t="n"/>
      <c r="F1470" s="47" t="n"/>
      <c r="G1470" s="48" t="n"/>
      <c r="H1470" s="49" t="n"/>
      <c r="I1470" s="50">
        <f>IF(G1470="","",ROUND(G1470*H1470,2))</f>
        <v/>
      </c>
      <c r="J1470" s="50">
        <f>IF(G1470="","",G1470+N(I1470))</f>
        <v/>
      </c>
      <c r="K1470" s="45" t="n"/>
      <c r="L1470" s="47" t="n"/>
      <c r="M1470" s="48" t="n"/>
      <c r="N1470" s="49" t="n"/>
      <c r="O1470" s="50">
        <f>IF(M1470="","",ROUND(M1470*N1470,2))</f>
        <v/>
      </c>
      <c r="P1470" s="50">
        <f>IF(M1470="","",M1470+N(O1470))</f>
        <v/>
      </c>
      <c r="Q1470" s="45" t="n"/>
      <c r="R1470" s="45" t="n"/>
      <c r="S1470" s="51">
        <f>IF(L1470="","",IF(COUNTIF(L$6:L1470,L1470)&gt;1,"",SUMIF(L$6:L$2000,L1470,M$6:M$2000)-SUMIF(L$6:L$2000,L1470,G$6:G$2000)))</f>
        <v/>
      </c>
      <c r="T1470" s="46">
        <f>IF(AND(C1470="",G1470=""),"",IF(L1470="","Nog factureren",IF(AND(G1470&lt;&gt;"",OR(K1470="",K1470&gt;TODAY())),"Nog betalen",IF(OR(R1470="",R1470&gt;TODAY()),"Wacht op klant","Afgerond"))))</f>
        <v/>
      </c>
    </row>
    <row r="1471">
      <c r="A1471" s="45" t="n"/>
      <c r="B1471" s="46">
        <f>IF(A1471="","",YEAR(A1471)&amp;" Q"&amp;ROUNDUP(MONTH(A1471)/3,0))</f>
        <v/>
      </c>
      <c r="C1471" s="47" t="n"/>
      <c r="D1471" s="47" t="n"/>
      <c r="E1471" s="47" t="n"/>
      <c r="F1471" s="47" t="n"/>
      <c r="G1471" s="48" t="n"/>
      <c r="H1471" s="49" t="n"/>
      <c r="I1471" s="50">
        <f>IF(G1471="","",ROUND(G1471*H1471,2))</f>
        <v/>
      </c>
      <c r="J1471" s="50">
        <f>IF(G1471="","",G1471+N(I1471))</f>
        <v/>
      </c>
      <c r="K1471" s="45" t="n"/>
      <c r="L1471" s="47" t="n"/>
      <c r="M1471" s="48" t="n"/>
      <c r="N1471" s="49" t="n"/>
      <c r="O1471" s="50">
        <f>IF(M1471="","",ROUND(M1471*N1471,2))</f>
        <v/>
      </c>
      <c r="P1471" s="50">
        <f>IF(M1471="","",M1471+N(O1471))</f>
        <v/>
      </c>
      <c r="Q1471" s="45" t="n"/>
      <c r="R1471" s="45" t="n"/>
      <c r="S1471" s="51">
        <f>IF(L1471="","",IF(COUNTIF(L$6:L1471,L1471)&gt;1,"",SUMIF(L$6:L$2000,L1471,M$6:M$2000)-SUMIF(L$6:L$2000,L1471,G$6:G$2000)))</f>
        <v/>
      </c>
      <c r="T1471" s="46">
        <f>IF(AND(C1471="",G1471=""),"",IF(L1471="","Nog factureren",IF(AND(G1471&lt;&gt;"",OR(K1471="",K1471&gt;TODAY())),"Nog betalen",IF(OR(R1471="",R1471&gt;TODAY()),"Wacht op klant","Afgerond"))))</f>
        <v/>
      </c>
    </row>
    <row r="1472">
      <c r="A1472" s="45" t="n"/>
      <c r="B1472" s="46">
        <f>IF(A1472="","",YEAR(A1472)&amp;" Q"&amp;ROUNDUP(MONTH(A1472)/3,0))</f>
        <v/>
      </c>
      <c r="C1472" s="47" t="n"/>
      <c r="D1472" s="47" t="n"/>
      <c r="E1472" s="47" t="n"/>
      <c r="F1472" s="47" t="n"/>
      <c r="G1472" s="48" t="n"/>
      <c r="H1472" s="49" t="n"/>
      <c r="I1472" s="50">
        <f>IF(G1472="","",ROUND(G1472*H1472,2))</f>
        <v/>
      </c>
      <c r="J1472" s="50">
        <f>IF(G1472="","",G1472+N(I1472))</f>
        <v/>
      </c>
      <c r="K1472" s="45" t="n"/>
      <c r="L1472" s="47" t="n"/>
      <c r="M1472" s="48" t="n"/>
      <c r="N1472" s="49" t="n"/>
      <c r="O1472" s="50">
        <f>IF(M1472="","",ROUND(M1472*N1472,2))</f>
        <v/>
      </c>
      <c r="P1472" s="50">
        <f>IF(M1472="","",M1472+N(O1472))</f>
        <v/>
      </c>
      <c r="Q1472" s="45" t="n"/>
      <c r="R1472" s="45" t="n"/>
      <c r="S1472" s="51">
        <f>IF(L1472="","",IF(COUNTIF(L$6:L1472,L1472)&gt;1,"",SUMIF(L$6:L$2000,L1472,M$6:M$2000)-SUMIF(L$6:L$2000,L1472,G$6:G$2000)))</f>
        <v/>
      </c>
      <c r="T1472" s="46">
        <f>IF(AND(C1472="",G1472=""),"",IF(L1472="","Nog factureren",IF(AND(G1472&lt;&gt;"",OR(K1472="",K1472&gt;TODAY())),"Nog betalen",IF(OR(R1472="",R1472&gt;TODAY()),"Wacht op klant","Afgerond"))))</f>
        <v/>
      </c>
    </row>
    <row r="1473">
      <c r="A1473" s="45" t="n"/>
      <c r="B1473" s="46">
        <f>IF(A1473="","",YEAR(A1473)&amp;" Q"&amp;ROUNDUP(MONTH(A1473)/3,0))</f>
        <v/>
      </c>
      <c r="C1473" s="47" t="n"/>
      <c r="D1473" s="47" t="n"/>
      <c r="E1473" s="47" t="n"/>
      <c r="F1473" s="47" t="n"/>
      <c r="G1473" s="48" t="n"/>
      <c r="H1473" s="49" t="n"/>
      <c r="I1473" s="50">
        <f>IF(G1473="","",ROUND(G1473*H1473,2))</f>
        <v/>
      </c>
      <c r="J1473" s="50">
        <f>IF(G1473="","",G1473+N(I1473))</f>
        <v/>
      </c>
      <c r="K1473" s="45" t="n"/>
      <c r="L1473" s="47" t="n"/>
      <c r="M1473" s="48" t="n"/>
      <c r="N1473" s="49" t="n"/>
      <c r="O1473" s="50">
        <f>IF(M1473="","",ROUND(M1473*N1473,2))</f>
        <v/>
      </c>
      <c r="P1473" s="50">
        <f>IF(M1473="","",M1473+N(O1473))</f>
        <v/>
      </c>
      <c r="Q1473" s="45" t="n"/>
      <c r="R1473" s="45" t="n"/>
      <c r="S1473" s="51">
        <f>IF(L1473="","",IF(COUNTIF(L$6:L1473,L1473)&gt;1,"",SUMIF(L$6:L$2000,L1473,M$6:M$2000)-SUMIF(L$6:L$2000,L1473,G$6:G$2000)))</f>
        <v/>
      </c>
      <c r="T1473" s="46">
        <f>IF(AND(C1473="",G1473=""),"",IF(L1473="","Nog factureren",IF(AND(G1473&lt;&gt;"",OR(K1473="",K1473&gt;TODAY())),"Nog betalen",IF(OR(R1473="",R1473&gt;TODAY()),"Wacht op klant","Afgerond"))))</f>
        <v/>
      </c>
    </row>
    <row r="1474">
      <c r="A1474" s="45" t="n"/>
      <c r="B1474" s="46">
        <f>IF(A1474="","",YEAR(A1474)&amp;" Q"&amp;ROUNDUP(MONTH(A1474)/3,0))</f>
        <v/>
      </c>
      <c r="C1474" s="47" t="n"/>
      <c r="D1474" s="47" t="n"/>
      <c r="E1474" s="47" t="n"/>
      <c r="F1474" s="47" t="n"/>
      <c r="G1474" s="48" t="n"/>
      <c r="H1474" s="49" t="n"/>
      <c r="I1474" s="50">
        <f>IF(G1474="","",ROUND(G1474*H1474,2))</f>
        <v/>
      </c>
      <c r="J1474" s="50">
        <f>IF(G1474="","",G1474+N(I1474))</f>
        <v/>
      </c>
      <c r="K1474" s="45" t="n"/>
      <c r="L1474" s="47" t="n"/>
      <c r="M1474" s="48" t="n"/>
      <c r="N1474" s="49" t="n"/>
      <c r="O1474" s="50">
        <f>IF(M1474="","",ROUND(M1474*N1474,2))</f>
        <v/>
      </c>
      <c r="P1474" s="50">
        <f>IF(M1474="","",M1474+N(O1474))</f>
        <v/>
      </c>
      <c r="Q1474" s="45" t="n"/>
      <c r="R1474" s="45" t="n"/>
      <c r="S1474" s="51">
        <f>IF(L1474="","",IF(COUNTIF(L$6:L1474,L1474)&gt;1,"",SUMIF(L$6:L$2000,L1474,M$6:M$2000)-SUMIF(L$6:L$2000,L1474,G$6:G$2000)))</f>
        <v/>
      </c>
      <c r="T1474" s="46">
        <f>IF(AND(C1474="",G1474=""),"",IF(L1474="","Nog factureren",IF(AND(G1474&lt;&gt;"",OR(K1474="",K1474&gt;TODAY())),"Nog betalen",IF(OR(R1474="",R1474&gt;TODAY()),"Wacht op klant","Afgerond"))))</f>
        <v/>
      </c>
    </row>
    <row r="1475">
      <c r="A1475" s="45" t="n"/>
      <c r="B1475" s="46">
        <f>IF(A1475="","",YEAR(A1475)&amp;" Q"&amp;ROUNDUP(MONTH(A1475)/3,0))</f>
        <v/>
      </c>
      <c r="C1475" s="47" t="n"/>
      <c r="D1475" s="47" t="n"/>
      <c r="E1475" s="47" t="n"/>
      <c r="F1475" s="47" t="n"/>
      <c r="G1475" s="48" t="n"/>
      <c r="H1475" s="49" t="n"/>
      <c r="I1475" s="50">
        <f>IF(G1475="","",ROUND(G1475*H1475,2))</f>
        <v/>
      </c>
      <c r="J1475" s="50">
        <f>IF(G1475="","",G1475+N(I1475))</f>
        <v/>
      </c>
      <c r="K1475" s="45" t="n"/>
      <c r="L1475" s="47" t="n"/>
      <c r="M1475" s="48" t="n"/>
      <c r="N1475" s="49" t="n"/>
      <c r="O1475" s="50">
        <f>IF(M1475="","",ROUND(M1475*N1475,2))</f>
        <v/>
      </c>
      <c r="P1475" s="50">
        <f>IF(M1475="","",M1475+N(O1475))</f>
        <v/>
      </c>
      <c r="Q1475" s="45" t="n"/>
      <c r="R1475" s="45" t="n"/>
      <c r="S1475" s="51">
        <f>IF(L1475="","",IF(COUNTIF(L$6:L1475,L1475)&gt;1,"",SUMIF(L$6:L$2000,L1475,M$6:M$2000)-SUMIF(L$6:L$2000,L1475,G$6:G$2000)))</f>
        <v/>
      </c>
      <c r="T1475" s="46">
        <f>IF(AND(C1475="",G1475=""),"",IF(L1475="","Nog factureren",IF(AND(G1475&lt;&gt;"",OR(K1475="",K1475&gt;TODAY())),"Nog betalen",IF(OR(R1475="",R1475&gt;TODAY()),"Wacht op klant","Afgerond"))))</f>
        <v/>
      </c>
    </row>
    <row r="1476">
      <c r="A1476" s="45" t="n"/>
      <c r="B1476" s="46">
        <f>IF(A1476="","",YEAR(A1476)&amp;" Q"&amp;ROUNDUP(MONTH(A1476)/3,0))</f>
        <v/>
      </c>
      <c r="C1476" s="47" t="n"/>
      <c r="D1476" s="47" t="n"/>
      <c r="E1476" s="47" t="n"/>
      <c r="F1476" s="47" t="n"/>
      <c r="G1476" s="48" t="n"/>
      <c r="H1476" s="49" t="n"/>
      <c r="I1476" s="50">
        <f>IF(G1476="","",ROUND(G1476*H1476,2))</f>
        <v/>
      </c>
      <c r="J1476" s="50">
        <f>IF(G1476="","",G1476+N(I1476))</f>
        <v/>
      </c>
      <c r="K1476" s="45" t="n"/>
      <c r="L1476" s="47" t="n"/>
      <c r="M1476" s="48" t="n"/>
      <c r="N1476" s="49" t="n"/>
      <c r="O1476" s="50">
        <f>IF(M1476="","",ROUND(M1476*N1476,2))</f>
        <v/>
      </c>
      <c r="P1476" s="50">
        <f>IF(M1476="","",M1476+N(O1476))</f>
        <v/>
      </c>
      <c r="Q1476" s="45" t="n"/>
      <c r="R1476" s="45" t="n"/>
      <c r="S1476" s="51">
        <f>IF(L1476="","",IF(COUNTIF(L$6:L1476,L1476)&gt;1,"",SUMIF(L$6:L$2000,L1476,M$6:M$2000)-SUMIF(L$6:L$2000,L1476,G$6:G$2000)))</f>
        <v/>
      </c>
      <c r="T1476" s="46">
        <f>IF(AND(C1476="",G1476=""),"",IF(L1476="","Nog factureren",IF(AND(G1476&lt;&gt;"",OR(K1476="",K1476&gt;TODAY())),"Nog betalen",IF(OR(R1476="",R1476&gt;TODAY()),"Wacht op klant","Afgerond"))))</f>
        <v/>
      </c>
    </row>
    <row r="1477">
      <c r="A1477" s="45" t="n"/>
      <c r="B1477" s="46">
        <f>IF(A1477="","",YEAR(A1477)&amp;" Q"&amp;ROUNDUP(MONTH(A1477)/3,0))</f>
        <v/>
      </c>
      <c r="C1477" s="47" t="n"/>
      <c r="D1477" s="47" t="n"/>
      <c r="E1477" s="47" t="n"/>
      <c r="F1477" s="47" t="n"/>
      <c r="G1477" s="48" t="n"/>
      <c r="H1477" s="49" t="n"/>
      <c r="I1477" s="50">
        <f>IF(G1477="","",ROUND(G1477*H1477,2))</f>
        <v/>
      </c>
      <c r="J1477" s="50">
        <f>IF(G1477="","",G1477+N(I1477))</f>
        <v/>
      </c>
      <c r="K1477" s="45" t="n"/>
      <c r="L1477" s="47" t="n"/>
      <c r="M1477" s="48" t="n"/>
      <c r="N1477" s="49" t="n"/>
      <c r="O1477" s="50">
        <f>IF(M1477="","",ROUND(M1477*N1477,2))</f>
        <v/>
      </c>
      <c r="P1477" s="50">
        <f>IF(M1477="","",M1477+N(O1477))</f>
        <v/>
      </c>
      <c r="Q1477" s="45" t="n"/>
      <c r="R1477" s="45" t="n"/>
      <c r="S1477" s="51">
        <f>IF(L1477="","",IF(COUNTIF(L$6:L1477,L1477)&gt;1,"",SUMIF(L$6:L$2000,L1477,M$6:M$2000)-SUMIF(L$6:L$2000,L1477,G$6:G$2000)))</f>
        <v/>
      </c>
      <c r="T1477" s="46">
        <f>IF(AND(C1477="",G1477=""),"",IF(L1477="","Nog factureren",IF(AND(G1477&lt;&gt;"",OR(K1477="",K1477&gt;TODAY())),"Nog betalen",IF(OR(R1477="",R1477&gt;TODAY()),"Wacht op klant","Afgerond"))))</f>
        <v/>
      </c>
    </row>
    <row r="1478">
      <c r="A1478" s="45" t="n"/>
      <c r="B1478" s="46">
        <f>IF(A1478="","",YEAR(A1478)&amp;" Q"&amp;ROUNDUP(MONTH(A1478)/3,0))</f>
        <v/>
      </c>
      <c r="C1478" s="47" t="n"/>
      <c r="D1478" s="47" t="n"/>
      <c r="E1478" s="47" t="n"/>
      <c r="F1478" s="47" t="n"/>
      <c r="G1478" s="48" t="n"/>
      <c r="H1478" s="49" t="n"/>
      <c r="I1478" s="50">
        <f>IF(G1478="","",ROUND(G1478*H1478,2))</f>
        <v/>
      </c>
      <c r="J1478" s="50">
        <f>IF(G1478="","",G1478+N(I1478))</f>
        <v/>
      </c>
      <c r="K1478" s="45" t="n"/>
      <c r="L1478" s="47" t="n"/>
      <c r="M1478" s="48" t="n"/>
      <c r="N1478" s="49" t="n"/>
      <c r="O1478" s="50">
        <f>IF(M1478="","",ROUND(M1478*N1478,2))</f>
        <v/>
      </c>
      <c r="P1478" s="50">
        <f>IF(M1478="","",M1478+N(O1478))</f>
        <v/>
      </c>
      <c r="Q1478" s="45" t="n"/>
      <c r="R1478" s="45" t="n"/>
      <c r="S1478" s="51">
        <f>IF(L1478="","",IF(COUNTIF(L$6:L1478,L1478)&gt;1,"",SUMIF(L$6:L$2000,L1478,M$6:M$2000)-SUMIF(L$6:L$2000,L1478,G$6:G$2000)))</f>
        <v/>
      </c>
      <c r="T1478" s="46">
        <f>IF(AND(C1478="",G1478=""),"",IF(L1478="","Nog factureren",IF(AND(G1478&lt;&gt;"",OR(K1478="",K1478&gt;TODAY())),"Nog betalen",IF(OR(R1478="",R1478&gt;TODAY()),"Wacht op klant","Afgerond"))))</f>
        <v/>
      </c>
    </row>
    <row r="1479">
      <c r="A1479" s="45" t="n"/>
      <c r="B1479" s="46">
        <f>IF(A1479="","",YEAR(A1479)&amp;" Q"&amp;ROUNDUP(MONTH(A1479)/3,0))</f>
        <v/>
      </c>
      <c r="C1479" s="47" t="n"/>
      <c r="D1479" s="47" t="n"/>
      <c r="E1479" s="47" t="n"/>
      <c r="F1479" s="47" t="n"/>
      <c r="G1479" s="48" t="n"/>
      <c r="H1479" s="49" t="n"/>
      <c r="I1479" s="50">
        <f>IF(G1479="","",ROUND(G1479*H1479,2))</f>
        <v/>
      </c>
      <c r="J1479" s="50">
        <f>IF(G1479="","",G1479+N(I1479))</f>
        <v/>
      </c>
      <c r="K1479" s="45" t="n"/>
      <c r="L1479" s="47" t="n"/>
      <c r="M1479" s="48" t="n"/>
      <c r="N1479" s="49" t="n"/>
      <c r="O1479" s="50">
        <f>IF(M1479="","",ROUND(M1479*N1479,2))</f>
        <v/>
      </c>
      <c r="P1479" s="50">
        <f>IF(M1479="","",M1479+N(O1479))</f>
        <v/>
      </c>
      <c r="Q1479" s="45" t="n"/>
      <c r="R1479" s="45" t="n"/>
      <c r="S1479" s="51">
        <f>IF(L1479="","",IF(COUNTIF(L$6:L1479,L1479)&gt;1,"",SUMIF(L$6:L$2000,L1479,M$6:M$2000)-SUMIF(L$6:L$2000,L1479,G$6:G$2000)))</f>
        <v/>
      </c>
      <c r="T1479" s="46">
        <f>IF(AND(C1479="",G1479=""),"",IF(L1479="","Nog factureren",IF(AND(G1479&lt;&gt;"",OR(K1479="",K1479&gt;TODAY())),"Nog betalen",IF(OR(R1479="",R1479&gt;TODAY()),"Wacht op klant","Afgerond"))))</f>
        <v/>
      </c>
    </row>
    <row r="1480">
      <c r="A1480" s="45" t="n"/>
      <c r="B1480" s="46">
        <f>IF(A1480="","",YEAR(A1480)&amp;" Q"&amp;ROUNDUP(MONTH(A1480)/3,0))</f>
        <v/>
      </c>
      <c r="C1480" s="47" t="n"/>
      <c r="D1480" s="47" t="n"/>
      <c r="E1480" s="47" t="n"/>
      <c r="F1480" s="47" t="n"/>
      <c r="G1480" s="48" t="n"/>
      <c r="H1480" s="49" t="n"/>
      <c r="I1480" s="50">
        <f>IF(G1480="","",ROUND(G1480*H1480,2))</f>
        <v/>
      </c>
      <c r="J1480" s="50">
        <f>IF(G1480="","",G1480+N(I1480))</f>
        <v/>
      </c>
      <c r="K1480" s="45" t="n"/>
      <c r="L1480" s="47" t="n"/>
      <c r="M1480" s="48" t="n"/>
      <c r="N1480" s="49" t="n"/>
      <c r="O1480" s="50">
        <f>IF(M1480="","",ROUND(M1480*N1480,2))</f>
        <v/>
      </c>
      <c r="P1480" s="50">
        <f>IF(M1480="","",M1480+N(O1480))</f>
        <v/>
      </c>
      <c r="Q1480" s="45" t="n"/>
      <c r="R1480" s="45" t="n"/>
      <c r="S1480" s="51">
        <f>IF(L1480="","",IF(COUNTIF(L$6:L1480,L1480)&gt;1,"",SUMIF(L$6:L$2000,L1480,M$6:M$2000)-SUMIF(L$6:L$2000,L1480,G$6:G$2000)))</f>
        <v/>
      </c>
      <c r="T1480" s="46">
        <f>IF(AND(C1480="",G1480=""),"",IF(L1480="","Nog factureren",IF(AND(G1480&lt;&gt;"",OR(K1480="",K1480&gt;TODAY())),"Nog betalen",IF(OR(R1480="",R1480&gt;TODAY()),"Wacht op klant","Afgerond"))))</f>
        <v/>
      </c>
    </row>
    <row r="1481">
      <c r="A1481" s="45" t="n"/>
      <c r="B1481" s="46">
        <f>IF(A1481="","",YEAR(A1481)&amp;" Q"&amp;ROUNDUP(MONTH(A1481)/3,0))</f>
        <v/>
      </c>
      <c r="C1481" s="47" t="n"/>
      <c r="D1481" s="47" t="n"/>
      <c r="E1481" s="47" t="n"/>
      <c r="F1481" s="47" t="n"/>
      <c r="G1481" s="48" t="n"/>
      <c r="H1481" s="49" t="n"/>
      <c r="I1481" s="50">
        <f>IF(G1481="","",ROUND(G1481*H1481,2))</f>
        <v/>
      </c>
      <c r="J1481" s="50">
        <f>IF(G1481="","",G1481+N(I1481))</f>
        <v/>
      </c>
      <c r="K1481" s="45" t="n"/>
      <c r="L1481" s="47" t="n"/>
      <c r="M1481" s="48" t="n"/>
      <c r="N1481" s="49" t="n"/>
      <c r="O1481" s="50">
        <f>IF(M1481="","",ROUND(M1481*N1481,2))</f>
        <v/>
      </c>
      <c r="P1481" s="50">
        <f>IF(M1481="","",M1481+N(O1481))</f>
        <v/>
      </c>
      <c r="Q1481" s="45" t="n"/>
      <c r="R1481" s="45" t="n"/>
      <c r="S1481" s="51">
        <f>IF(L1481="","",IF(COUNTIF(L$6:L1481,L1481)&gt;1,"",SUMIF(L$6:L$2000,L1481,M$6:M$2000)-SUMIF(L$6:L$2000,L1481,G$6:G$2000)))</f>
        <v/>
      </c>
      <c r="T1481" s="46">
        <f>IF(AND(C1481="",G1481=""),"",IF(L1481="","Nog factureren",IF(AND(G1481&lt;&gt;"",OR(K1481="",K1481&gt;TODAY())),"Nog betalen",IF(OR(R1481="",R1481&gt;TODAY()),"Wacht op klant","Afgerond"))))</f>
        <v/>
      </c>
    </row>
    <row r="1482">
      <c r="A1482" s="45" t="n"/>
      <c r="B1482" s="46">
        <f>IF(A1482="","",YEAR(A1482)&amp;" Q"&amp;ROUNDUP(MONTH(A1482)/3,0))</f>
        <v/>
      </c>
      <c r="C1482" s="47" t="n"/>
      <c r="D1482" s="47" t="n"/>
      <c r="E1482" s="47" t="n"/>
      <c r="F1482" s="47" t="n"/>
      <c r="G1482" s="48" t="n"/>
      <c r="H1482" s="49" t="n"/>
      <c r="I1482" s="50">
        <f>IF(G1482="","",ROUND(G1482*H1482,2))</f>
        <v/>
      </c>
      <c r="J1482" s="50">
        <f>IF(G1482="","",G1482+N(I1482))</f>
        <v/>
      </c>
      <c r="K1482" s="45" t="n"/>
      <c r="L1482" s="47" t="n"/>
      <c r="M1482" s="48" t="n"/>
      <c r="N1482" s="49" t="n"/>
      <c r="O1482" s="50">
        <f>IF(M1482="","",ROUND(M1482*N1482,2))</f>
        <v/>
      </c>
      <c r="P1482" s="50">
        <f>IF(M1482="","",M1482+N(O1482))</f>
        <v/>
      </c>
      <c r="Q1482" s="45" t="n"/>
      <c r="R1482" s="45" t="n"/>
      <c r="S1482" s="51">
        <f>IF(L1482="","",IF(COUNTIF(L$6:L1482,L1482)&gt;1,"",SUMIF(L$6:L$2000,L1482,M$6:M$2000)-SUMIF(L$6:L$2000,L1482,G$6:G$2000)))</f>
        <v/>
      </c>
      <c r="T1482" s="46">
        <f>IF(AND(C1482="",G1482=""),"",IF(L1482="","Nog factureren",IF(AND(G1482&lt;&gt;"",OR(K1482="",K1482&gt;TODAY())),"Nog betalen",IF(OR(R1482="",R1482&gt;TODAY()),"Wacht op klant","Afgerond"))))</f>
        <v/>
      </c>
    </row>
    <row r="1483">
      <c r="A1483" s="45" t="n"/>
      <c r="B1483" s="46">
        <f>IF(A1483="","",YEAR(A1483)&amp;" Q"&amp;ROUNDUP(MONTH(A1483)/3,0))</f>
        <v/>
      </c>
      <c r="C1483" s="47" t="n"/>
      <c r="D1483" s="47" t="n"/>
      <c r="E1483" s="47" t="n"/>
      <c r="F1483" s="47" t="n"/>
      <c r="G1483" s="48" t="n"/>
      <c r="H1483" s="49" t="n"/>
      <c r="I1483" s="50">
        <f>IF(G1483="","",ROUND(G1483*H1483,2))</f>
        <v/>
      </c>
      <c r="J1483" s="50">
        <f>IF(G1483="","",G1483+N(I1483))</f>
        <v/>
      </c>
      <c r="K1483" s="45" t="n"/>
      <c r="L1483" s="47" t="n"/>
      <c r="M1483" s="48" t="n"/>
      <c r="N1483" s="49" t="n"/>
      <c r="O1483" s="50">
        <f>IF(M1483="","",ROUND(M1483*N1483,2))</f>
        <v/>
      </c>
      <c r="P1483" s="50">
        <f>IF(M1483="","",M1483+N(O1483))</f>
        <v/>
      </c>
      <c r="Q1483" s="45" t="n"/>
      <c r="R1483" s="45" t="n"/>
      <c r="S1483" s="51">
        <f>IF(L1483="","",IF(COUNTIF(L$6:L1483,L1483)&gt;1,"",SUMIF(L$6:L$2000,L1483,M$6:M$2000)-SUMIF(L$6:L$2000,L1483,G$6:G$2000)))</f>
        <v/>
      </c>
      <c r="T1483" s="46">
        <f>IF(AND(C1483="",G1483=""),"",IF(L1483="","Nog factureren",IF(AND(G1483&lt;&gt;"",OR(K1483="",K1483&gt;TODAY())),"Nog betalen",IF(OR(R1483="",R1483&gt;TODAY()),"Wacht op klant","Afgerond"))))</f>
        <v/>
      </c>
    </row>
    <row r="1484">
      <c r="A1484" s="45" t="n"/>
      <c r="B1484" s="46">
        <f>IF(A1484="","",YEAR(A1484)&amp;" Q"&amp;ROUNDUP(MONTH(A1484)/3,0))</f>
        <v/>
      </c>
      <c r="C1484" s="47" t="n"/>
      <c r="D1484" s="47" t="n"/>
      <c r="E1484" s="47" t="n"/>
      <c r="F1484" s="47" t="n"/>
      <c r="G1484" s="48" t="n"/>
      <c r="H1484" s="49" t="n"/>
      <c r="I1484" s="50">
        <f>IF(G1484="","",ROUND(G1484*H1484,2))</f>
        <v/>
      </c>
      <c r="J1484" s="50">
        <f>IF(G1484="","",G1484+N(I1484))</f>
        <v/>
      </c>
      <c r="K1484" s="45" t="n"/>
      <c r="L1484" s="47" t="n"/>
      <c r="M1484" s="48" t="n"/>
      <c r="N1484" s="49" t="n"/>
      <c r="O1484" s="50">
        <f>IF(M1484="","",ROUND(M1484*N1484,2))</f>
        <v/>
      </c>
      <c r="P1484" s="50">
        <f>IF(M1484="","",M1484+N(O1484))</f>
        <v/>
      </c>
      <c r="Q1484" s="45" t="n"/>
      <c r="R1484" s="45" t="n"/>
      <c r="S1484" s="51">
        <f>IF(L1484="","",IF(COUNTIF(L$6:L1484,L1484)&gt;1,"",SUMIF(L$6:L$2000,L1484,M$6:M$2000)-SUMIF(L$6:L$2000,L1484,G$6:G$2000)))</f>
        <v/>
      </c>
      <c r="T1484" s="46">
        <f>IF(AND(C1484="",G1484=""),"",IF(L1484="","Nog factureren",IF(AND(G1484&lt;&gt;"",OR(K1484="",K1484&gt;TODAY())),"Nog betalen",IF(OR(R1484="",R1484&gt;TODAY()),"Wacht op klant","Afgerond"))))</f>
        <v/>
      </c>
    </row>
    <row r="1485">
      <c r="A1485" s="45" t="n"/>
      <c r="B1485" s="46">
        <f>IF(A1485="","",YEAR(A1485)&amp;" Q"&amp;ROUNDUP(MONTH(A1485)/3,0))</f>
        <v/>
      </c>
      <c r="C1485" s="47" t="n"/>
      <c r="D1485" s="47" t="n"/>
      <c r="E1485" s="47" t="n"/>
      <c r="F1485" s="47" t="n"/>
      <c r="G1485" s="48" t="n"/>
      <c r="H1485" s="49" t="n"/>
      <c r="I1485" s="50">
        <f>IF(G1485="","",ROUND(G1485*H1485,2))</f>
        <v/>
      </c>
      <c r="J1485" s="50">
        <f>IF(G1485="","",G1485+N(I1485))</f>
        <v/>
      </c>
      <c r="K1485" s="45" t="n"/>
      <c r="L1485" s="47" t="n"/>
      <c r="M1485" s="48" t="n"/>
      <c r="N1485" s="49" t="n"/>
      <c r="O1485" s="50">
        <f>IF(M1485="","",ROUND(M1485*N1485,2))</f>
        <v/>
      </c>
      <c r="P1485" s="50">
        <f>IF(M1485="","",M1485+N(O1485))</f>
        <v/>
      </c>
      <c r="Q1485" s="45" t="n"/>
      <c r="R1485" s="45" t="n"/>
      <c r="S1485" s="51">
        <f>IF(L1485="","",IF(COUNTIF(L$6:L1485,L1485)&gt;1,"",SUMIF(L$6:L$2000,L1485,M$6:M$2000)-SUMIF(L$6:L$2000,L1485,G$6:G$2000)))</f>
        <v/>
      </c>
      <c r="T1485" s="46">
        <f>IF(AND(C1485="",G1485=""),"",IF(L1485="","Nog factureren",IF(AND(G1485&lt;&gt;"",OR(K1485="",K1485&gt;TODAY())),"Nog betalen",IF(OR(R1485="",R1485&gt;TODAY()),"Wacht op klant","Afgerond"))))</f>
        <v/>
      </c>
    </row>
    <row r="1486">
      <c r="A1486" s="45" t="n"/>
      <c r="B1486" s="46">
        <f>IF(A1486="","",YEAR(A1486)&amp;" Q"&amp;ROUNDUP(MONTH(A1486)/3,0))</f>
        <v/>
      </c>
      <c r="C1486" s="47" t="n"/>
      <c r="D1486" s="47" t="n"/>
      <c r="E1486" s="47" t="n"/>
      <c r="F1486" s="47" t="n"/>
      <c r="G1486" s="48" t="n"/>
      <c r="H1486" s="49" t="n"/>
      <c r="I1486" s="50">
        <f>IF(G1486="","",ROUND(G1486*H1486,2))</f>
        <v/>
      </c>
      <c r="J1486" s="50">
        <f>IF(G1486="","",G1486+N(I1486))</f>
        <v/>
      </c>
      <c r="K1486" s="45" t="n"/>
      <c r="L1486" s="47" t="n"/>
      <c r="M1486" s="48" t="n"/>
      <c r="N1486" s="49" t="n"/>
      <c r="O1486" s="50">
        <f>IF(M1486="","",ROUND(M1486*N1486,2))</f>
        <v/>
      </c>
      <c r="P1486" s="50">
        <f>IF(M1486="","",M1486+N(O1486))</f>
        <v/>
      </c>
      <c r="Q1486" s="45" t="n"/>
      <c r="R1486" s="45" t="n"/>
      <c r="S1486" s="51">
        <f>IF(L1486="","",IF(COUNTIF(L$6:L1486,L1486)&gt;1,"",SUMIF(L$6:L$2000,L1486,M$6:M$2000)-SUMIF(L$6:L$2000,L1486,G$6:G$2000)))</f>
        <v/>
      </c>
      <c r="T1486" s="46">
        <f>IF(AND(C1486="",G1486=""),"",IF(L1486="","Nog factureren",IF(AND(G1486&lt;&gt;"",OR(K1486="",K1486&gt;TODAY())),"Nog betalen",IF(OR(R1486="",R1486&gt;TODAY()),"Wacht op klant","Afgerond"))))</f>
        <v/>
      </c>
    </row>
    <row r="1487">
      <c r="A1487" s="45" t="n"/>
      <c r="B1487" s="46">
        <f>IF(A1487="","",YEAR(A1487)&amp;" Q"&amp;ROUNDUP(MONTH(A1487)/3,0))</f>
        <v/>
      </c>
      <c r="C1487" s="47" t="n"/>
      <c r="D1487" s="47" t="n"/>
      <c r="E1487" s="47" t="n"/>
      <c r="F1487" s="47" t="n"/>
      <c r="G1487" s="48" t="n"/>
      <c r="H1487" s="49" t="n"/>
      <c r="I1487" s="50">
        <f>IF(G1487="","",ROUND(G1487*H1487,2))</f>
        <v/>
      </c>
      <c r="J1487" s="50">
        <f>IF(G1487="","",G1487+N(I1487))</f>
        <v/>
      </c>
      <c r="K1487" s="45" t="n"/>
      <c r="L1487" s="47" t="n"/>
      <c r="M1487" s="48" t="n"/>
      <c r="N1487" s="49" t="n"/>
      <c r="O1487" s="50">
        <f>IF(M1487="","",ROUND(M1487*N1487,2))</f>
        <v/>
      </c>
      <c r="P1487" s="50">
        <f>IF(M1487="","",M1487+N(O1487))</f>
        <v/>
      </c>
      <c r="Q1487" s="45" t="n"/>
      <c r="R1487" s="45" t="n"/>
      <c r="S1487" s="51">
        <f>IF(L1487="","",IF(COUNTIF(L$6:L1487,L1487)&gt;1,"",SUMIF(L$6:L$2000,L1487,M$6:M$2000)-SUMIF(L$6:L$2000,L1487,G$6:G$2000)))</f>
        <v/>
      </c>
      <c r="T1487" s="46">
        <f>IF(AND(C1487="",G1487=""),"",IF(L1487="","Nog factureren",IF(AND(G1487&lt;&gt;"",OR(K1487="",K1487&gt;TODAY())),"Nog betalen",IF(OR(R1487="",R1487&gt;TODAY()),"Wacht op klant","Afgerond"))))</f>
        <v/>
      </c>
    </row>
    <row r="1488">
      <c r="A1488" s="45" t="n"/>
      <c r="B1488" s="46">
        <f>IF(A1488="","",YEAR(A1488)&amp;" Q"&amp;ROUNDUP(MONTH(A1488)/3,0))</f>
        <v/>
      </c>
      <c r="C1488" s="47" t="n"/>
      <c r="D1488" s="47" t="n"/>
      <c r="E1488" s="47" t="n"/>
      <c r="F1488" s="47" t="n"/>
      <c r="G1488" s="48" t="n"/>
      <c r="H1488" s="49" t="n"/>
      <c r="I1488" s="50">
        <f>IF(G1488="","",ROUND(G1488*H1488,2))</f>
        <v/>
      </c>
      <c r="J1488" s="50">
        <f>IF(G1488="","",G1488+N(I1488))</f>
        <v/>
      </c>
      <c r="K1488" s="45" t="n"/>
      <c r="L1488" s="47" t="n"/>
      <c r="M1488" s="48" t="n"/>
      <c r="N1488" s="49" t="n"/>
      <c r="O1488" s="50">
        <f>IF(M1488="","",ROUND(M1488*N1488,2))</f>
        <v/>
      </c>
      <c r="P1488" s="50">
        <f>IF(M1488="","",M1488+N(O1488))</f>
        <v/>
      </c>
      <c r="Q1488" s="45" t="n"/>
      <c r="R1488" s="45" t="n"/>
      <c r="S1488" s="51">
        <f>IF(L1488="","",IF(COUNTIF(L$6:L1488,L1488)&gt;1,"",SUMIF(L$6:L$2000,L1488,M$6:M$2000)-SUMIF(L$6:L$2000,L1488,G$6:G$2000)))</f>
        <v/>
      </c>
      <c r="T1488" s="46">
        <f>IF(AND(C1488="",G1488=""),"",IF(L1488="","Nog factureren",IF(AND(G1488&lt;&gt;"",OR(K1488="",K1488&gt;TODAY())),"Nog betalen",IF(OR(R1488="",R1488&gt;TODAY()),"Wacht op klant","Afgerond"))))</f>
        <v/>
      </c>
    </row>
    <row r="1489">
      <c r="A1489" s="45" t="n"/>
      <c r="B1489" s="46">
        <f>IF(A1489="","",YEAR(A1489)&amp;" Q"&amp;ROUNDUP(MONTH(A1489)/3,0))</f>
        <v/>
      </c>
      <c r="C1489" s="47" t="n"/>
      <c r="D1489" s="47" t="n"/>
      <c r="E1489" s="47" t="n"/>
      <c r="F1489" s="47" t="n"/>
      <c r="G1489" s="48" t="n"/>
      <c r="H1489" s="49" t="n"/>
      <c r="I1489" s="50">
        <f>IF(G1489="","",ROUND(G1489*H1489,2))</f>
        <v/>
      </c>
      <c r="J1489" s="50">
        <f>IF(G1489="","",G1489+N(I1489))</f>
        <v/>
      </c>
      <c r="K1489" s="45" t="n"/>
      <c r="L1489" s="47" t="n"/>
      <c r="M1489" s="48" t="n"/>
      <c r="N1489" s="49" t="n"/>
      <c r="O1489" s="50">
        <f>IF(M1489="","",ROUND(M1489*N1489,2))</f>
        <v/>
      </c>
      <c r="P1489" s="50">
        <f>IF(M1489="","",M1489+N(O1489))</f>
        <v/>
      </c>
      <c r="Q1489" s="45" t="n"/>
      <c r="R1489" s="45" t="n"/>
      <c r="S1489" s="51">
        <f>IF(L1489="","",IF(COUNTIF(L$6:L1489,L1489)&gt;1,"",SUMIF(L$6:L$2000,L1489,M$6:M$2000)-SUMIF(L$6:L$2000,L1489,G$6:G$2000)))</f>
        <v/>
      </c>
      <c r="T1489" s="46">
        <f>IF(AND(C1489="",G1489=""),"",IF(L1489="","Nog factureren",IF(AND(G1489&lt;&gt;"",OR(K1489="",K1489&gt;TODAY())),"Nog betalen",IF(OR(R1489="",R1489&gt;TODAY()),"Wacht op klant","Afgerond"))))</f>
        <v/>
      </c>
    </row>
    <row r="1490">
      <c r="A1490" s="45" t="n"/>
      <c r="B1490" s="46">
        <f>IF(A1490="","",YEAR(A1490)&amp;" Q"&amp;ROUNDUP(MONTH(A1490)/3,0))</f>
        <v/>
      </c>
      <c r="C1490" s="47" t="n"/>
      <c r="D1490" s="47" t="n"/>
      <c r="E1490" s="47" t="n"/>
      <c r="F1490" s="47" t="n"/>
      <c r="G1490" s="48" t="n"/>
      <c r="H1490" s="49" t="n"/>
      <c r="I1490" s="50">
        <f>IF(G1490="","",ROUND(G1490*H1490,2))</f>
        <v/>
      </c>
      <c r="J1490" s="50">
        <f>IF(G1490="","",G1490+N(I1490))</f>
        <v/>
      </c>
      <c r="K1490" s="45" t="n"/>
      <c r="L1490" s="47" t="n"/>
      <c r="M1490" s="48" t="n"/>
      <c r="N1490" s="49" t="n"/>
      <c r="O1490" s="50">
        <f>IF(M1490="","",ROUND(M1490*N1490,2))</f>
        <v/>
      </c>
      <c r="P1490" s="50">
        <f>IF(M1490="","",M1490+N(O1490))</f>
        <v/>
      </c>
      <c r="Q1490" s="45" t="n"/>
      <c r="R1490" s="45" t="n"/>
      <c r="S1490" s="51">
        <f>IF(L1490="","",IF(COUNTIF(L$6:L1490,L1490)&gt;1,"",SUMIF(L$6:L$2000,L1490,M$6:M$2000)-SUMIF(L$6:L$2000,L1490,G$6:G$2000)))</f>
        <v/>
      </c>
      <c r="T1490" s="46">
        <f>IF(AND(C1490="",G1490=""),"",IF(L1490="","Nog factureren",IF(AND(G1490&lt;&gt;"",OR(K1490="",K1490&gt;TODAY())),"Nog betalen",IF(OR(R1490="",R1490&gt;TODAY()),"Wacht op klant","Afgerond"))))</f>
        <v/>
      </c>
    </row>
    <row r="1491">
      <c r="A1491" s="45" t="n"/>
      <c r="B1491" s="46">
        <f>IF(A1491="","",YEAR(A1491)&amp;" Q"&amp;ROUNDUP(MONTH(A1491)/3,0))</f>
        <v/>
      </c>
      <c r="C1491" s="47" t="n"/>
      <c r="D1491" s="47" t="n"/>
      <c r="E1491" s="47" t="n"/>
      <c r="F1491" s="47" t="n"/>
      <c r="G1491" s="48" t="n"/>
      <c r="H1491" s="49" t="n"/>
      <c r="I1491" s="50">
        <f>IF(G1491="","",ROUND(G1491*H1491,2))</f>
        <v/>
      </c>
      <c r="J1491" s="50">
        <f>IF(G1491="","",G1491+N(I1491))</f>
        <v/>
      </c>
      <c r="K1491" s="45" t="n"/>
      <c r="L1491" s="47" t="n"/>
      <c r="M1491" s="48" t="n"/>
      <c r="N1491" s="49" t="n"/>
      <c r="O1491" s="50">
        <f>IF(M1491="","",ROUND(M1491*N1491,2))</f>
        <v/>
      </c>
      <c r="P1491" s="50">
        <f>IF(M1491="","",M1491+N(O1491))</f>
        <v/>
      </c>
      <c r="Q1491" s="45" t="n"/>
      <c r="R1491" s="45" t="n"/>
      <c r="S1491" s="51">
        <f>IF(L1491="","",IF(COUNTIF(L$6:L1491,L1491)&gt;1,"",SUMIF(L$6:L$2000,L1491,M$6:M$2000)-SUMIF(L$6:L$2000,L1491,G$6:G$2000)))</f>
        <v/>
      </c>
      <c r="T1491" s="46">
        <f>IF(AND(C1491="",G1491=""),"",IF(L1491="","Nog factureren",IF(AND(G1491&lt;&gt;"",OR(K1491="",K1491&gt;TODAY())),"Nog betalen",IF(OR(R1491="",R1491&gt;TODAY()),"Wacht op klant","Afgerond"))))</f>
        <v/>
      </c>
    </row>
    <row r="1492">
      <c r="A1492" s="45" t="n"/>
      <c r="B1492" s="46">
        <f>IF(A1492="","",YEAR(A1492)&amp;" Q"&amp;ROUNDUP(MONTH(A1492)/3,0))</f>
        <v/>
      </c>
      <c r="C1492" s="47" t="n"/>
      <c r="D1492" s="47" t="n"/>
      <c r="E1492" s="47" t="n"/>
      <c r="F1492" s="47" t="n"/>
      <c r="G1492" s="48" t="n"/>
      <c r="H1492" s="49" t="n"/>
      <c r="I1492" s="50">
        <f>IF(G1492="","",ROUND(G1492*H1492,2))</f>
        <v/>
      </c>
      <c r="J1492" s="50">
        <f>IF(G1492="","",G1492+N(I1492))</f>
        <v/>
      </c>
      <c r="K1492" s="45" t="n"/>
      <c r="L1492" s="47" t="n"/>
      <c r="M1492" s="48" t="n"/>
      <c r="N1492" s="49" t="n"/>
      <c r="O1492" s="50">
        <f>IF(M1492="","",ROUND(M1492*N1492,2))</f>
        <v/>
      </c>
      <c r="P1492" s="50">
        <f>IF(M1492="","",M1492+N(O1492))</f>
        <v/>
      </c>
      <c r="Q1492" s="45" t="n"/>
      <c r="R1492" s="45" t="n"/>
      <c r="S1492" s="51">
        <f>IF(L1492="","",IF(COUNTIF(L$6:L1492,L1492)&gt;1,"",SUMIF(L$6:L$2000,L1492,M$6:M$2000)-SUMIF(L$6:L$2000,L1492,G$6:G$2000)))</f>
        <v/>
      </c>
      <c r="T1492" s="46">
        <f>IF(AND(C1492="",G1492=""),"",IF(L1492="","Nog factureren",IF(AND(G1492&lt;&gt;"",OR(K1492="",K1492&gt;TODAY())),"Nog betalen",IF(OR(R1492="",R1492&gt;TODAY()),"Wacht op klant","Afgerond"))))</f>
        <v/>
      </c>
    </row>
    <row r="1493">
      <c r="A1493" s="45" t="n"/>
      <c r="B1493" s="46">
        <f>IF(A1493="","",YEAR(A1493)&amp;" Q"&amp;ROUNDUP(MONTH(A1493)/3,0))</f>
        <v/>
      </c>
      <c r="C1493" s="47" t="n"/>
      <c r="D1493" s="47" t="n"/>
      <c r="E1493" s="47" t="n"/>
      <c r="F1493" s="47" t="n"/>
      <c r="G1493" s="48" t="n"/>
      <c r="H1493" s="49" t="n"/>
      <c r="I1493" s="50">
        <f>IF(G1493="","",ROUND(G1493*H1493,2))</f>
        <v/>
      </c>
      <c r="J1493" s="50">
        <f>IF(G1493="","",G1493+N(I1493))</f>
        <v/>
      </c>
      <c r="K1493" s="45" t="n"/>
      <c r="L1493" s="47" t="n"/>
      <c r="M1493" s="48" t="n"/>
      <c r="N1493" s="49" t="n"/>
      <c r="O1493" s="50">
        <f>IF(M1493="","",ROUND(M1493*N1493,2))</f>
        <v/>
      </c>
      <c r="P1493" s="50">
        <f>IF(M1493="","",M1493+N(O1493))</f>
        <v/>
      </c>
      <c r="Q1493" s="45" t="n"/>
      <c r="R1493" s="45" t="n"/>
      <c r="S1493" s="51">
        <f>IF(L1493="","",IF(COUNTIF(L$6:L1493,L1493)&gt;1,"",SUMIF(L$6:L$2000,L1493,M$6:M$2000)-SUMIF(L$6:L$2000,L1493,G$6:G$2000)))</f>
        <v/>
      </c>
      <c r="T1493" s="46">
        <f>IF(AND(C1493="",G1493=""),"",IF(L1493="","Nog factureren",IF(AND(G1493&lt;&gt;"",OR(K1493="",K1493&gt;TODAY())),"Nog betalen",IF(OR(R1493="",R1493&gt;TODAY()),"Wacht op klant","Afgerond"))))</f>
        <v/>
      </c>
    </row>
    <row r="1494">
      <c r="A1494" s="45" t="n"/>
      <c r="B1494" s="46">
        <f>IF(A1494="","",YEAR(A1494)&amp;" Q"&amp;ROUNDUP(MONTH(A1494)/3,0))</f>
        <v/>
      </c>
      <c r="C1494" s="47" t="n"/>
      <c r="D1494" s="47" t="n"/>
      <c r="E1494" s="47" t="n"/>
      <c r="F1494" s="47" t="n"/>
      <c r="G1494" s="48" t="n"/>
      <c r="H1494" s="49" t="n"/>
      <c r="I1494" s="50">
        <f>IF(G1494="","",ROUND(G1494*H1494,2))</f>
        <v/>
      </c>
      <c r="J1494" s="50">
        <f>IF(G1494="","",G1494+N(I1494))</f>
        <v/>
      </c>
      <c r="K1494" s="45" t="n"/>
      <c r="L1494" s="47" t="n"/>
      <c r="M1494" s="48" t="n"/>
      <c r="N1494" s="49" t="n"/>
      <c r="O1494" s="50">
        <f>IF(M1494="","",ROUND(M1494*N1494,2))</f>
        <v/>
      </c>
      <c r="P1494" s="50">
        <f>IF(M1494="","",M1494+N(O1494))</f>
        <v/>
      </c>
      <c r="Q1494" s="45" t="n"/>
      <c r="R1494" s="45" t="n"/>
      <c r="S1494" s="51">
        <f>IF(L1494="","",IF(COUNTIF(L$6:L1494,L1494)&gt;1,"",SUMIF(L$6:L$2000,L1494,M$6:M$2000)-SUMIF(L$6:L$2000,L1494,G$6:G$2000)))</f>
        <v/>
      </c>
      <c r="T1494" s="46">
        <f>IF(AND(C1494="",G1494=""),"",IF(L1494="","Nog factureren",IF(AND(G1494&lt;&gt;"",OR(K1494="",K1494&gt;TODAY())),"Nog betalen",IF(OR(R1494="",R1494&gt;TODAY()),"Wacht op klant","Afgerond"))))</f>
        <v/>
      </c>
    </row>
    <row r="1495">
      <c r="A1495" s="45" t="n"/>
      <c r="B1495" s="46">
        <f>IF(A1495="","",YEAR(A1495)&amp;" Q"&amp;ROUNDUP(MONTH(A1495)/3,0))</f>
        <v/>
      </c>
      <c r="C1495" s="47" t="n"/>
      <c r="D1495" s="47" t="n"/>
      <c r="E1495" s="47" t="n"/>
      <c r="F1495" s="47" t="n"/>
      <c r="G1495" s="48" t="n"/>
      <c r="H1495" s="49" t="n"/>
      <c r="I1495" s="50">
        <f>IF(G1495="","",ROUND(G1495*H1495,2))</f>
        <v/>
      </c>
      <c r="J1495" s="50">
        <f>IF(G1495="","",G1495+N(I1495))</f>
        <v/>
      </c>
      <c r="K1495" s="45" t="n"/>
      <c r="L1495" s="47" t="n"/>
      <c r="M1495" s="48" t="n"/>
      <c r="N1495" s="49" t="n"/>
      <c r="O1495" s="50">
        <f>IF(M1495="","",ROUND(M1495*N1495,2))</f>
        <v/>
      </c>
      <c r="P1495" s="50">
        <f>IF(M1495="","",M1495+N(O1495))</f>
        <v/>
      </c>
      <c r="Q1495" s="45" t="n"/>
      <c r="R1495" s="45" t="n"/>
      <c r="S1495" s="51">
        <f>IF(L1495="","",IF(COUNTIF(L$6:L1495,L1495)&gt;1,"",SUMIF(L$6:L$2000,L1495,M$6:M$2000)-SUMIF(L$6:L$2000,L1495,G$6:G$2000)))</f>
        <v/>
      </c>
      <c r="T1495" s="46">
        <f>IF(AND(C1495="",G1495=""),"",IF(L1495="","Nog factureren",IF(AND(G1495&lt;&gt;"",OR(K1495="",K1495&gt;TODAY())),"Nog betalen",IF(OR(R1495="",R1495&gt;TODAY()),"Wacht op klant","Afgerond"))))</f>
        <v/>
      </c>
    </row>
    <row r="1496">
      <c r="A1496" s="45" t="n"/>
      <c r="B1496" s="46">
        <f>IF(A1496="","",YEAR(A1496)&amp;" Q"&amp;ROUNDUP(MONTH(A1496)/3,0))</f>
        <v/>
      </c>
      <c r="C1496" s="47" t="n"/>
      <c r="D1496" s="47" t="n"/>
      <c r="E1496" s="47" t="n"/>
      <c r="F1496" s="47" t="n"/>
      <c r="G1496" s="48" t="n"/>
      <c r="H1496" s="49" t="n"/>
      <c r="I1496" s="50">
        <f>IF(G1496="","",ROUND(G1496*H1496,2))</f>
        <v/>
      </c>
      <c r="J1496" s="50">
        <f>IF(G1496="","",G1496+N(I1496))</f>
        <v/>
      </c>
      <c r="K1496" s="45" t="n"/>
      <c r="L1496" s="47" t="n"/>
      <c r="M1496" s="48" t="n"/>
      <c r="N1496" s="49" t="n"/>
      <c r="O1496" s="50">
        <f>IF(M1496="","",ROUND(M1496*N1496,2))</f>
        <v/>
      </c>
      <c r="P1496" s="50">
        <f>IF(M1496="","",M1496+N(O1496))</f>
        <v/>
      </c>
      <c r="Q1496" s="45" t="n"/>
      <c r="R1496" s="45" t="n"/>
      <c r="S1496" s="51">
        <f>IF(L1496="","",IF(COUNTIF(L$6:L1496,L1496)&gt;1,"",SUMIF(L$6:L$2000,L1496,M$6:M$2000)-SUMIF(L$6:L$2000,L1496,G$6:G$2000)))</f>
        <v/>
      </c>
      <c r="T1496" s="46">
        <f>IF(AND(C1496="",G1496=""),"",IF(L1496="","Nog factureren",IF(AND(G1496&lt;&gt;"",OR(K1496="",K1496&gt;TODAY())),"Nog betalen",IF(OR(R1496="",R1496&gt;TODAY()),"Wacht op klant","Afgerond"))))</f>
        <v/>
      </c>
    </row>
    <row r="1497">
      <c r="A1497" s="45" t="n"/>
      <c r="B1497" s="46">
        <f>IF(A1497="","",YEAR(A1497)&amp;" Q"&amp;ROUNDUP(MONTH(A1497)/3,0))</f>
        <v/>
      </c>
      <c r="C1497" s="47" t="n"/>
      <c r="D1497" s="47" t="n"/>
      <c r="E1497" s="47" t="n"/>
      <c r="F1497" s="47" t="n"/>
      <c r="G1497" s="48" t="n"/>
      <c r="H1497" s="49" t="n"/>
      <c r="I1497" s="50">
        <f>IF(G1497="","",ROUND(G1497*H1497,2))</f>
        <v/>
      </c>
      <c r="J1497" s="50">
        <f>IF(G1497="","",G1497+N(I1497))</f>
        <v/>
      </c>
      <c r="K1497" s="45" t="n"/>
      <c r="L1497" s="47" t="n"/>
      <c r="M1497" s="48" t="n"/>
      <c r="N1497" s="49" t="n"/>
      <c r="O1497" s="50">
        <f>IF(M1497="","",ROUND(M1497*N1497,2))</f>
        <v/>
      </c>
      <c r="P1497" s="50">
        <f>IF(M1497="","",M1497+N(O1497))</f>
        <v/>
      </c>
      <c r="Q1497" s="45" t="n"/>
      <c r="R1497" s="45" t="n"/>
      <c r="S1497" s="51">
        <f>IF(L1497="","",IF(COUNTIF(L$6:L1497,L1497)&gt;1,"",SUMIF(L$6:L$2000,L1497,M$6:M$2000)-SUMIF(L$6:L$2000,L1497,G$6:G$2000)))</f>
        <v/>
      </c>
      <c r="T1497" s="46">
        <f>IF(AND(C1497="",G1497=""),"",IF(L1497="","Nog factureren",IF(AND(G1497&lt;&gt;"",OR(K1497="",K1497&gt;TODAY())),"Nog betalen",IF(OR(R1497="",R1497&gt;TODAY()),"Wacht op klant","Afgerond"))))</f>
        <v/>
      </c>
    </row>
    <row r="1498">
      <c r="A1498" s="45" t="n"/>
      <c r="B1498" s="46">
        <f>IF(A1498="","",YEAR(A1498)&amp;" Q"&amp;ROUNDUP(MONTH(A1498)/3,0))</f>
        <v/>
      </c>
      <c r="C1498" s="47" t="n"/>
      <c r="D1498" s="47" t="n"/>
      <c r="E1498" s="47" t="n"/>
      <c r="F1498" s="47" t="n"/>
      <c r="G1498" s="48" t="n"/>
      <c r="H1498" s="49" t="n"/>
      <c r="I1498" s="50">
        <f>IF(G1498="","",ROUND(G1498*H1498,2))</f>
        <v/>
      </c>
      <c r="J1498" s="50">
        <f>IF(G1498="","",G1498+N(I1498))</f>
        <v/>
      </c>
      <c r="K1498" s="45" t="n"/>
      <c r="L1498" s="47" t="n"/>
      <c r="M1498" s="48" t="n"/>
      <c r="N1498" s="49" t="n"/>
      <c r="O1498" s="50">
        <f>IF(M1498="","",ROUND(M1498*N1498,2))</f>
        <v/>
      </c>
      <c r="P1498" s="50">
        <f>IF(M1498="","",M1498+N(O1498))</f>
        <v/>
      </c>
      <c r="Q1498" s="45" t="n"/>
      <c r="R1498" s="45" t="n"/>
      <c r="S1498" s="51">
        <f>IF(L1498="","",IF(COUNTIF(L$6:L1498,L1498)&gt;1,"",SUMIF(L$6:L$2000,L1498,M$6:M$2000)-SUMIF(L$6:L$2000,L1498,G$6:G$2000)))</f>
        <v/>
      </c>
      <c r="T1498" s="46">
        <f>IF(AND(C1498="",G1498=""),"",IF(L1498="","Nog factureren",IF(AND(G1498&lt;&gt;"",OR(K1498="",K1498&gt;TODAY())),"Nog betalen",IF(OR(R1498="",R1498&gt;TODAY()),"Wacht op klant","Afgerond"))))</f>
        <v/>
      </c>
    </row>
    <row r="1499">
      <c r="A1499" s="45" t="n"/>
      <c r="B1499" s="46">
        <f>IF(A1499="","",YEAR(A1499)&amp;" Q"&amp;ROUNDUP(MONTH(A1499)/3,0))</f>
        <v/>
      </c>
      <c r="C1499" s="47" t="n"/>
      <c r="D1499" s="47" t="n"/>
      <c r="E1499" s="47" t="n"/>
      <c r="F1499" s="47" t="n"/>
      <c r="G1499" s="48" t="n"/>
      <c r="H1499" s="49" t="n"/>
      <c r="I1499" s="50">
        <f>IF(G1499="","",ROUND(G1499*H1499,2))</f>
        <v/>
      </c>
      <c r="J1499" s="50">
        <f>IF(G1499="","",G1499+N(I1499))</f>
        <v/>
      </c>
      <c r="K1499" s="45" t="n"/>
      <c r="L1499" s="47" t="n"/>
      <c r="M1499" s="48" t="n"/>
      <c r="N1499" s="49" t="n"/>
      <c r="O1499" s="50">
        <f>IF(M1499="","",ROUND(M1499*N1499,2))</f>
        <v/>
      </c>
      <c r="P1499" s="50">
        <f>IF(M1499="","",M1499+N(O1499))</f>
        <v/>
      </c>
      <c r="Q1499" s="45" t="n"/>
      <c r="R1499" s="45" t="n"/>
      <c r="S1499" s="51">
        <f>IF(L1499="","",IF(COUNTIF(L$6:L1499,L1499)&gt;1,"",SUMIF(L$6:L$2000,L1499,M$6:M$2000)-SUMIF(L$6:L$2000,L1499,G$6:G$2000)))</f>
        <v/>
      </c>
      <c r="T1499" s="46">
        <f>IF(AND(C1499="",G1499=""),"",IF(L1499="","Nog factureren",IF(AND(G1499&lt;&gt;"",OR(K1499="",K1499&gt;TODAY())),"Nog betalen",IF(OR(R1499="",R1499&gt;TODAY()),"Wacht op klant","Afgerond"))))</f>
        <v/>
      </c>
    </row>
    <row r="1500">
      <c r="A1500" s="45" t="n"/>
      <c r="B1500" s="46">
        <f>IF(A1500="","",YEAR(A1500)&amp;" Q"&amp;ROUNDUP(MONTH(A1500)/3,0))</f>
        <v/>
      </c>
      <c r="C1500" s="47" t="n"/>
      <c r="D1500" s="47" t="n"/>
      <c r="E1500" s="47" t="n"/>
      <c r="F1500" s="47" t="n"/>
      <c r="G1500" s="48" t="n"/>
      <c r="H1500" s="49" t="n"/>
      <c r="I1500" s="50">
        <f>IF(G1500="","",ROUND(G1500*H1500,2))</f>
        <v/>
      </c>
      <c r="J1500" s="50">
        <f>IF(G1500="","",G1500+N(I1500))</f>
        <v/>
      </c>
      <c r="K1500" s="45" t="n"/>
      <c r="L1500" s="47" t="n"/>
      <c r="M1500" s="48" t="n"/>
      <c r="N1500" s="49" t="n"/>
      <c r="O1500" s="50">
        <f>IF(M1500="","",ROUND(M1500*N1500,2))</f>
        <v/>
      </c>
      <c r="P1500" s="50">
        <f>IF(M1500="","",M1500+N(O1500))</f>
        <v/>
      </c>
      <c r="Q1500" s="45" t="n"/>
      <c r="R1500" s="45" t="n"/>
      <c r="S1500" s="51">
        <f>IF(L1500="","",IF(COUNTIF(L$6:L1500,L1500)&gt;1,"",SUMIF(L$6:L$2000,L1500,M$6:M$2000)-SUMIF(L$6:L$2000,L1500,G$6:G$2000)))</f>
        <v/>
      </c>
      <c r="T1500" s="46">
        <f>IF(AND(C1500="",G1500=""),"",IF(L1500="","Nog factureren",IF(AND(G1500&lt;&gt;"",OR(K1500="",K1500&gt;TODAY())),"Nog betalen",IF(OR(R1500="",R1500&gt;TODAY()),"Wacht op klant","Afgerond"))))</f>
        <v/>
      </c>
    </row>
    <row r="1501">
      <c r="A1501" s="45" t="n"/>
      <c r="B1501" s="46">
        <f>IF(A1501="","",YEAR(A1501)&amp;" Q"&amp;ROUNDUP(MONTH(A1501)/3,0))</f>
        <v/>
      </c>
      <c r="C1501" s="47" t="n"/>
      <c r="D1501" s="47" t="n"/>
      <c r="E1501" s="47" t="n"/>
      <c r="F1501" s="47" t="n"/>
      <c r="G1501" s="48" t="n"/>
      <c r="H1501" s="49" t="n"/>
      <c r="I1501" s="50">
        <f>IF(G1501="","",ROUND(G1501*H1501,2))</f>
        <v/>
      </c>
      <c r="J1501" s="50">
        <f>IF(G1501="","",G1501+N(I1501))</f>
        <v/>
      </c>
      <c r="K1501" s="45" t="n"/>
      <c r="L1501" s="47" t="n"/>
      <c r="M1501" s="48" t="n"/>
      <c r="N1501" s="49" t="n"/>
      <c r="O1501" s="50">
        <f>IF(M1501="","",ROUND(M1501*N1501,2))</f>
        <v/>
      </c>
      <c r="P1501" s="50">
        <f>IF(M1501="","",M1501+N(O1501))</f>
        <v/>
      </c>
      <c r="Q1501" s="45" t="n"/>
      <c r="R1501" s="45" t="n"/>
      <c r="S1501" s="51">
        <f>IF(L1501="","",IF(COUNTIF(L$6:L1501,L1501)&gt;1,"",SUMIF(L$6:L$2000,L1501,M$6:M$2000)-SUMIF(L$6:L$2000,L1501,G$6:G$2000)))</f>
        <v/>
      </c>
      <c r="T1501" s="46">
        <f>IF(AND(C1501="",G1501=""),"",IF(L1501="","Nog factureren",IF(AND(G1501&lt;&gt;"",OR(K1501="",K1501&gt;TODAY())),"Nog betalen",IF(OR(R1501="",R1501&gt;TODAY()),"Wacht op klant","Afgerond"))))</f>
        <v/>
      </c>
    </row>
    <row r="1502">
      <c r="A1502" s="45" t="n"/>
      <c r="B1502" s="46">
        <f>IF(A1502="","",YEAR(A1502)&amp;" Q"&amp;ROUNDUP(MONTH(A1502)/3,0))</f>
        <v/>
      </c>
      <c r="C1502" s="47" t="n"/>
      <c r="D1502" s="47" t="n"/>
      <c r="E1502" s="47" t="n"/>
      <c r="F1502" s="47" t="n"/>
      <c r="G1502" s="48" t="n"/>
      <c r="H1502" s="49" t="n"/>
      <c r="I1502" s="50">
        <f>IF(G1502="","",ROUND(G1502*H1502,2))</f>
        <v/>
      </c>
      <c r="J1502" s="50">
        <f>IF(G1502="","",G1502+N(I1502))</f>
        <v/>
      </c>
      <c r="K1502" s="45" t="n"/>
      <c r="L1502" s="47" t="n"/>
      <c r="M1502" s="48" t="n"/>
      <c r="N1502" s="49" t="n"/>
      <c r="O1502" s="50">
        <f>IF(M1502="","",ROUND(M1502*N1502,2))</f>
        <v/>
      </c>
      <c r="P1502" s="50">
        <f>IF(M1502="","",M1502+N(O1502))</f>
        <v/>
      </c>
      <c r="Q1502" s="45" t="n"/>
      <c r="R1502" s="45" t="n"/>
      <c r="S1502" s="51">
        <f>IF(L1502="","",IF(COUNTIF(L$6:L1502,L1502)&gt;1,"",SUMIF(L$6:L$2000,L1502,M$6:M$2000)-SUMIF(L$6:L$2000,L1502,G$6:G$2000)))</f>
        <v/>
      </c>
      <c r="T1502" s="46">
        <f>IF(AND(C1502="",G1502=""),"",IF(L1502="","Nog factureren",IF(AND(G1502&lt;&gt;"",OR(K1502="",K1502&gt;TODAY())),"Nog betalen",IF(OR(R1502="",R1502&gt;TODAY()),"Wacht op klant","Afgerond"))))</f>
        <v/>
      </c>
    </row>
    <row r="1503">
      <c r="A1503" s="45" t="n"/>
      <c r="B1503" s="46">
        <f>IF(A1503="","",YEAR(A1503)&amp;" Q"&amp;ROUNDUP(MONTH(A1503)/3,0))</f>
        <v/>
      </c>
      <c r="C1503" s="47" t="n"/>
      <c r="D1503" s="47" t="n"/>
      <c r="E1503" s="47" t="n"/>
      <c r="F1503" s="47" t="n"/>
      <c r="G1503" s="48" t="n"/>
      <c r="H1503" s="49" t="n"/>
      <c r="I1503" s="50">
        <f>IF(G1503="","",ROUND(G1503*H1503,2))</f>
        <v/>
      </c>
      <c r="J1503" s="50">
        <f>IF(G1503="","",G1503+N(I1503))</f>
        <v/>
      </c>
      <c r="K1503" s="45" t="n"/>
      <c r="L1503" s="47" t="n"/>
      <c r="M1503" s="48" t="n"/>
      <c r="N1503" s="49" t="n"/>
      <c r="O1503" s="50">
        <f>IF(M1503="","",ROUND(M1503*N1503,2))</f>
        <v/>
      </c>
      <c r="P1503" s="50">
        <f>IF(M1503="","",M1503+N(O1503))</f>
        <v/>
      </c>
      <c r="Q1503" s="45" t="n"/>
      <c r="R1503" s="45" t="n"/>
      <c r="S1503" s="51">
        <f>IF(L1503="","",IF(COUNTIF(L$6:L1503,L1503)&gt;1,"",SUMIF(L$6:L$2000,L1503,M$6:M$2000)-SUMIF(L$6:L$2000,L1503,G$6:G$2000)))</f>
        <v/>
      </c>
      <c r="T1503" s="46">
        <f>IF(AND(C1503="",G1503=""),"",IF(L1503="","Nog factureren",IF(AND(G1503&lt;&gt;"",OR(K1503="",K1503&gt;TODAY())),"Nog betalen",IF(OR(R1503="",R1503&gt;TODAY()),"Wacht op klant","Afgerond"))))</f>
        <v/>
      </c>
    </row>
    <row r="1504">
      <c r="A1504" s="45" t="n"/>
      <c r="B1504" s="46">
        <f>IF(A1504="","",YEAR(A1504)&amp;" Q"&amp;ROUNDUP(MONTH(A1504)/3,0))</f>
        <v/>
      </c>
      <c r="C1504" s="47" t="n"/>
      <c r="D1504" s="47" t="n"/>
      <c r="E1504" s="47" t="n"/>
      <c r="F1504" s="47" t="n"/>
      <c r="G1504" s="48" t="n"/>
      <c r="H1504" s="49" t="n"/>
      <c r="I1504" s="50">
        <f>IF(G1504="","",ROUND(G1504*H1504,2))</f>
        <v/>
      </c>
      <c r="J1504" s="50">
        <f>IF(G1504="","",G1504+N(I1504))</f>
        <v/>
      </c>
      <c r="K1504" s="45" t="n"/>
      <c r="L1504" s="47" t="n"/>
      <c r="M1504" s="48" t="n"/>
      <c r="N1504" s="49" t="n"/>
      <c r="O1504" s="50">
        <f>IF(M1504="","",ROUND(M1504*N1504,2))</f>
        <v/>
      </c>
      <c r="P1504" s="50">
        <f>IF(M1504="","",M1504+N(O1504))</f>
        <v/>
      </c>
      <c r="Q1504" s="45" t="n"/>
      <c r="R1504" s="45" t="n"/>
      <c r="S1504" s="51">
        <f>IF(L1504="","",IF(COUNTIF(L$6:L1504,L1504)&gt;1,"",SUMIF(L$6:L$2000,L1504,M$6:M$2000)-SUMIF(L$6:L$2000,L1504,G$6:G$2000)))</f>
        <v/>
      </c>
      <c r="T1504" s="46">
        <f>IF(AND(C1504="",G1504=""),"",IF(L1504="","Nog factureren",IF(AND(G1504&lt;&gt;"",OR(K1504="",K1504&gt;TODAY())),"Nog betalen",IF(OR(R1504="",R1504&gt;TODAY()),"Wacht op klant","Afgerond"))))</f>
        <v/>
      </c>
    </row>
    <row r="1505">
      <c r="A1505" s="45" t="n"/>
      <c r="B1505" s="46">
        <f>IF(A1505="","",YEAR(A1505)&amp;" Q"&amp;ROUNDUP(MONTH(A1505)/3,0))</f>
        <v/>
      </c>
      <c r="C1505" s="47" t="n"/>
      <c r="D1505" s="47" t="n"/>
      <c r="E1505" s="47" t="n"/>
      <c r="F1505" s="47" t="n"/>
      <c r="G1505" s="48" t="n"/>
      <c r="H1505" s="49" t="n"/>
      <c r="I1505" s="50">
        <f>IF(G1505="","",ROUND(G1505*H1505,2))</f>
        <v/>
      </c>
      <c r="J1505" s="50">
        <f>IF(G1505="","",G1505+N(I1505))</f>
        <v/>
      </c>
      <c r="K1505" s="45" t="n"/>
      <c r="L1505" s="47" t="n"/>
      <c r="M1505" s="48" t="n"/>
      <c r="N1505" s="49" t="n"/>
      <c r="O1505" s="50">
        <f>IF(M1505="","",ROUND(M1505*N1505,2))</f>
        <v/>
      </c>
      <c r="P1505" s="50">
        <f>IF(M1505="","",M1505+N(O1505))</f>
        <v/>
      </c>
      <c r="Q1505" s="45" t="n"/>
      <c r="R1505" s="45" t="n"/>
      <c r="S1505" s="51">
        <f>IF(L1505="","",IF(COUNTIF(L$6:L1505,L1505)&gt;1,"",SUMIF(L$6:L$2000,L1505,M$6:M$2000)-SUMIF(L$6:L$2000,L1505,G$6:G$2000)))</f>
        <v/>
      </c>
      <c r="T1505" s="46">
        <f>IF(AND(C1505="",G1505=""),"",IF(L1505="","Nog factureren",IF(AND(G1505&lt;&gt;"",OR(K1505="",K1505&gt;TODAY())),"Nog betalen",IF(OR(R1505="",R1505&gt;TODAY()),"Wacht op klant","Afgerond"))))</f>
        <v/>
      </c>
    </row>
  </sheetData>
  <mergeCells count="4">
    <mergeCell ref="S4:T4"/>
    <mergeCell ref="A4:E4"/>
    <mergeCell ref="L4:R4"/>
    <mergeCell ref="F4:K4"/>
  </mergeCells>
  <conditionalFormatting sqref="T6:T1505">
    <cfRule type="cellIs" priority="1" operator="equal" dxfId="1">
      <formula>"Afgerond"</formula>
    </cfRule>
    <cfRule type="cellIs" priority="2" operator="equal" dxfId="2">
      <formula>"Wacht op klant"</formula>
    </cfRule>
    <cfRule type="cellIs" priority="3" operator="equal" dxfId="3">
      <formula>"Nog betalen"</formula>
    </cfRule>
    <cfRule type="cellIs" priority="4" operator="equal" dxfId="4">
      <formula>"Nog factureren"</formula>
    </cfRule>
  </conditionalFormatting>
  <dataValidations count="2">
    <dataValidation sqref="H6:H1505 N6:N1505" showDropDown="0" showInputMessage="0" showErrorMessage="0" allowBlank="1" error="Typ een percentage, bv. 21%" promptTitle="Btw-percentage" prompt="Typ 21%, 9% of 0%" type="decimal" operator="between">
      <formula1>0</formula1>
      <formula2>1</formula2>
    </dataValidation>
    <dataValidation sqref="A6:A1505 K6:K1505 Q6:Q1505 R6:R1505" showDropDown="0" showInputMessage="0" showErrorMessage="0" allowBlank="1" errorTitle="Geen datum" error="Typ een datum, bv. 15-10-2026" type="date" operator="greaterThan">
      <formula1>36526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6B6B70"/>
    <outlinePr summaryBelow="1" summaryRight="1"/>
    <pageSetUpPr fitToPage="1"/>
  </sheetPr>
  <dimension ref="A1:L80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30" customWidth="1" min="4" max="4"/>
    <col width="26" customWidth="1" min="5" max="5"/>
    <col width="16" customWidth="1" min="6" max="6"/>
    <col width="13" customWidth="1" min="7" max="7"/>
    <col width="7" customWidth="1" min="8" max="8"/>
    <col width="11" customWidth="1" min="9" max="9"/>
    <col width="14" customWidth="1" min="10" max="10"/>
    <col width="12" customWidth="1" min="11" max="11"/>
    <col width="14" customWidth="1" min="12" max="12"/>
  </cols>
  <sheetData>
    <row r="1" ht="22" customHeight="1">
      <c r="C1" s="35" t="inlineStr">
        <is>
          <t>Kosten</t>
        </is>
      </c>
    </row>
    <row r="2" ht="22" customHeight="1">
      <c r="C2" s="2" t="inlineStr">
        <is>
          <t>Alle eigen kosten van Q4S: huur, software, auto, verzekeringen … Kies bij Soort een categorie.</t>
        </is>
      </c>
    </row>
    <row r="3" ht="12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52" t="inlineStr">
        <is>
          <t>KOSTEN  ·  wat Q4S zelf betaalt</t>
        </is>
      </c>
    </row>
    <row r="5" ht="30" customHeight="1">
      <c r="A5" s="44" t="inlineStr">
        <is>
          <t>Datum</t>
        </is>
      </c>
      <c r="B5" s="44" t="inlineStr">
        <is>
          <t>Kwartaal</t>
        </is>
      </c>
      <c r="C5" s="44" t="inlineStr">
        <is>
          <t>Leverancier</t>
        </is>
      </c>
      <c r="D5" s="44" t="inlineStr">
        <is>
          <t>Omschrijving</t>
        </is>
      </c>
      <c r="E5" s="44" t="inlineStr">
        <is>
          <t>Soort</t>
        </is>
      </c>
      <c r="F5" s="44" t="inlineStr">
        <is>
          <t>Factuurnr</t>
        </is>
      </c>
      <c r="G5" s="44" t="inlineStr">
        <is>
          <t>Bedrag ex btw</t>
        </is>
      </c>
      <c r="H5" s="44" t="inlineStr">
        <is>
          <t>Btw %</t>
        </is>
      </c>
      <c r="I5" s="44" t="inlineStr">
        <is>
          <t>Btw €</t>
        </is>
      </c>
      <c r="J5" s="44" t="inlineStr">
        <is>
          <t>Totaal incl btw</t>
        </is>
      </c>
      <c r="K5" s="44" t="inlineStr">
        <is>
          <t>Betaald op</t>
        </is>
      </c>
      <c r="L5" s="44" t="inlineStr">
        <is>
          <t>Status</t>
        </is>
      </c>
    </row>
    <row r="6">
      <c r="A6" s="53" t="n"/>
      <c r="B6" s="54">
        <f>IF(A6="","",YEAR(A6)&amp;" Q"&amp;ROUNDUP(MONTH(A6)/3,0))</f>
        <v/>
      </c>
      <c r="C6" s="55" t="n"/>
      <c r="D6" s="55" t="n"/>
      <c r="E6" s="55" t="n"/>
      <c r="F6" s="55" t="n"/>
      <c r="G6" s="56" t="n"/>
      <c r="H6" s="57" t="n"/>
      <c r="I6" s="58">
        <f>IF(G6="","",ROUND(G6*H6,2))</f>
        <v/>
      </c>
      <c r="J6" s="58">
        <f>IF(G6="","",G6+N(I6))</f>
        <v/>
      </c>
      <c r="K6" s="53" t="n"/>
      <c r="L6" s="54">
        <f>IF(G6="","",IF(OR(K6="",K6&gt;TODAY()),"Nog betalen","Betaald"))</f>
        <v/>
      </c>
    </row>
    <row r="7">
      <c r="A7" s="53" t="n"/>
      <c r="B7" s="54">
        <f>IF(A7="","",YEAR(A7)&amp;" Q"&amp;ROUNDUP(MONTH(A7)/3,0))</f>
        <v/>
      </c>
      <c r="C7" s="55" t="n"/>
      <c r="D7" s="55" t="n"/>
      <c r="E7" s="55" t="n"/>
      <c r="F7" s="55" t="n"/>
      <c r="G7" s="56" t="n"/>
      <c r="H7" s="57" t="n"/>
      <c r="I7" s="58">
        <f>IF(G7="","",ROUND(G7*H7,2))</f>
        <v/>
      </c>
      <c r="J7" s="58">
        <f>IF(G7="","",G7+N(I7))</f>
        <v/>
      </c>
      <c r="K7" s="53" t="n"/>
      <c r="L7" s="54">
        <f>IF(G7="","",IF(OR(K7="",K7&gt;TODAY()),"Nog betalen","Betaald"))</f>
        <v/>
      </c>
    </row>
    <row r="8">
      <c r="A8" s="53" t="n"/>
      <c r="B8" s="54">
        <f>IF(A8="","",YEAR(A8)&amp;" Q"&amp;ROUNDUP(MONTH(A8)/3,0))</f>
        <v/>
      </c>
      <c r="C8" s="55" t="n"/>
      <c r="D8" s="55" t="n"/>
      <c r="E8" s="55" t="n"/>
      <c r="F8" s="55" t="n"/>
      <c r="G8" s="56" t="n"/>
      <c r="H8" s="57" t="n"/>
      <c r="I8" s="58">
        <f>IF(G8="","",ROUND(G8*H8,2))</f>
        <v/>
      </c>
      <c r="J8" s="58">
        <f>IF(G8="","",G8+N(I8))</f>
        <v/>
      </c>
      <c r="K8" s="53" t="n"/>
      <c r="L8" s="54">
        <f>IF(G8="","",IF(OR(K8="",K8&gt;TODAY()),"Nog betalen","Betaald"))</f>
        <v/>
      </c>
    </row>
    <row r="9">
      <c r="A9" s="53" t="n"/>
      <c r="B9" s="54">
        <f>IF(A9="","",YEAR(A9)&amp;" Q"&amp;ROUNDUP(MONTH(A9)/3,0))</f>
        <v/>
      </c>
      <c r="C9" s="55" t="n"/>
      <c r="D9" s="55" t="n"/>
      <c r="E9" s="55" t="n"/>
      <c r="F9" s="55" t="n"/>
      <c r="G9" s="56" t="n"/>
      <c r="H9" s="57" t="n"/>
      <c r="I9" s="58">
        <f>IF(G9="","",ROUND(G9*H9,2))</f>
        <v/>
      </c>
      <c r="J9" s="58">
        <f>IF(G9="","",G9+N(I9))</f>
        <v/>
      </c>
      <c r="K9" s="53" t="n"/>
      <c r="L9" s="54">
        <f>IF(G9="","",IF(OR(K9="",K9&gt;TODAY()),"Nog betalen","Betaald"))</f>
        <v/>
      </c>
    </row>
    <row r="10">
      <c r="A10" s="53" t="n"/>
      <c r="B10" s="54">
        <f>IF(A10="","",YEAR(A10)&amp;" Q"&amp;ROUNDUP(MONTH(A10)/3,0))</f>
        <v/>
      </c>
      <c r="C10" s="55" t="n"/>
      <c r="D10" s="55" t="n"/>
      <c r="E10" s="55" t="n"/>
      <c r="F10" s="55" t="n"/>
      <c r="G10" s="56" t="n"/>
      <c r="H10" s="57" t="n"/>
      <c r="I10" s="58">
        <f>IF(G10="","",ROUND(G10*H10,2))</f>
        <v/>
      </c>
      <c r="J10" s="58">
        <f>IF(G10="","",G10+N(I10))</f>
        <v/>
      </c>
      <c r="K10" s="53" t="n"/>
      <c r="L10" s="54">
        <f>IF(G10="","",IF(OR(K10="",K10&gt;TODAY()),"Nog betalen","Betaald"))</f>
        <v/>
      </c>
    </row>
    <row r="11">
      <c r="A11" s="53" t="n"/>
      <c r="B11" s="54">
        <f>IF(A11="","",YEAR(A11)&amp;" Q"&amp;ROUNDUP(MONTH(A11)/3,0))</f>
        <v/>
      </c>
      <c r="C11" s="55" t="n"/>
      <c r="D11" s="55" t="n"/>
      <c r="E11" s="55" t="n"/>
      <c r="F11" s="55" t="n"/>
      <c r="G11" s="56" t="n"/>
      <c r="H11" s="57" t="n"/>
      <c r="I11" s="58">
        <f>IF(G11="","",ROUND(G11*H11,2))</f>
        <v/>
      </c>
      <c r="J11" s="58">
        <f>IF(G11="","",G11+N(I11))</f>
        <v/>
      </c>
      <c r="K11" s="53" t="n"/>
      <c r="L11" s="54">
        <f>IF(G11="","",IF(OR(K11="",K11&gt;TODAY()),"Nog betalen","Betaald"))</f>
        <v/>
      </c>
    </row>
    <row r="12">
      <c r="A12" s="53" t="n"/>
      <c r="B12" s="54">
        <f>IF(A12="","",YEAR(A12)&amp;" Q"&amp;ROUNDUP(MONTH(A12)/3,0))</f>
        <v/>
      </c>
      <c r="C12" s="55" t="n"/>
      <c r="D12" s="55" t="n"/>
      <c r="E12" s="55" t="n"/>
      <c r="F12" s="55" t="n"/>
      <c r="G12" s="56" t="n"/>
      <c r="H12" s="57" t="n"/>
      <c r="I12" s="58">
        <f>IF(G12="","",ROUND(G12*H12,2))</f>
        <v/>
      </c>
      <c r="J12" s="58">
        <f>IF(G12="","",G12+N(I12))</f>
        <v/>
      </c>
      <c r="K12" s="53" t="n"/>
      <c r="L12" s="54">
        <f>IF(G12="","",IF(OR(K12="",K12&gt;TODAY()),"Nog betalen","Betaald"))</f>
        <v/>
      </c>
    </row>
    <row r="13">
      <c r="A13" s="53" t="n"/>
      <c r="B13" s="54">
        <f>IF(A13="","",YEAR(A13)&amp;" Q"&amp;ROUNDUP(MONTH(A13)/3,0))</f>
        <v/>
      </c>
      <c r="C13" s="55" t="n"/>
      <c r="D13" s="55" t="n"/>
      <c r="E13" s="55" t="n"/>
      <c r="F13" s="55" t="n"/>
      <c r="G13" s="56" t="n"/>
      <c r="H13" s="57" t="n"/>
      <c r="I13" s="58">
        <f>IF(G13="","",ROUND(G13*H13,2))</f>
        <v/>
      </c>
      <c r="J13" s="58">
        <f>IF(G13="","",G13+N(I13))</f>
        <v/>
      </c>
      <c r="K13" s="53" t="n"/>
      <c r="L13" s="54">
        <f>IF(G13="","",IF(OR(K13="",K13&gt;TODAY()),"Nog betalen","Betaald"))</f>
        <v/>
      </c>
    </row>
    <row r="14">
      <c r="A14" s="53" t="n"/>
      <c r="B14" s="54">
        <f>IF(A14="","",YEAR(A14)&amp;" Q"&amp;ROUNDUP(MONTH(A14)/3,0))</f>
        <v/>
      </c>
      <c r="C14" s="55" t="n"/>
      <c r="D14" s="55" t="n"/>
      <c r="E14" s="55" t="n"/>
      <c r="F14" s="55" t="n"/>
      <c r="G14" s="56" t="n"/>
      <c r="H14" s="57" t="n"/>
      <c r="I14" s="58">
        <f>IF(G14="","",ROUND(G14*H14,2))</f>
        <v/>
      </c>
      <c r="J14" s="58">
        <f>IF(G14="","",G14+N(I14))</f>
        <v/>
      </c>
      <c r="K14" s="53" t="n"/>
      <c r="L14" s="54">
        <f>IF(G14="","",IF(OR(K14="",K14&gt;TODAY()),"Nog betalen","Betaald"))</f>
        <v/>
      </c>
    </row>
    <row r="15">
      <c r="A15" s="53" t="n"/>
      <c r="B15" s="54">
        <f>IF(A15="","",YEAR(A15)&amp;" Q"&amp;ROUNDUP(MONTH(A15)/3,0))</f>
        <v/>
      </c>
      <c r="C15" s="55" t="n"/>
      <c r="D15" s="55" t="n"/>
      <c r="E15" s="55" t="n"/>
      <c r="F15" s="55" t="n"/>
      <c r="G15" s="56" t="n"/>
      <c r="H15" s="57" t="n"/>
      <c r="I15" s="58">
        <f>IF(G15="","",ROUND(G15*H15,2))</f>
        <v/>
      </c>
      <c r="J15" s="58">
        <f>IF(G15="","",G15+N(I15))</f>
        <v/>
      </c>
      <c r="K15" s="53" t="n"/>
      <c r="L15" s="54">
        <f>IF(G15="","",IF(OR(K15="",K15&gt;TODAY()),"Nog betalen","Betaald"))</f>
        <v/>
      </c>
    </row>
    <row r="16">
      <c r="A16" s="53" t="n"/>
      <c r="B16" s="54">
        <f>IF(A16="","",YEAR(A16)&amp;" Q"&amp;ROUNDUP(MONTH(A16)/3,0))</f>
        <v/>
      </c>
      <c r="C16" s="55" t="n"/>
      <c r="D16" s="55" t="n"/>
      <c r="E16" s="55" t="n"/>
      <c r="F16" s="55" t="n"/>
      <c r="G16" s="56" t="n"/>
      <c r="H16" s="57" t="n"/>
      <c r="I16" s="58">
        <f>IF(G16="","",ROUND(G16*H16,2))</f>
        <v/>
      </c>
      <c r="J16" s="58">
        <f>IF(G16="","",G16+N(I16))</f>
        <v/>
      </c>
      <c r="K16" s="53" t="n"/>
      <c r="L16" s="54">
        <f>IF(G16="","",IF(OR(K16="",K16&gt;TODAY()),"Nog betalen","Betaald"))</f>
        <v/>
      </c>
    </row>
    <row r="17">
      <c r="A17" s="53" t="n"/>
      <c r="B17" s="54">
        <f>IF(A17="","",YEAR(A17)&amp;" Q"&amp;ROUNDUP(MONTH(A17)/3,0))</f>
        <v/>
      </c>
      <c r="C17" s="55" t="n"/>
      <c r="D17" s="55" t="n"/>
      <c r="E17" s="55" t="n"/>
      <c r="F17" s="55" t="n"/>
      <c r="G17" s="56" t="n"/>
      <c r="H17" s="57" t="n"/>
      <c r="I17" s="58">
        <f>IF(G17="","",ROUND(G17*H17,2))</f>
        <v/>
      </c>
      <c r="J17" s="58">
        <f>IF(G17="","",G17+N(I17))</f>
        <v/>
      </c>
      <c r="K17" s="53" t="n"/>
      <c r="L17" s="54">
        <f>IF(G17="","",IF(OR(K17="",K17&gt;TODAY()),"Nog betalen","Betaald"))</f>
        <v/>
      </c>
    </row>
    <row r="18">
      <c r="A18" s="53" t="n"/>
      <c r="B18" s="54">
        <f>IF(A18="","",YEAR(A18)&amp;" Q"&amp;ROUNDUP(MONTH(A18)/3,0))</f>
        <v/>
      </c>
      <c r="C18" s="55" t="n"/>
      <c r="D18" s="55" t="n"/>
      <c r="E18" s="55" t="n"/>
      <c r="F18" s="55" t="n"/>
      <c r="G18" s="56" t="n"/>
      <c r="H18" s="57" t="n"/>
      <c r="I18" s="58">
        <f>IF(G18="","",ROUND(G18*H18,2))</f>
        <v/>
      </c>
      <c r="J18" s="58">
        <f>IF(G18="","",G18+N(I18))</f>
        <v/>
      </c>
      <c r="K18" s="53" t="n"/>
      <c r="L18" s="54">
        <f>IF(G18="","",IF(OR(K18="",K18&gt;TODAY()),"Nog betalen","Betaald"))</f>
        <v/>
      </c>
    </row>
    <row r="19">
      <c r="A19" s="53" t="n"/>
      <c r="B19" s="54">
        <f>IF(A19="","",YEAR(A19)&amp;" Q"&amp;ROUNDUP(MONTH(A19)/3,0))</f>
        <v/>
      </c>
      <c r="C19" s="55" t="n"/>
      <c r="D19" s="55" t="n"/>
      <c r="E19" s="55" t="n"/>
      <c r="F19" s="55" t="n"/>
      <c r="G19" s="56" t="n"/>
      <c r="H19" s="57" t="n"/>
      <c r="I19" s="58">
        <f>IF(G19="","",ROUND(G19*H19,2))</f>
        <v/>
      </c>
      <c r="J19" s="58">
        <f>IF(G19="","",G19+N(I19))</f>
        <v/>
      </c>
      <c r="K19" s="53" t="n"/>
      <c r="L19" s="54">
        <f>IF(G19="","",IF(OR(K19="",K19&gt;TODAY()),"Nog betalen","Betaald"))</f>
        <v/>
      </c>
    </row>
    <row r="20">
      <c r="A20" s="53" t="n"/>
      <c r="B20" s="54">
        <f>IF(A20="","",YEAR(A20)&amp;" Q"&amp;ROUNDUP(MONTH(A20)/3,0))</f>
        <v/>
      </c>
      <c r="C20" s="55" t="n"/>
      <c r="D20" s="55" t="n"/>
      <c r="E20" s="55" t="n"/>
      <c r="F20" s="55" t="n"/>
      <c r="G20" s="56" t="n"/>
      <c r="H20" s="57" t="n"/>
      <c r="I20" s="58">
        <f>IF(G20="","",ROUND(G20*H20,2))</f>
        <v/>
      </c>
      <c r="J20" s="58">
        <f>IF(G20="","",G20+N(I20))</f>
        <v/>
      </c>
      <c r="K20" s="53" t="n"/>
      <c r="L20" s="54">
        <f>IF(G20="","",IF(OR(K20="",K20&gt;TODAY()),"Nog betalen","Betaald"))</f>
        <v/>
      </c>
    </row>
    <row r="21">
      <c r="A21" s="53" t="n"/>
      <c r="B21" s="54">
        <f>IF(A21="","",YEAR(A21)&amp;" Q"&amp;ROUNDUP(MONTH(A21)/3,0))</f>
        <v/>
      </c>
      <c r="C21" s="55" t="n"/>
      <c r="D21" s="55" t="n"/>
      <c r="E21" s="55" t="n"/>
      <c r="F21" s="55" t="n"/>
      <c r="G21" s="56" t="n"/>
      <c r="H21" s="57" t="n"/>
      <c r="I21" s="58">
        <f>IF(G21="","",ROUND(G21*H21,2))</f>
        <v/>
      </c>
      <c r="J21" s="58">
        <f>IF(G21="","",G21+N(I21))</f>
        <v/>
      </c>
      <c r="K21" s="53" t="n"/>
      <c r="L21" s="54">
        <f>IF(G21="","",IF(OR(K21="",K21&gt;TODAY()),"Nog betalen","Betaald"))</f>
        <v/>
      </c>
    </row>
    <row r="22">
      <c r="A22" s="53" t="n"/>
      <c r="B22" s="54">
        <f>IF(A22="","",YEAR(A22)&amp;" Q"&amp;ROUNDUP(MONTH(A22)/3,0))</f>
        <v/>
      </c>
      <c r="C22" s="55" t="n"/>
      <c r="D22" s="55" t="n"/>
      <c r="E22" s="55" t="n"/>
      <c r="F22" s="55" t="n"/>
      <c r="G22" s="56" t="n"/>
      <c r="H22" s="57" t="n"/>
      <c r="I22" s="58">
        <f>IF(G22="","",ROUND(G22*H22,2))</f>
        <v/>
      </c>
      <c r="J22" s="58">
        <f>IF(G22="","",G22+N(I22))</f>
        <v/>
      </c>
      <c r="K22" s="53" t="n"/>
      <c r="L22" s="54">
        <f>IF(G22="","",IF(OR(K22="",K22&gt;TODAY()),"Nog betalen","Betaald"))</f>
        <v/>
      </c>
    </row>
    <row r="23">
      <c r="A23" s="53" t="n"/>
      <c r="B23" s="54">
        <f>IF(A23="","",YEAR(A23)&amp;" Q"&amp;ROUNDUP(MONTH(A23)/3,0))</f>
        <v/>
      </c>
      <c r="C23" s="55" t="n"/>
      <c r="D23" s="55" t="n"/>
      <c r="E23" s="55" t="n"/>
      <c r="F23" s="55" t="n"/>
      <c r="G23" s="56" t="n"/>
      <c r="H23" s="57" t="n"/>
      <c r="I23" s="58">
        <f>IF(G23="","",ROUND(G23*H23,2))</f>
        <v/>
      </c>
      <c r="J23" s="58">
        <f>IF(G23="","",G23+N(I23))</f>
        <v/>
      </c>
      <c r="K23" s="53" t="n"/>
      <c r="L23" s="54">
        <f>IF(G23="","",IF(OR(K23="",K23&gt;TODAY()),"Nog betalen","Betaald"))</f>
        <v/>
      </c>
    </row>
    <row r="24">
      <c r="A24" s="53" t="n"/>
      <c r="B24" s="54">
        <f>IF(A24="","",YEAR(A24)&amp;" Q"&amp;ROUNDUP(MONTH(A24)/3,0))</f>
        <v/>
      </c>
      <c r="C24" s="55" t="n"/>
      <c r="D24" s="55" t="n"/>
      <c r="E24" s="55" t="n"/>
      <c r="F24" s="55" t="n"/>
      <c r="G24" s="56" t="n"/>
      <c r="H24" s="57" t="n"/>
      <c r="I24" s="58">
        <f>IF(G24="","",ROUND(G24*H24,2))</f>
        <v/>
      </c>
      <c r="J24" s="58">
        <f>IF(G24="","",G24+N(I24))</f>
        <v/>
      </c>
      <c r="K24" s="53" t="n"/>
      <c r="L24" s="54">
        <f>IF(G24="","",IF(OR(K24="",K24&gt;TODAY()),"Nog betalen","Betaald"))</f>
        <v/>
      </c>
    </row>
    <row r="25">
      <c r="A25" s="53" t="n"/>
      <c r="B25" s="54">
        <f>IF(A25="","",YEAR(A25)&amp;" Q"&amp;ROUNDUP(MONTH(A25)/3,0))</f>
        <v/>
      </c>
      <c r="C25" s="55" t="n"/>
      <c r="D25" s="55" t="n"/>
      <c r="E25" s="55" t="n"/>
      <c r="F25" s="55" t="n"/>
      <c r="G25" s="56" t="n"/>
      <c r="H25" s="57" t="n"/>
      <c r="I25" s="58">
        <f>IF(G25="","",ROUND(G25*H25,2))</f>
        <v/>
      </c>
      <c r="J25" s="58">
        <f>IF(G25="","",G25+N(I25))</f>
        <v/>
      </c>
      <c r="K25" s="53" t="n"/>
      <c r="L25" s="54">
        <f>IF(G25="","",IF(OR(K25="",K25&gt;TODAY()),"Nog betalen","Betaald"))</f>
        <v/>
      </c>
    </row>
    <row r="26">
      <c r="A26" s="53" t="n"/>
      <c r="B26" s="54">
        <f>IF(A26="","",YEAR(A26)&amp;" Q"&amp;ROUNDUP(MONTH(A26)/3,0))</f>
        <v/>
      </c>
      <c r="C26" s="55" t="n"/>
      <c r="D26" s="55" t="n"/>
      <c r="E26" s="55" t="n"/>
      <c r="F26" s="55" t="n"/>
      <c r="G26" s="56" t="n"/>
      <c r="H26" s="57" t="n"/>
      <c r="I26" s="58">
        <f>IF(G26="","",ROUND(G26*H26,2))</f>
        <v/>
      </c>
      <c r="J26" s="58">
        <f>IF(G26="","",G26+N(I26))</f>
        <v/>
      </c>
      <c r="K26" s="53" t="n"/>
      <c r="L26" s="54">
        <f>IF(G26="","",IF(OR(K26="",K26&gt;TODAY()),"Nog betalen","Betaald"))</f>
        <v/>
      </c>
    </row>
    <row r="27">
      <c r="A27" s="53" t="n"/>
      <c r="B27" s="54">
        <f>IF(A27="","",YEAR(A27)&amp;" Q"&amp;ROUNDUP(MONTH(A27)/3,0))</f>
        <v/>
      </c>
      <c r="C27" s="55" t="n"/>
      <c r="D27" s="55" t="n"/>
      <c r="E27" s="55" t="n"/>
      <c r="F27" s="55" t="n"/>
      <c r="G27" s="56" t="n"/>
      <c r="H27" s="57" t="n"/>
      <c r="I27" s="58">
        <f>IF(G27="","",ROUND(G27*H27,2))</f>
        <v/>
      </c>
      <c r="J27" s="58">
        <f>IF(G27="","",G27+N(I27))</f>
        <v/>
      </c>
      <c r="K27" s="53" t="n"/>
      <c r="L27" s="54">
        <f>IF(G27="","",IF(OR(K27="",K27&gt;TODAY()),"Nog betalen","Betaald"))</f>
        <v/>
      </c>
    </row>
    <row r="28">
      <c r="A28" s="53" t="n"/>
      <c r="B28" s="54">
        <f>IF(A28="","",YEAR(A28)&amp;" Q"&amp;ROUNDUP(MONTH(A28)/3,0))</f>
        <v/>
      </c>
      <c r="C28" s="55" t="n"/>
      <c r="D28" s="55" t="n"/>
      <c r="E28" s="55" t="n"/>
      <c r="F28" s="55" t="n"/>
      <c r="G28" s="56" t="n"/>
      <c r="H28" s="57" t="n"/>
      <c r="I28" s="58">
        <f>IF(G28="","",ROUND(G28*H28,2))</f>
        <v/>
      </c>
      <c r="J28" s="58">
        <f>IF(G28="","",G28+N(I28))</f>
        <v/>
      </c>
      <c r="K28" s="53" t="n"/>
      <c r="L28" s="54">
        <f>IF(G28="","",IF(OR(K28="",K28&gt;TODAY()),"Nog betalen","Betaald"))</f>
        <v/>
      </c>
    </row>
    <row r="29">
      <c r="A29" s="53" t="n"/>
      <c r="B29" s="54">
        <f>IF(A29="","",YEAR(A29)&amp;" Q"&amp;ROUNDUP(MONTH(A29)/3,0))</f>
        <v/>
      </c>
      <c r="C29" s="55" t="n"/>
      <c r="D29" s="55" t="n"/>
      <c r="E29" s="55" t="n"/>
      <c r="F29" s="55" t="n"/>
      <c r="G29" s="56" t="n"/>
      <c r="H29" s="57" t="n"/>
      <c r="I29" s="58">
        <f>IF(G29="","",ROUND(G29*H29,2))</f>
        <v/>
      </c>
      <c r="J29" s="58">
        <f>IF(G29="","",G29+N(I29))</f>
        <v/>
      </c>
      <c r="K29" s="53" t="n"/>
      <c r="L29" s="54">
        <f>IF(G29="","",IF(OR(K29="",K29&gt;TODAY()),"Nog betalen","Betaald"))</f>
        <v/>
      </c>
    </row>
    <row r="30">
      <c r="A30" s="53" t="n"/>
      <c r="B30" s="54">
        <f>IF(A30="","",YEAR(A30)&amp;" Q"&amp;ROUNDUP(MONTH(A30)/3,0))</f>
        <v/>
      </c>
      <c r="C30" s="55" t="n"/>
      <c r="D30" s="55" t="n"/>
      <c r="E30" s="55" t="n"/>
      <c r="F30" s="55" t="n"/>
      <c r="G30" s="56" t="n"/>
      <c r="H30" s="57" t="n"/>
      <c r="I30" s="58">
        <f>IF(G30="","",ROUND(G30*H30,2))</f>
        <v/>
      </c>
      <c r="J30" s="58">
        <f>IF(G30="","",G30+N(I30))</f>
        <v/>
      </c>
      <c r="K30" s="53" t="n"/>
      <c r="L30" s="54">
        <f>IF(G30="","",IF(OR(K30="",K30&gt;TODAY()),"Nog betalen","Betaald"))</f>
        <v/>
      </c>
    </row>
    <row r="31">
      <c r="A31" s="53" t="n"/>
      <c r="B31" s="54">
        <f>IF(A31="","",YEAR(A31)&amp;" Q"&amp;ROUNDUP(MONTH(A31)/3,0))</f>
        <v/>
      </c>
      <c r="C31" s="55" t="n"/>
      <c r="D31" s="55" t="n"/>
      <c r="E31" s="55" t="n"/>
      <c r="F31" s="55" t="n"/>
      <c r="G31" s="56" t="n"/>
      <c r="H31" s="57" t="n"/>
      <c r="I31" s="58">
        <f>IF(G31="","",ROUND(G31*H31,2))</f>
        <v/>
      </c>
      <c r="J31" s="58">
        <f>IF(G31="","",G31+N(I31))</f>
        <v/>
      </c>
      <c r="K31" s="53" t="n"/>
      <c r="L31" s="54">
        <f>IF(G31="","",IF(OR(K31="",K31&gt;TODAY()),"Nog betalen","Betaald"))</f>
        <v/>
      </c>
    </row>
    <row r="32">
      <c r="A32" s="53" t="n"/>
      <c r="B32" s="54">
        <f>IF(A32="","",YEAR(A32)&amp;" Q"&amp;ROUNDUP(MONTH(A32)/3,0))</f>
        <v/>
      </c>
      <c r="C32" s="55" t="n"/>
      <c r="D32" s="55" t="n"/>
      <c r="E32" s="55" t="n"/>
      <c r="F32" s="55" t="n"/>
      <c r="G32" s="56" t="n"/>
      <c r="H32" s="57" t="n"/>
      <c r="I32" s="58">
        <f>IF(G32="","",ROUND(G32*H32,2))</f>
        <v/>
      </c>
      <c r="J32" s="58">
        <f>IF(G32="","",G32+N(I32))</f>
        <v/>
      </c>
      <c r="K32" s="53" t="n"/>
      <c r="L32" s="54">
        <f>IF(G32="","",IF(OR(K32="",K32&gt;TODAY()),"Nog betalen","Betaald"))</f>
        <v/>
      </c>
    </row>
    <row r="33">
      <c r="A33" s="53" t="n"/>
      <c r="B33" s="54">
        <f>IF(A33="","",YEAR(A33)&amp;" Q"&amp;ROUNDUP(MONTH(A33)/3,0))</f>
        <v/>
      </c>
      <c r="C33" s="55" t="n"/>
      <c r="D33" s="55" t="n"/>
      <c r="E33" s="55" t="n"/>
      <c r="F33" s="55" t="n"/>
      <c r="G33" s="56" t="n"/>
      <c r="H33" s="57" t="n"/>
      <c r="I33" s="58">
        <f>IF(G33="","",ROUND(G33*H33,2))</f>
        <v/>
      </c>
      <c r="J33" s="58">
        <f>IF(G33="","",G33+N(I33))</f>
        <v/>
      </c>
      <c r="K33" s="53" t="n"/>
      <c r="L33" s="54">
        <f>IF(G33="","",IF(OR(K33="",K33&gt;TODAY()),"Nog betalen","Betaald"))</f>
        <v/>
      </c>
    </row>
    <row r="34">
      <c r="A34" s="53" t="n"/>
      <c r="B34" s="54">
        <f>IF(A34="","",YEAR(A34)&amp;" Q"&amp;ROUNDUP(MONTH(A34)/3,0))</f>
        <v/>
      </c>
      <c r="C34" s="55" t="n"/>
      <c r="D34" s="55" t="n"/>
      <c r="E34" s="55" t="n"/>
      <c r="F34" s="55" t="n"/>
      <c r="G34" s="56" t="n"/>
      <c r="H34" s="57" t="n"/>
      <c r="I34" s="58">
        <f>IF(G34="","",ROUND(G34*H34,2))</f>
        <v/>
      </c>
      <c r="J34" s="58">
        <f>IF(G34="","",G34+N(I34))</f>
        <v/>
      </c>
      <c r="K34" s="53" t="n"/>
      <c r="L34" s="54">
        <f>IF(G34="","",IF(OR(K34="",K34&gt;TODAY()),"Nog betalen","Betaald"))</f>
        <v/>
      </c>
    </row>
    <row r="35">
      <c r="A35" s="53" t="n"/>
      <c r="B35" s="54">
        <f>IF(A35="","",YEAR(A35)&amp;" Q"&amp;ROUNDUP(MONTH(A35)/3,0))</f>
        <v/>
      </c>
      <c r="C35" s="55" t="n"/>
      <c r="D35" s="55" t="n"/>
      <c r="E35" s="55" t="n"/>
      <c r="F35" s="55" t="n"/>
      <c r="G35" s="56" t="n"/>
      <c r="H35" s="57" t="n"/>
      <c r="I35" s="58">
        <f>IF(G35="","",ROUND(G35*H35,2))</f>
        <v/>
      </c>
      <c r="J35" s="58">
        <f>IF(G35="","",G35+N(I35))</f>
        <v/>
      </c>
      <c r="K35" s="53" t="n"/>
      <c r="L35" s="54">
        <f>IF(G35="","",IF(OR(K35="",K35&gt;TODAY()),"Nog betalen","Betaald"))</f>
        <v/>
      </c>
    </row>
    <row r="36">
      <c r="A36" s="53" t="n"/>
      <c r="B36" s="54">
        <f>IF(A36="","",YEAR(A36)&amp;" Q"&amp;ROUNDUP(MONTH(A36)/3,0))</f>
        <v/>
      </c>
      <c r="C36" s="55" t="n"/>
      <c r="D36" s="55" t="n"/>
      <c r="E36" s="55" t="n"/>
      <c r="F36" s="55" t="n"/>
      <c r="G36" s="56" t="n"/>
      <c r="H36" s="57" t="n"/>
      <c r="I36" s="58">
        <f>IF(G36="","",ROUND(G36*H36,2))</f>
        <v/>
      </c>
      <c r="J36" s="58">
        <f>IF(G36="","",G36+N(I36))</f>
        <v/>
      </c>
      <c r="K36" s="53" t="n"/>
      <c r="L36" s="54">
        <f>IF(G36="","",IF(OR(K36="",K36&gt;TODAY()),"Nog betalen","Betaald"))</f>
        <v/>
      </c>
    </row>
    <row r="37">
      <c r="A37" s="53" t="n"/>
      <c r="B37" s="54">
        <f>IF(A37="","",YEAR(A37)&amp;" Q"&amp;ROUNDUP(MONTH(A37)/3,0))</f>
        <v/>
      </c>
      <c r="C37" s="55" t="n"/>
      <c r="D37" s="55" t="n"/>
      <c r="E37" s="55" t="n"/>
      <c r="F37" s="55" t="n"/>
      <c r="G37" s="56" t="n"/>
      <c r="H37" s="57" t="n"/>
      <c r="I37" s="58">
        <f>IF(G37="","",ROUND(G37*H37,2))</f>
        <v/>
      </c>
      <c r="J37" s="58">
        <f>IF(G37="","",G37+N(I37))</f>
        <v/>
      </c>
      <c r="K37" s="53" t="n"/>
      <c r="L37" s="54">
        <f>IF(G37="","",IF(OR(K37="",K37&gt;TODAY()),"Nog betalen","Betaald"))</f>
        <v/>
      </c>
    </row>
    <row r="38">
      <c r="A38" s="53" t="n"/>
      <c r="B38" s="54">
        <f>IF(A38="","",YEAR(A38)&amp;" Q"&amp;ROUNDUP(MONTH(A38)/3,0))</f>
        <v/>
      </c>
      <c r="C38" s="55" t="n"/>
      <c r="D38" s="55" t="n"/>
      <c r="E38" s="55" t="n"/>
      <c r="F38" s="55" t="n"/>
      <c r="G38" s="56" t="n"/>
      <c r="H38" s="57" t="n"/>
      <c r="I38" s="58">
        <f>IF(G38="","",ROUND(G38*H38,2))</f>
        <v/>
      </c>
      <c r="J38" s="58">
        <f>IF(G38="","",G38+N(I38))</f>
        <v/>
      </c>
      <c r="K38" s="53" t="n"/>
      <c r="L38" s="54">
        <f>IF(G38="","",IF(OR(K38="",K38&gt;TODAY()),"Nog betalen","Betaald"))</f>
        <v/>
      </c>
    </row>
    <row r="39">
      <c r="A39" s="53" t="n"/>
      <c r="B39" s="54">
        <f>IF(A39="","",YEAR(A39)&amp;" Q"&amp;ROUNDUP(MONTH(A39)/3,0))</f>
        <v/>
      </c>
      <c r="C39" s="55" t="n"/>
      <c r="D39" s="55" t="n"/>
      <c r="E39" s="55" t="n"/>
      <c r="F39" s="55" t="n"/>
      <c r="G39" s="56" t="n"/>
      <c r="H39" s="57" t="n"/>
      <c r="I39" s="58">
        <f>IF(G39="","",ROUND(G39*H39,2))</f>
        <v/>
      </c>
      <c r="J39" s="58">
        <f>IF(G39="","",G39+N(I39))</f>
        <v/>
      </c>
      <c r="K39" s="53" t="n"/>
      <c r="L39" s="54">
        <f>IF(G39="","",IF(OR(K39="",K39&gt;TODAY()),"Nog betalen","Betaald"))</f>
        <v/>
      </c>
    </row>
    <row r="40">
      <c r="A40" s="53" t="n"/>
      <c r="B40" s="54">
        <f>IF(A40="","",YEAR(A40)&amp;" Q"&amp;ROUNDUP(MONTH(A40)/3,0))</f>
        <v/>
      </c>
      <c r="C40" s="55" t="n"/>
      <c r="D40" s="55" t="n"/>
      <c r="E40" s="55" t="n"/>
      <c r="F40" s="55" t="n"/>
      <c r="G40" s="56" t="n"/>
      <c r="H40" s="57" t="n"/>
      <c r="I40" s="58">
        <f>IF(G40="","",ROUND(G40*H40,2))</f>
        <v/>
      </c>
      <c r="J40" s="58">
        <f>IF(G40="","",G40+N(I40))</f>
        <v/>
      </c>
      <c r="K40" s="53" t="n"/>
      <c r="L40" s="54">
        <f>IF(G40="","",IF(OR(K40="",K40&gt;TODAY()),"Nog betalen","Betaald"))</f>
        <v/>
      </c>
    </row>
    <row r="41">
      <c r="A41" s="53" t="n"/>
      <c r="B41" s="54">
        <f>IF(A41="","",YEAR(A41)&amp;" Q"&amp;ROUNDUP(MONTH(A41)/3,0))</f>
        <v/>
      </c>
      <c r="C41" s="55" t="n"/>
      <c r="D41" s="55" t="n"/>
      <c r="E41" s="55" t="n"/>
      <c r="F41" s="55" t="n"/>
      <c r="G41" s="56" t="n"/>
      <c r="H41" s="57" t="n"/>
      <c r="I41" s="58">
        <f>IF(G41="","",ROUND(G41*H41,2))</f>
        <v/>
      </c>
      <c r="J41" s="58">
        <f>IF(G41="","",G41+N(I41))</f>
        <v/>
      </c>
      <c r="K41" s="53" t="n"/>
      <c r="L41" s="54">
        <f>IF(G41="","",IF(OR(K41="",K41&gt;TODAY()),"Nog betalen","Betaald"))</f>
        <v/>
      </c>
    </row>
    <row r="42">
      <c r="A42" s="53" t="n"/>
      <c r="B42" s="54">
        <f>IF(A42="","",YEAR(A42)&amp;" Q"&amp;ROUNDUP(MONTH(A42)/3,0))</f>
        <v/>
      </c>
      <c r="C42" s="55" t="n"/>
      <c r="D42" s="55" t="n"/>
      <c r="E42" s="55" t="n"/>
      <c r="F42" s="55" t="n"/>
      <c r="G42" s="56" t="n"/>
      <c r="H42" s="57" t="n"/>
      <c r="I42" s="58">
        <f>IF(G42="","",ROUND(G42*H42,2))</f>
        <v/>
      </c>
      <c r="J42" s="58">
        <f>IF(G42="","",G42+N(I42))</f>
        <v/>
      </c>
      <c r="K42" s="53" t="n"/>
      <c r="L42" s="54">
        <f>IF(G42="","",IF(OR(K42="",K42&gt;TODAY()),"Nog betalen","Betaald"))</f>
        <v/>
      </c>
    </row>
    <row r="43">
      <c r="A43" s="53" t="n"/>
      <c r="B43" s="54">
        <f>IF(A43="","",YEAR(A43)&amp;" Q"&amp;ROUNDUP(MONTH(A43)/3,0))</f>
        <v/>
      </c>
      <c r="C43" s="55" t="n"/>
      <c r="D43" s="55" t="n"/>
      <c r="E43" s="55" t="n"/>
      <c r="F43" s="55" t="n"/>
      <c r="G43" s="56" t="n"/>
      <c r="H43" s="57" t="n"/>
      <c r="I43" s="58">
        <f>IF(G43="","",ROUND(G43*H43,2))</f>
        <v/>
      </c>
      <c r="J43" s="58">
        <f>IF(G43="","",G43+N(I43))</f>
        <v/>
      </c>
      <c r="K43" s="53" t="n"/>
      <c r="L43" s="54">
        <f>IF(G43="","",IF(OR(K43="",K43&gt;TODAY()),"Nog betalen","Betaald"))</f>
        <v/>
      </c>
    </row>
    <row r="44">
      <c r="A44" s="53" t="n"/>
      <c r="B44" s="54">
        <f>IF(A44="","",YEAR(A44)&amp;" Q"&amp;ROUNDUP(MONTH(A44)/3,0))</f>
        <v/>
      </c>
      <c r="C44" s="55" t="n"/>
      <c r="D44" s="55" t="n"/>
      <c r="E44" s="55" t="n"/>
      <c r="F44" s="55" t="n"/>
      <c r="G44" s="56" t="n"/>
      <c r="H44" s="57" t="n"/>
      <c r="I44" s="58">
        <f>IF(G44="","",ROUND(G44*H44,2))</f>
        <v/>
      </c>
      <c r="J44" s="58">
        <f>IF(G44="","",G44+N(I44))</f>
        <v/>
      </c>
      <c r="K44" s="53" t="n"/>
      <c r="L44" s="54">
        <f>IF(G44="","",IF(OR(K44="",K44&gt;TODAY()),"Nog betalen","Betaald"))</f>
        <v/>
      </c>
    </row>
    <row r="45">
      <c r="A45" s="53" t="n"/>
      <c r="B45" s="54">
        <f>IF(A45="","",YEAR(A45)&amp;" Q"&amp;ROUNDUP(MONTH(A45)/3,0))</f>
        <v/>
      </c>
      <c r="C45" s="55" t="n"/>
      <c r="D45" s="55" t="n"/>
      <c r="E45" s="55" t="n"/>
      <c r="F45" s="55" t="n"/>
      <c r="G45" s="56" t="n"/>
      <c r="H45" s="57" t="n"/>
      <c r="I45" s="58">
        <f>IF(G45="","",ROUND(G45*H45,2))</f>
        <v/>
      </c>
      <c r="J45" s="58">
        <f>IF(G45="","",G45+N(I45))</f>
        <v/>
      </c>
      <c r="K45" s="53" t="n"/>
      <c r="L45" s="54">
        <f>IF(G45="","",IF(OR(K45="",K45&gt;TODAY()),"Nog betalen","Betaald"))</f>
        <v/>
      </c>
    </row>
    <row r="46">
      <c r="A46" s="53" t="n"/>
      <c r="B46" s="54">
        <f>IF(A46="","",YEAR(A46)&amp;" Q"&amp;ROUNDUP(MONTH(A46)/3,0))</f>
        <v/>
      </c>
      <c r="C46" s="55" t="n"/>
      <c r="D46" s="55" t="n"/>
      <c r="E46" s="55" t="n"/>
      <c r="F46" s="55" t="n"/>
      <c r="G46" s="56" t="n"/>
      <c r="H46" s="57" t="n"/>
      <c r="I46" s="58">
        <f>IF(G46="","",ROUND(G46*H46,2))</f>
        <v/>
      </c>
      <c r="J46" s="58">
        <f>IF(G46="","",G46+N(I46))</f>
        <v/>
      </c>
      <c r="K46" s="53" t="n"/>
      <c r="L46" s="54">
        <f>IF(G46="","",IF(OR(K46="",K46&gt;TODAY()),"Nog betalen","Betaald"))</f>
        <v/>
      </c>
    </row>
    <row r="47">
      <c r="A47" s="53" t="n"/>
      <c r="B47" s="54">
        <f>IF(A47="","",YEAR(A47)&amp;" Q"&amp;ROUNDUP(MONTH(A47)/3,0))</f>
        <v/>
      </c>
      <c r="C47" s="55" t="n"/>
      <c r="D47" s="55" t="n"/>
      <c r="E47" s="55" t="n"/>
      <c r="F47" s="55" t="n"/>
      <c r="G47" s="56" t="n"/>
      <c r="H47" s="57" t="n"/>
      <c r="I47" s="58">
        <f>IF(G47="","",ROUND(G47*H47,2))</f>
        <v/>
      </c>
      <c r="J47" s="58">
        <f>IF(G47="","",G47+N(I47))</f>
        <v/>
      </c>
      <c r="K47" s="53" t="n"/>
      <c r="L47" s="54">
        <f>IF(G47="","",IF(OR(K47="",K47&gt;TODAY()),"Nog betalen","Betaald"))</f>
        <v/>
      </c>
    </row>
    <row r="48">
      <c r="A48" s="53" t="n"/>
      <c r="B48" s="54">
        <f>IF(A48="","",YEAR(A48)&amp;" Q"&amp;ROUNDUP(MONTH(A48)/3,0))</f>
        <v/>
      </c>
      <c r="C48" s="55" t="n"/>
      <c r="D48" s="55" t="n"/>
      <c r="E48" s="55" t="n"/>
      <c r="F48" s="55" t="n"/>
      <c r="G48" s="56" t="n"/>
      <c r="H48" s="57" t="n"/>
      <c r="I48" s="58">
        <f>IF(G48="","",ROUND(G48*H48,2))</f>
        <v/>
      </c>
      <c r="J48" s="58">
        <f>IF(G48="","",G48+N(I48))</f>
        <v/>
      </c>
      <c r="K48" s="53" t="n"/>
      <c r="L48" s="54">
        <f>IF(G48="","",IF(OR(K48="",K48&gt;TODAY()),"Nog betalen","Betaald"))</f>
        <v/>
      </c>
    </row>
    <row r="49">
      <c r="A49" s="53" t="n"/>
      <c r="B49" s="54">
        <f>IF(A49="","",YEAR(A49)&amp;" Q"&amp;ROUNDUP(MONTH(A49)/3,0))</f>
        <v/>
      </c>
      <c r="C49" s="55" t="n"/>
      <c r="D49" s="55" t="n"/>
      <c r="E49" s="55" t="n"/>
      <c r="F49" s="55" t="n"/>
      <c r="G49" s="56" t="n"/>
      <c r="H49" s="57" t="n"/>
      <c r="I49" s="58">
        <f>IF(G49="","",ROUND(G49*H49,2))</f>
        <v/>
      </c>
      <c r="J49" s="58">
        <f>IF(G49="","",G49+N(I49))</f>
        <v/>
      </c>
      <c r="K49" s="53" t="n"/>
      <c r="L49" s="54">
        <f>IF(G49="","",IF(OR(K49="",K49&gt;TODAY()),"Nog betalen","Betaald"))</f>
        <v/>
      </c>
    </row>
    <row r="50">
      <c r="A50" s="53" t="n"/>
      <c r="B50" s="54">
        <f>IF(A50="","",YEAR(A50)&amp;" Q"&amp;ROUNDUP(MONTH(A50)/3,0))</f>
        <v/>
      </c>
      <c r="C50" s="55" t="n"/>
      <c r="D50" s="55" t="n"/>
      <c r="E50" s="55" t="n"/>
      <c r="F50" s="55" t="n"/>
      <c r="G50" s="56" t="n"/>
      <c r="H50" s="57" t="n"/>
      <c r="I50" s="58">
        <f>IF(G50="","",ROUND(G50*H50,2))</f>
        <v/>
      </c>
      <c r="J50" s="58">
        <f>IF(G50="","",G50+N(I50))</f>
        <v/>
      </c>
      <c r="K50" s="53" t="n"/>
      <c r="L50" s="54">
        <f>IF(G50="","",IF(OR(K50="",K50&gt;TODAY()),"Nog betalen","Betaald"))</f>
        <v/>
      </c>
    </row>
    <row r="51">
      <c r="A51" s="53" t="n"/>
      <c r="B51" s="54">
        <f>IF(A51="","",YEAR(A51)&amp;" Q"&amp;ROUNDUP(MONTH(A51)/3,0))</f>
        <v/>
      </c>
      <c r="C51" s="55" t="n"/>
      <c r="D51" s="55" t="n"/>
      <c r="E51" s="55" t="n"/>
      <c r="F51" s="55" t="n"/>
      <c r="G51" s="56" t="n"/>
      <c r="H51" s="57" t="n"/>
      <c r="I51" s="58">
        <f>IF(G51="","",ROUND(G51*H51,2))</f>
        <v/>
      </c>
      <c r="J51" s="58">
        <f>IF(G51="","",G51+N(I51))</f>
        <v/>
      </c>
      <c r="K51" s="53" t="n"/>
      <c r="L51" s="54">
        <f>IF(G51="","",IF(OR(K51="",K51&gt;TODAY()),"Nog betalen","Betaald"))</f>
        <v/>
      </c>
    </row>
    <row r="52">
      <c r="A52" s="53" t="n"/>
      <c r="B52" s="54">
        <f>IF(A52="","",YEAR(A52)&amp;" Q"&amp;ROUNDUP(MONTH(A52)/3,0))</f>
        <v/>
      </c>
      <c r="C52" s="55" t="n"/>
      <c r="D52" s="55" t="n"/>
      <c r="E52" s="55" t="n"/>
      <c r="F52" s="55" t="n"/>
      <c r="G52" s="56" t="n"/>
      <c r="H52" s="57" t="n"/>
      <c r="I52" s="58">
        <f>IF(G52="","",ROUND(G52*H52,2))</f>
        <v/>
      </c>
      <c r="J52" s="58">
        <f>IF(G52="","",G52+N(I52))</f>
        <v/>
      </c>
      <c r="K52" s="53" t="n"/>
      <c r="L52" s="54">
        <f>IF(G52="","",IF(OR(K52="",K52&gt;TODAY()),"Nog betalen","Betaald"))</f>
        <v/>
      </c>
    </row>
    <row r="53">
      <c r="A53" s="53" t="n"/>
      <c r="B53" s="54">
        <f>IF(A53="","",YEAR(A53)&amp;" Q"&amp;ROUNDUP(MONTH(A53)/3,0))</f>
        <v/>
      </c>
      <c r="C53" s="55" t="n"/>
      <c r="D53" s="55" t="n"/>
      <c r="E53" s="55" t="n"/>
      <c r="F53" s="55" t="n"/>
      <c r="G53" s="56" t="n"/>
      <c r="H53" s="57" t="n"/>
      <c r="I53" s="58">
        <f>IF(G53="","",ROUND(G53*H53,2))</f>
        <v/>
      </c>
      <c r="J53" s="58">
        <f>IF(G53="","",G53+N(I53))</f>
        <v/>
      </c>
      <c r="K53" s="53" t="n"/>
      <c r="L53" s="54">
        <f>IF(G53="","",IF(OR(K53="",K53&gt;TODAY()),"Nog betalen","Betaald"))</f>
        <v/>
      </c>
    </row>
    <row r="54">
      <c r="A54" s="53" t="n"/>
      <c r="B54" s="54">
        <f>IF(A54="","",YEAR(A54)&amp;" Q"&amp;ROUNDUP(MONTH(A54)/3,0))</f>
        <v/>
      </c>
      <c r="C54" s="55" t="n"/>
      <c r="D54" s="55" t="n"/>
      <c r="E54" s="55" t="n"/>
      <c r="F54" s="55" t="n"/>
      <c r="G54" s="56" t="n"/>
      <c r="H54" s="57" t="n"/>
      <c r="I54" s="58">
        <f>IF(G54="","",ROUND(G54*H54,2))</f>
        <v/>
      </c>
      <c r="J54" s="58">
        <f>IF(G54="","",G54+N(I54))</f>
        <v/>
      </c>
      <c r="K54" s="53" t="n"/>
      <c r="L54" s="54">
        <f>IF(G54="","",IF(OR(K54="",K54&gt;TODAY()),"Nog betalen","Betaald"))</f>
        <v/>
      </c>
    </row>
    <row r="55">
      <c r="A55" s="53" t="n"/>
      <c r="B55" s="54">
        <f>IF(A55="","",YEAR(A55)&amp;" Q"&amp;ROUNDUP(MONTH(A55)/3,0))</f>
        <v/>
      </c>
      <c r="C55" s="55" t="n"/>
      <c r="D55" s="55" t="n"/>
      <c r="E55" s="55" t="n"/>
      <c r="F55" s="55" t="n"/>
      <c r="G55" s="56" t="n"/>
      <c r="H55" s="57" t="n"/>
      <c r="I55" s="58">
        <f>IF(G55="","",ROUND(G55*H55,2))</f>
        <v/>
      </c>
      <c r="J55" s="58">
        <f>IF(G55="","",G55+N(I55))</f>
        <v/>
      </c>
      <c r="K55" s="53" t="n"/>
      <c r="L55" s="54">
        <f>IF(G55="","",IF(OR(K55="",K55&gt;TODAY()),"Nog betalen","Betaald"))</f>
        <v/>
      </c>
    </row>
    <row r="56">
      <c r="A56" s="53" t="n"/>
      <c r="B56" s="54">
        <f>IF(A56="","",YEAR(A56)&amp;" Q"&amp;ROUNDUP(MONTH(A56)/3,0))</f>
        <v/>
      </c>
      <c r="C56" s="55" t="n"/>
      <c r="D56" s="55" t="n"/>
      <c r="E56" s="55" t="n"/>
      <c r="F56" s="55" t="n"/>
      <c r="G56" s="56" t="n"/>
      <c r="H56" s="57" t="n"/>
      <c r="I56" s="58">
        <f>IF(G56="","",ROUND(G56*H56,2))</f>
        <v/>
      </c>
      <c r="J56" s="58">
        <f>IF(G56="","",G56+N(I56))</f>
        <v/>
      </c>
      <c r="K56" s="53" t="n"/>
      <c r="L56" s="54">
        <f>IF(G56="","",IF(OR(K56="",K56&gt;TODAY()),"Nog betalen","Betaald"))</f>
        <v/>
      </c>
    </row>
    <row r="57">
      <c r="A57" s="53" t="n"/>
      <c r="B57" s="54">
        <f>IF(A57="","",YEAR(A57)&amp;" Q"&amp;ROUNDUP(MONTH(A57)/3,0))</f>
        <v/>
      </c>
      <c r="C57" s="55" t="n"/>
      <c r="D57" s="55" t="n"/>
      <c r="E57" s="55" t="n"/>
      <c r="F57" s="55" t="n"/>
      <c r="G57" s="56" t="n"/>
      <c r="H57" s="57" t="n"/>
      <c r="I57" s="58">
        <f>IF(G57="","",ROUND(G57*H57,2))</f>
        <v/>
      </c>
      <c r="J57" s="58">
        <f>IF(G57="","",G57+N(I57))</f>
        <v/>
      </c>
      <c r="K57" s="53" t="n"/>
      <c r="L57" s="54">
        <f>IF(G57="","",IF(OR(K57="",K57&gt;TODAY()),"Nog betalen","Betaald"))</f>
        <v/>
      </c>
    </row>
    <row r="58">
      <c r="A58" s="53" t="n"/>
      <c r="B58" s="54">
        <f>IF(A58="","",YEAR(A58)&amp;" Q"&amp;ROUNDUP(MONTH(A58)/3,0))</f>
        <v/>
      </c>
      <c r="C58" s="55" t="n"/>
      <c r="D58" s="55" t="n"/>
      <c r="E58" s="55" t="n"/>
      <c r="F58" s="55" t="n"/>
      <c r="G58" s="56" t="n"/>
      <c r="H58" s="57" t="n"/>
      <c r="I58" s="58">
        <f>IF(G58="","",ROUND(G58*H58,2))</f>
        <v/>
      </c>
      <c r="J58" s="58">
        <f>IF(G58="","",G58+N(I58))</f>
        <v/>
      </c>
      <c r="K58" s="53" t="n"/>
      <c r="L58" s="54">
        <f>IF(G58="","",IF(OR(K58="",K58&gt;TODAY()),"Nog betalen","Betaald"))</f>
        <v/>
      </c>
    </row>
    <row r="59">
      <c r="A59" s="53" t="n"/>
      <c r="B59" s="54">
        <f>IF(A59="","",YEAR(A59)&amp;" Q"&amp;ROUNDUP(MONTH(A59)/3,0))</f>
        <v/>
      </c>
      <c r="C59" s="55" t="n"/>
      <c r="D59" s="55" t="n"/>
      <c r="E59" s="55" t="n"/>
      <c r="F59" s="55" t="n"/>
      <c r="G59" s="56" t="n"/>
      <c r="H59" s="57" t="n"/>
      <c r="I59" s="58">
        <f>IF(G59="","",ROUND(G59*H59,2))</f>
        <v/>
      </c>
      <c r="J59" s="58">
        <f>IF(G59="","",G59+N(I59))</f>
        <v/>
      </c>
      <c r="K59" s="53" t="n"/>
      <c r="L59" s="54">
        <f>IF(G59="","",IF(OR(K59="",K59&gt;TODAY()),"Nog betalen","Betaald"))</f>
        <v/>
      </c>
    </row>
    <row r="60">
      <c r="A60" s="53" t="n"/>
      <c r="B60" s="54">
        <f>IF(A60="","",YEAR(A60)&amp;" Q"&amp;ROUNDUP(MONTH(A60)/3,0))</f>
        <v/>
      </c>
      <c r="C60" s="55" t="n"/>
      <c r="D60" s="55" t="n"/>
      <c r="E60" s="55" t="n"/>
      <c r="F60" s="55" t="n"/>
      <c r="G60" s="56" t="n"/>
      <c r="H60" s="57" t="n"/>
      <c r="I60" s="58">
        <f>IF(G60="","",ROUND(G60*H60,2))</f>
        <v/>
      </c>
      <c r="J60" s="58">
        <f>IF(G60="","",G60+N(I60))</f>
        <v/>
      </c>
      <c r="K60" s="53" t="n"/>
      <c r="L60" s="54">
        <f>IF(G60="","",IF(OR(K60="",K60&gt;TODAY()),"Nog betalen","Betaald"))</f>
        <v/>
      </c>
    </row>
    <row r="61">
      <c r="A61" s="53" t="n"/>
      <c r="B61" s="54">
        <f>IF(A61="","",YEAR(A61)&amp;" Q"&amp;ROUNDUP(MONTH(A61)/3,0))</f>
        <v/>
      </c>
      <c r="C61" s="55" t="n"/>
      <c r="D61" s="55" t="n"/>
      <c r="E61" s="55" t="n"/>
      <c r="F61" s="55" t="n"/>
      <c r="G61" s="56" t="n"/>
      <c r="H61" s="57" t="n"/>
      <c r="I61" s="58">
        <f>IF(G61="","",ROUND(G61*H61,2))</f>
        <v/>
      </c>
      <c r="J61" s="58">
        <f>IF(G61="","",G61+N(I61))</f>
        <v/>
      </c>
      <c r="K61" s="53" t="n"/>
      <c r="L61" s="54">
        <f>IF(G61="","",IF(OR(K61="",K61&gt;TODAY()),"Nog betalen","Betaald"))</f>
        <v/>
      </c>
    </row>
    <row r="62">
      <c r="A62" s="53" t="n"/>
      <c r="B62" s="54">
        <f>IF(A62="","",YEAR(A62)&amp;" Q"&amp;ROUNDUP(MONTH(A62)/3,0))</f>
        <v/>
      </c>
      <c r="C62" s="55" t="n"/>
      <c r="D62" s="55" t="n"/>
      <c r="E62" s="55" t="n"/>
      <c r="F62" s="55" t="n"/>
      <c r="G62" s="56" t="n"/>
      <c r="H62" s="57" t="n"/>
      <c r="I62" s="58">
        <f>IF(G62="","",ROUND(G62*H62,2))</f>
        <v/>
      </c>
      <c r="J62" s="58">
        <f>IF(G62="","",G62+N(I62))</f>
        <v/>
      </c>
      <c r="K62" s="53" t="n"/>
      <c r="L62" s="54">
        <f>IF(G62="","",IF(OR(K62="",K62&gt;TODAY()),"Nog betalen","Betaald"))</f>
        <v/>
      </c>
    </row>
    <row r="63">
      <c r="A63" s="53" t="n"/>
      <c r="B63" s="54">
        <f>IF(A63="","",YEAR(A63)&amp;" Q"&amp;ROUNDUP(MONTH(A63)/3,0))</f>
        <v/>
      </c>
      <c r="C63" s="55" t="n"/>
      <c r="D63" s="55" t="n"/>
      <c r="E63" s="55" t="n"/>
      <c r="F63" s="55" t="n"/>
      <c r="G63" s="56" t="n"/>
      <c r="H63" s="57" t="n"/>
      <c r="I63" s="58">
        <f>IF(G63="","",ROUND(G63*H63,2))</f>
        <v/>
      </c>
      <c r="J63" s="58">
        <f>IF(G63="","",G63+N(I63))</f>
        <v/>
      </c>
      <c r="K63" s="53" t="n"/>
      <c r="L63" s="54">
        <f>IF(G63="","",IF(OR(K63="",K63&gt;TODAY()),"Nog betalen","Betaald"))</f>
        <v/>
      </c>
    </row>
    <row r="64">
      <c r="A64" s="53" t="n"/>
      <c r="B64" s="54">
        <f>IF(A64="","",YEAR(A64)&amp;" Q"&amp;ROUNDUP(MONTH(A64)/3,0))</f>
        <v/>
      </c>
      <c r="C64" s="55" t="n"/>
      <c r="D64" s="55" t="n"/>
      <c r="E64" s="55" t="n"/>
      <c r="F64" s="55" t="n"/>
      <c r="G64" s="56" t="n"/>
      <c r="H64" s="57" t="n"/>
      <c r="I64" s="58">
        <f>IF(G64="","",ROUND(G64*H64,2))</f>
        <v/>
      </c>
      <c r="J64" s="58">
        <f>IF(G64="","",G64+N(I64))</f>
        <v/>
      </c>
      <c r="K64" s="53" t="n"/>
      <c r="L64" s="54">
        <f>IF(G64="","",IF(OR(K64="",K64&gt;TODAY()),"Nog betalen","Betaald"))</f>
        <v/>
      </c>
    </row>
    <row r="65">
      <c r="A65" s="53" t="n"/>
      <c r="B65" s="54">
        <f>IF(A65="","",YEAR(A65)&amp;" Q"&amp;ROUNDUP(MONTH(A65)/3,0))</f>
        <v/>
      </c>
      <c r="C65" s="55" t="n"/>
      <c r="D65" s="55" t="n"/>
      <c r="E65" s="55" t="n"/>
      <c r="F65" s="55" t="n"/>
      <c r="G65" s="56" t="n"/>
      <c r="H65" s="57" t="n"/>
      <c r="I65" s="58">
        <f>IF(G65="","",ROUND(G65*H65,2))</f>
        <v/>
      </c>
      <c r="J65" s="58">
        <f>IF(G65="","",G65+N(I65))</f>
        <v/>
      </c>
      <c r="K65" s="53" t="n"/>
      <c r="L65" s="54">
        <f>IF(G65="","",IF(OR(K65="",K65&gt;TODAY()),"Nog betalen","Betaald"))</f>
        <v/>
      </c>
    </row>
    <row r="66">
      <c r="A66" s="53" t="n"/>
      <c r="B66" s="54">
        <f>IF(A66="","",YEAR(A66)&amp;" Q"&amp;ROUNDUP(MONTH(A66)/3,0))</f>
        <v/>
      </c>
      <c r="C66" s="55" t="n"/>
      <c r="D66" s="55" t="n"/>
      <c r="E66" s="55" t="n"/>
      <c r="F66" s="55" t="n"/>
      <c r="G66" s="56" t="n"/>
      <c r="H66" s="57" t="n"/>
      <c r="I66" s="58">
        <f>IF(G66="","",ROUND(G66*H66,2))</f>
        <v/>
      </c>
      <c r="J66" s="58">
        <f>IF(G66="","",G66+N(I66))</f>
        <v/>
      </c>
      <c r="K66" s="53" t="n"/>
      <c r="L66" s="54">
        <f>IF(G66="","",IF(OR(K66="",K66&gt;TODAY()),"Nog betalen","Betaald"))</f>
        <v/>
      </c>
    </row>
    <row r="67">
      <c r="A67" s="53" t="n"/>
      <c r="B67" s="54">
        <f>IF(A67="","",YEAR(A67)&amp;" Q"&amp;ROUNDUP(MONTH(A67)/3,0))</f>
        <v/>
      </c>
      <c r="C67" s="55" t="n"/>
      <c r="D67" s="55" t="n"/>
      <c r="E67" s="55" t="n"/>
      <c r="F67" s="55" t="n"/>
      <c r="G67" s="56" t="n"/>
      <c r="H67" s="57" t="n"/>
      <c r="I67" s="58">
        <f>IF(G67="","",ROUND(G67*H67,2))</f>
        <v/>
      </c>
      <c r="J67" s="58">
        <f>IF(G67="","",G67+N(I67))</f>
        <v/>
      </c>
      <c r="K67" s="53" t="n"/>
      <c r="L67" s="54">
        <f>IF(G67="","",IF(OR(K67="",K67&gt;TODAY()),"Nog betalen","Betaald"))</f>
        <v/>
      </c>
    </row>
    <row r="68">
      <c r="A68" s="53" t="n"/>
      <c r="B68" s="54">
        <f>IF(A68="","",YEAR(A68)&amp;" Q"&amp;ROUNDUP(MONTH(A68)/3,0))</f>
        <v/>
      </c>
      <c r="C68" s="55" t="n"/>
      <c r="D68" s="55" t="n"/>
      <c r="E68" s="55" t="n"/>
      <c r="F68" s="55" t="n"/>
      <c r="G68" s="56" t="n"/>
      <c r="H68" s="57" t="n"/>
      <c r="I68" s="58">
        <f>IF(G68="","",ROUND(G68*H68,2))</f>
        <v/>
      </c>
      <c r="J68" s="58">
        <f>IF(G68="","",G68+N(I68))</f>
        <v/>
      </c>
      <c r="K68" s="53" t="n"/>
      <c r="L68" s="54">
        <f>IF(G68="","",IF(OR(K68="",K68&gt;TODAY()),"Nog betalen","Betaald"))</f>
        <v/>
      </c>
    </row>
    <row r="69">
      <c r="A69" s="53" t="n"/>
      <c r="B69" s="54">
        <f>IF(A69="","",YEAR(A69)&amp;" Q"&amp;ROUNDUP(MONTH(A69)/3,0))</f>
        <v/>
      </c>
      <c r="C69" s="55" t="n"/>
      <c r="D69" s="55" t="n"/>
      <c r="E69" s="55" t="n"/>
      <c r="F69" s="55" t="n"/>
      <c r="G69" s="56" t="n"/>
      <c r="H69" s="57" t="n"/>
      <c r="I69" s="58">
        <f>IF(G69="","",ROUND(G69*H69,2))</f>
        <v/>
      </c>
      <c r="J69" s="58">
        <f>IF(G69="","",G69+N(I69))</f>
        <v/>
      </c>
      <c r="K69" s="53" t="n"/>
      <c r="L69" s="54">
        <f>IF(G69="","",IF(OR(K69="",K69&gt;TODAY()),"Nog betalen","Betaald"))</f>
        <v/>
      </c>
    </row>
    <row r="70">
      <c r="A70" s="53" t="n"/>
      <c r="B70" s="54">
        <f>IF(A70="","",YEAR(A70)&amp;" Q"&amp;ROUNDUP(MONTH(A70)/3,0))</f>
        <v/>
      </c>
      <c r="C70" s="55" t="n"/>
      <c r="D70" s="55" t="n"/>
      <c r="E70" s="55" t="n"/>
      <c r="F70" s="55" t="n"/>
      <c r="G70" s="56" t="n"/>
      <c r="H70" s="57" t="n"/>
      <c r="I70" s="58">
        <f>IF(G70="","",ROUND(G70*H70,2))</f>
        <v/>
      </c>
      <c r="J70" s="58">
        <f>IF(G70="","",G70+N(I70))</f>
        <v/>
      </c>
      <c r="K70" s="53" t="n"/>
      <c r="L70" s="54">
        <f>IF(G70="","",IF(OR(K70="",K70&gt;TODAY()),"Nog betalen","Betaald"))</f>
        <v/>
      </c>
    </row>
    <row r="71">
      <c r="A71" s="53" t="n"/>
      <c r="B71" s="54">
        <f>IF(A71="","",YEAR(A71)&amp;" Q"&amp;ROUNDUP(MONTH(A71)/3,0))</f>
        <v/>
      </c>
      <c r="C71" s="55" t="n"/>
      <c r="D71" s="55" t="n"/>
      <c r="E71" s="55" t="n"/>
      <c r="F71" s="55" t="n"/>
      <c r="G71" s="56" t="n"/>
      <c r="H71" s="57" t="n"/>
      <c r="I71" s="58">
        <f>IF(G71="","",ROUND(G71*H71,2))</f>
        <v/>
      </c>
      <c r="J71" s="58">
        <f>IF(G71="","",G71+N(I71))</f>
        <v/>
      </c>
      <c r="K71" s="53" t="n"/>
      <c r="L71" s="54">
        <f>IF(G71="","",IF(OR(K71="",K71&gt;TODAY()),"Nog betalen","Betaald"))</f>
        <v/>
      </c>
    </row>
    <row r="72">
      <c r="A72" s="53" t="n"/>
      <c r="B72" s="54">
        <f>IF(A72="","",YEAR(A72)&amp;" Q"&amp;ROUNDUP(MONTH(A72)/3,0))</f>
        <v/>
      </c>
      <c r="C72" s="55" t="n"/>
      <c r="D72" s="55" t="n"/>
      <c r="E72" s="55" t="n"/>
      <c r="F72" s="55" t="n"/>
      <c r="G72" s="56" t="n"/>
      <c r="H72" s="57" t="n"/>
      <c r="I72" s="58">
        <f>IF(G72="","",ROUND(G72*H72,2))</f>
        <v/>
      </c>
      <c r="J72" s="58">
        <f>IF(G72="","",G72+N(I72))</f>
        <v/>
      </c>
      <c r="K72" s="53" t="n"/>
      <c r="L72" s="54">
        <f>IF(G72="","",IF(OR(K72="",K72&gt;TODAY()),"Nog betalen","Betaald"))</f>
        <v/>
      </c>
    </row>
    <row r="73">
      <c r="A73" s="53" t="n"/>
      <c r="B73" s="54">
        <f>IF(A73="","",YEAR(A73)&amp;" Q"&amp;ROUNDUP(MONTH(A73)/3,0))</f>
        <v/>
      </c>
      <c r="C73" s="55" t="n"/>
      <c r="D73" s="55" t="n"/>
      <c r="E73" s="55" t="n"/>
      <c r="F73" s="55" t="n"/>
      <c r="G73" s="56" t="n"/>
      <c r="H73" s="57" t="n"/>
      <c r="I73" s="58">
        <f>IF(G73="","",ROUND(G73*H73,2))</f>
        <v/>
      </c>
      <c r="J73" s="58">
        <f>IF(G73="","",G73+N(I73))</f>
        <v/>
      </c>
      <c r="K73" s="53" t="n"/>
      <c r="L73" s="54">
        <f>IF(G73="","",IF(OR(K73="",K73&gt;TODAY()),"Nog betalen","Betaald"))</f>
        <v/>
      </c>
    </row>
    <row r="74">
      <c r="A74" s="53" t="n"/>
      <c r="B74" s="54">
        <f>IF(A74="","",YEAR(A74)&amp;" Q"&amp;ROUNDUP(MONTH(A74)/3,0))</f>
        <v/>
      </c>
      <c r="C74" s="55" t="n"/>
      <c r="D74" s="55" t="n"/>
      <c r="E74" s="55" t="n"/>
      <c r="F74" s="55" t="n"/>
      <c r="G74" s="56" t="n"/>
      <c r="H74" s="57" t="n"/>
      <c r="I74" s="58">
        <f>IF(G74="","",ROUND(G74*H74,2))</f>
        <v/>
      </c>
      <c r="J74" s="58">
        <f>IF(G74="","",G74+N(I74))</f>
        <v/>
      </c>
      <c r="K74" s="53" t="n"/>
      <c r="L74" s="54">
        <f>IF(G74="","",IF(OR(K74="",K74&gt;TODAY()),"Nog betalen","Betaald"))</f>
        <v/>
      </c>
    </row>
    <row r="75">
      <c r="A75" s="53" t="n"/>
      <c r="B75" s="54">
        <f>IF(A75="","",YEAR(A75)&amp;" Q"&amp;ROUNDUP(MONTH(A75)/3,0))</f>
        <v/>
      </c>
      <c r="C75" s="55" t="n"/>
      <c r="D75" s="55" t="n"/>
      <c r="E75" s="55" t="n"/>
      <c r="F75" s="55" t="n"/>
      <c r="G75" s="56" t="n"/>
      <c r="H75" s="57" t="n"/>
      <c r="I75" s="58">
        <f>IF(G75="","",ROUND(G75*H75,2))</f>
        <v/>
      </c>
      <c r="J75" s="58">
        <f>IF(G75="","",G75+N(I75))</f>
        <v/>
      </c>
      <c r="K75" s="53" t="n"/>
      <c r="L75" s="54">
        <f>IF(G75="","",IF(OR(K75="",K75&gt;TODAY()),"Nog betalen","Betaald"))</f>
        <v/>
      </c>
    </row>
    <row r="76">
      <c r="A76" s="53" t="n"/>
      <c r="B76" s="54">
        <f>IF(A76="","",YEAR(A76)&amp;" Q"&amp;ROUNDUP(MONTH(A76)/3,0))</f>
        <v/>
      </c>
      <c r="C76" s="55" t="n"/>
      <c r="D76" s="55" t="n"/>
      <c r="E76" s="55" t="n"/>
      <c r="F76" s="55" t="n"/>
      <c r="G76" s="56" t="n"/>
      <c r="H76" s="57" t="n"/>
      <c r="I76" s="58">
        <f>IF(G76="","",ROUND(G76*H76,2))</f>
        <v/>
      </c>
      <c r="J76" s="58">
        <f>IF(G76="","",G76+N(I76))</f>
        <v/>
      </c>
      <c r="K76" s="53" t="n"/>
      <c r="L76" s="54">
        <f>IF(G76="","",IF(OR(K76="",K76&gt;TODAY()),"Nog betalen","Betaald"))</f>
        <v/>
      </c>
    </row>
    <row r="77">
      <c r="A77" s="53" t="n"/>
      <c r="B77" s="54">
        <f>IF(A77="","",YEAR(A77)&amp;" Q"&amp;ROUNDUP(MONTH(A77)/3,0))</f>
        <v/>
      </c>
      <c r="C77" s="55" t="n"/>
      <c r="D77" s="55" t="n"/>
      <c r="E77" s="55" t="n"/>
      <c r="F77" s="55" t="n"/>
      <c r="G77" s="56" t="n"/>
      <c r="H77" s="57" t="n"/>
      <c r="I77" s="58">
        <f>IF(G77="","",ROUND(G77*H77,2))</f>
        <v/>
      </c>
      <c r="J77" s="58">
        <f>IF(G77="","",G77+N(I77))</f>
        <v/>
      </c>
      <c r="K77" s="53" t="n"/>
      <c r="L77" s="54">
        <f>IF(G77="","",IF(OR(K77="",K77&gt;TODAY()),"Nog betalen","Betaald"))</f>
        <v/>
      </c>
    </row>
    <row r="78">
      <c r="A78" s="53" t="n"/>
      <c r="B78" s="54">
        <f>IF(A78="","",YEAR(A78)&amp;" Q"&amp;ROUNDUP(MONTH(A78)/3,0))</f>
        <v/>
      </c>
      <c r="C78" s="55" t="n"/>
      <c r="D78" s="55" t="n"/>
      <c r="E78" s="55" t="n"/>
      <c r="F78" s="55" t="n"/>
      <c r="G78" s="56" t="n"/>
      <c r="H78" s="57" t="n"/>
      <c r="I78" s="58">
        <f>IF(G78="","",ROUND(G78*H78,2))</f>
        <v/>
      </c>
      <c r="J78" s="58">
        <f>IF(G78="","",G78+N(I78))</f>
        <v/>
      </c>
      <c r="K78" s="53" t="n"/>
      <c r="L78" s="54">
        <f>IF(G78="","",IF(OR(K78="",K78&gt;TODAY()),"Nog betalen","Betaald"))</f>
        <v/>
      </c>
    </row>
    <row r="79">
      <c r="A79" s="53" t="n"/>
      <c r="B79" s="54">
        <f>IF(A79="","",YEAR(A79)&amp;" Q"&amp;ROUNDUP(MONTH(A79)/3,0))</f>
        <v/>
      </c>
      <c r="C79" s="55" t="n"/>
      <c r="D79" s="55" t="n"/>
      <c r="E79" s="55" t="n"/>
      <c r="F79" s="55" t="n"/>
      <c r="G79" s="56" t="n"/>
      <c r="H79" s="57" t="n"/>
      <c r="I79" s="58">
        <f>IF(G79="","",ROUND(G79*H79,2))</f>
        <v/>
      </c>
      <c r="J79" s="58">
        <f>IF(G79="","",G79+N(I79))</f>
        <v/>
      </c>
      <c r="K79" s="53" t="n"/>
      <c r="L79" s="54">
        <f>IF(G79="","",IF(OR(K79="",K79&gt;TODAY()),"Nog betalen","Betaald"))</f>
        <v/>
      </c>
    </row>
    <row r="80">
      <c r="A80" s="53" t="n"/>
      <c r="B80" s="54">
        <f>IF(A80="","",YEAR(A80)&amp;" Q"&amp;ROUNDUP(MONTH(A80)/3,0))</f>
        <v/>
      </c>
      <c r="C80" s="55" t="n"/>
      <c r="D80" s="55" t="n"/>
      <c r="E80" s="55" t="n"/>
      <c r="F80" s="55" t="n"/>
      <c r="G80" s="56" t="n"/>
      <c r="H80" s="57" t="n"/>
      <c r="I80" s="58">
        <f>IF(G80="","",ROUND(G80*H80,2))</f>
        <v/>
      </c>
      <c r="J80" s="58">
        <f>IF(G80="","",G80+N(I80))</f>
        <v/>
      </c>
      <c r="K80" s="53" t="n"/>
      <c r="L80" s="54">
        <f>IF(G80="","",IF(OR(K80="",K80&gt;TODAY()),"Nog betalen","Betaald"))</f>
        <v/>
      </c>
    </row>
    <row r="81">
      <c r="A81" s="53" t="n"/>
      <c r="B81" s="54">
        <f>IF(A81="","",YEAR(A81)&amp;" Q"&amp;ROUNDUP(MONTH(A81)/3,0))</f>
        <v/>
      </c>
      <c r="C81" s="55" t="n"/>
      <c r="D81" s="55" t="n"/>
      <c r="E81" s="55" t="n"/>
      <c r="F81" s="55" t="n"/>
      <c r="G81" s="56" t="n"/>
      <c r="H81" s="57" t="n"/>
      <c r="I81" s="58">
        <f>IF(G81="","",ROUND(G81*H81,2))</f>
        <v/>
      </c>
      <c r="J81" s="58">
        <f>IF(G81="","",G81+N(I81))</f>
        <v/>
      </c>
      <c r="K81" s="53" t="n"/>
      <c r="L81" s="54">
        <f>IF(G81="","",IF(OR(K81="",K81&gt;TODAY()),"Nog betalen","Betaald"))</f>
        <v/>
      </c>
    </row>
    <row r="82">
      <c r="A82" s="53" t="n"/>
      <c r="B82" s="54">
        <f>IF(A82="","",YEAR(A82)&amp;" Q"&amp;ROUNDUP(MONTH(A82)/3,0))</f>
        <v/>
      </c>
      <c r="C82" s="55" t="n"/>
      <c r="D82" s="55" t="n"/>
      <c r="E82" s="55" t="n"/>
      <c r="F82" s="55" t="n"/>
      <c r="G82" s="56" t="n"/>
      <c r="H82" s="57" t="n"/>
      <c r="I82" s="58">
        <f>IF(G82="","",ROUND(G82*H82,2))</f>
        <v/>
      </c>
      <c r="J82" s="58">
        <f>IF(G82="","",G82+N(I82))</f>
        <v/>
      </c>
      <c r="K82" s="53" t="n"/>
      <c r="L82" s="54">
        <f>IF(G82="","",IF(OR(K82="",K82&gt;TODAY()),"Nog betalen","Betaald"))</f>
        <v/>
      </c>
    </row>
    <row r="83">
      <c r="A83" s="53" t="n"/>
      <c r="B83" s="54">
        <f>IF(A83="","",YEAR(A83)&amp;" Q"&amp;ROUNDUP(MONTH(A83)/3,0))</f>
        <v/>
      </c>
      <c r="C83" s="55" t="n"/>
      <c r="D83" s="55" t="n"/>
      <c r="E83" s="55" t="n"/>
      <c r="F83" s="55" t="n"/>
      <c r="G83" s="56" t="n"/>
      <c r="H83" s="57" t="n"/>
      <c r="I83" s="58">
        <f>IF(G83="","",ROUND(G83*H83,2))</f>
        <v/>
      </c>
      <c r="J83" s="58">
        <f>IF(G83="","",G83+N(I83))</f>
        <v/>
      </c>
      <c r="K83" s="53" t="n"/>
      <c r="L83" s="54">
        <f>IF(G83="","",IF(OR(K83="",K83&gt;TODAY()),"Nog betalen","Betaald"))</f>
        <v/>
      </c>
    </row>
    <row r="84">
      <c r="A84" s="53" t="n"/>
      <c r="B84" s="54">
        <f>IF(A84="","",YEAR(A84)&amp;" Q"&amp;ROUNDUP(MONTH(A84)/3,0))</f>
        <v/>
      </c>
      <c r="C84" s="55" t="n"/>
      <c r="D84" s="55" t="n"/>
      <c r="E84" s="55" t="n"/>
      <c r="F84" s="55" t="n"/>
      <c r="G84" s="56" t="n"/>
      <c r="H84" s="57" t="n"/>
      <c r="I84" s="58">
        <f>IF(G84="","",ROUND(G84*H84,2))</f>
        <v/>
      </c>
      <c r="J84" s="58">
        <f>IF(G84="","",G84+N(I84))</f>
        <v/>
      </c>
      <c r="K84" s="53" t="n"/>
      <c r="L84" s="54">
        <f>IF(G84="","",IF(OR(K84="",K84&gt;TODAY()),"Nog betalen","Betaald"))</f>
        <v/>
      </c>
    </row>
    <row r="85">
      <c r="A85" s="53" t="n"/>
      <c r="B85" s="54">
        <f>IF(A85="","",YEAR(A85)&amp;" Q"&amp;ROUNDUP(MONTH(A85)/3,0))</f>
        <v/>
      </c>
      <c r="C85" s="55" t="n"/>
      <c r="D85" s="55" t="n"/>
      <c r="E85" s="55" t="n"/>
      <c r="F85" s="55" t="n"/>
      <c r="G85" s="56" t="n"/>
      <c r="H85" s="57" t="n"/>
      <c r="I85" s="58">
        <f>IF(G85="","",ROUND(G85*H85,2))</f>
        <v/>
      </c>
      <c r="J85" s="58">
        <f>IF(G85="","",G85+N(I85))</f>
        <v/>
      </c>
      <c r="K85" s="53" t="n"/>
      <c r="L85" s="54">
        <f>IF(G85="","",IF(OR(K85="",K85&gt;TODAY()),"Nog betalen","Betaald"))</f>
        <v/>
      </c>
    </row>
    <row r="86">
      <c r="A86" s="53" t="n"/>
      <c r="B86" s="54">
        <f>IF(A86="","",YEAR(A86)&amp;" Q"&amp;ROUNDUP(MONTH(A86)/3,0))</f>
        <v/>
      </c>
      <c r="C86" s="55" t="n"/>
      <c r="D86" s="55" t="n"/>
      <c r="E86" s="55" t="n"/>
      <c r="F86" s="55" t="n"/>
      <c r="G86" s="56" t="n"/>
      <c r="H86" s="57" t="n"/>
      <c r="I86" s="58">
        <f>IF(G86="","",ROUND(G86*H86,2))</f>
        <v/>
      </c>
      <c r="J86" s="58">
        <f>IF(G86="","",G86+N(I86))</f>
        <v/>
      </c>
      <c r="K86" s="53" t="n"/>
      <c r="L86" s="54">
        <f>IF(G86="","",IF(OR(K86="",K86&gt;TODAY()),"Nog betalen","Betaald"))</f>
        <v/>
      </c>
    </row>
    <row r="87">
      <c r="A87" s="53" t="n"/>
      <c r="B87" s="54">
        <f>IF(A87="","",YEAR(A87)&amp;" Q"&amp;ROUNDUP(MONTH(A87)/3,0))</f>
        <v/>
      </c>
      <c r="C87" s="55" t="n"/>
      <c r="D87" s="55" t="n"/>
      <c r="E87" s="55" t="n"/>
      <c r="F87" s="55" t="n"/>
      <c r="G87" s="56" t="n"/>
      <c r="H87" s="57" t="n"/>
      <c r="I87" s="58">
        <f>IF(G87="","",ROUND(G87*H87,2))</f>
        <v/>
      </c>
      <c r="J87" s="58">
        <f>IF(G87="","",G87+N(I87))</f>
        <v/>
      </c>
      <c r="K87" s="53" t="n"/>
      <c r="L87" s="54">
        <f>IF(G87="","",IF(OR(K87="",K87&gt;TODAY()),"Nog betalen","Betaald"))</f>
        <v/>
      </c>
    </row>
    <row r="88">
      <c r="A88" s="53" t="n"/>
      <c r="B88" s="54">
        <f>IF(A88="","",YEAR(A88)&amp;" Q"&amp;ROUNDUP(MONTH(A88)/3,0))</f>
        <v/>
      </c>
      <c r="C88" s="55" t="n"/>
      <c r="D88" s="55" t="n"/>
      <c r="E88" s="55" t="n"/>
      <c r="F88" s="55" t="n"/>
      <c r="G88" s="56" t="n"/>
      <c r="H88" s="57" t="n"/>
      <c r="I88" s="58">
        <f>IF(G88="","",ROUND(G88*H88,2))</f>
        <v/>
      </c>
      <c r="J88" s="58">
        <f>IF(G88="","",G88+N(I88))</f>
        <v/>
      </c>
      <c r="K88" s="53" t="n"/>
      <c r="L88" s="54">
        <f>IF(G88="","",IF(OR(K88="",K88&gt;TODAY()),"Nog betalen","Betaald"))</f>
        <v/>
      </c>
    </row>
    <row r="89">
      <c r="A89" s="53" t="n"/>
      <c r="B89" s="54">
        <f>IF(A89="","",YEAR(A89)&amp;" Q"&amp;ROUNDUP(MONTH(A89)/3,0))</f>
        <v/>
      </c>
      <c r="C89" s="55" t="n"/>
      <c r="D89" s="55" t="n"/>
      <c r="E89" s="55" t="n"/>
      <c r="F89" s="55" t="n"/>
      <c r="G89" s="56" t="n"/>
      <c r="H89" s="57" t="n"/>
      <c r="I89" s="58">
        <f>IF(G89="","",ROUND(G89*H89,2))</f>
        <v/>
      </c>
      <c r="J89" s="58">
        <f>IF(G89="","",G89+N(I89))</f>
        <v/>
      </c>
      <c r="K89" s="53" t="n"/>
      <c r="L89" s="54">
        <f>IF(G89="","",IF(OR(K89="",K89&gt;TODAY()),"Nog betalen","Betaald"))</f>
        <v/>
      </c>
    </row>
    <row r="90">
      <c r="A90" s="53" t="n"/>
      <c r="B90" s="54">
        <f>IF(A90="","",YEAR(A90)&amp;" Q"&amp;ROUNDUP(MONTH(A90)/3,0))</f>
        <v/>
      </c>
      <c r="C90" s="55" t="n"/>
      <c r="D90" s="55" t="n"/>
      <c r="E90" s="55" t="n"/>
      <c r="F90" s="55" t="n"/>
      <c r="G90" s="56" t="n"/>
      <c r="H90" s="57" t="n"/>
      <c r="I90" s="58">
        <f>IF(G90="","",ROUND(G90*H90,2))</f>
        <v/>
      </c>
      <c r="J90" s="58">
        <f>IF(G90="","",G90+N(I90))</f>
        <v/>
      </c>
      <c r="K90" s="53" t="n"/>
      <c r="L90" s="54">
        <f>IF(G90="","",IF(OR(K90="",K90&gt;TODAY()),"Nog betalen","Betaald"))</f>
        <v/>
      </c>
    </row>
    <row r="91">
      <c r="A91" s="53" t="n"/>
      <c r="B91" s="54">
        <f>IF(A91="","",YEAR(A91)&amp;" Q"&amp;ROUNDUP(MONTH(A91)/3,0))</f>
        <v/>
      </c>
      <c r="C91" s="55" t="n"/>
      <c r="D91" s="55" t="n"/>
      <c r="E91" s="55" t="n"/>
      <c r="F91" s="55" t="n"/>
      <c r="G91" s="56" t="n"/>
      <c r="H91" s="57" t="n"/>
      <c r="I91" s="58">
        <f>IF(G91="","",ROUND(G91*H91,2))</f>
        <v/>
      </c>
      <c r="J91" s="58">
        <f>IF(G91="","",G91+N(I91))</f>
        <v/>
      </c>
      <c r="K91" s="53" t="n"/>
      <c r="L91" s="54">
        <f>IF(G91="","",IF(OR(K91="",K91&gt;TODAY()),"Nog betalen","Betaald"))</f>
        <v/>
      </c>
    </row>
    <row r="92">
      <c r="A92" s="53" t="n"/>
      <c r="B92" s="54">
        <f>IF(A92="","",YEAR(A92)&amp;" Q"&amp;ROUNDUP(MONTH(A92)/3,0))</f>
        <v/>
      </c>
      <c r="C92" s="55" t="n"/>
      <c r="D92" s="55" t="n"/>
      <c r="E92" s="55" t="n"/>
      <c r="F92" s="55" t="n"/>
      <c r="G92" s="56" t="n"/>
      <c r="H92" s="57" t="n"/>
      <c r="I92" s="58">
        <f>IF(G92="","",ROUND(G92*H92,2))</f>
        <v/>
      </c>
      <c r="J92" s="58">
        <f>IF(G92="","",G92+N(I92))</f>
        <v/>
      </c>
      <c r="K92" s="53" t="n"/>
      <c r="L92" s="54">
        <f>IF(G92="","",IF(OR(K92="",K92&gt;TODAY()),"Nog betalen","Betaald"))</f>
        <v/>
      </c>
    </row>
    <row r="93">
      <c r="A93" s="53" t="n"/>
      <c r="B93" s="54">
        <f>IF(A93="","",YEAR(A93)&amp;" Q"&amp;ROUNDUP(MONTH(A93)/3,0))</f>
        <v/>
      </c>
      <c r="C93" s="55" t="n"/>
      <c r="D93" s="55" t="n"/>
      <c r="E93" s="55" t="n"/>
      <c r="F93" s="55" t="n"/>
      <c r="G93" s="56" t="n"/>
      <c r="H93" s="57" t="n"/>
      <c r="I93" s="58">
        <f>IF(G93="","",ROUND(G93*H93,2))</f>
        <v/>
      </c>
      <c r="J93" s="58">
        <f>IF(G93="","",G93+N(I93))</f>
        <v/>
      </c>
      <c r="K93" s="53" t="n"/>
      <c r="L93" s="54">
        <f>IF(G93="","",IF(OR(K93="",K93&gt;TODAY()),"Nog betalen","Betaald"))</f>
        <v/>
      </c>
    </row>
    <row r="94">
      <c r="A94" s="53" t="n"/>
      <c r="B94" s="54">
        <f>IF(A94="","",YEAR(A94)&amp;" Q"&amp;ROUNDUP(MONTH(A94)/3,0))</f>
        <v/>
      </c>
      <c r="C94" s="55" t="n"/>
      <c r="D94" s="55" t="n"/>
      <c r="E94" s="55" t="n"/>
      <c r="F94" s="55" t="n"/>
      <c r="G94" s="56" t="n"/>
      <c r="H94" s="57" t="n"/>
      <c r="I94" s="58">
        <f>IF(G94="","",ROUND(G94*H94,2))</f>
        <v/>
      </c>
      <c r="J94" s="58">
        <f>IF(G94="","",G94+N(I94))</f>
        <v/>
      </c>
      <c r="K94" s="53" t="n"/>
      <c r="L94" s="54">
        <f>IF(G94="","",IF(OR(K94="",K94&gt;TODAY()),"Nog betalen","Betaald"))</f>
        <v/>
      </c>
    </row>
    <row r="95">
      <c r="A95" s="53" t="n"/>
      <c r="B95" s="54">
        <f>IF(A95="","",YEAR(A95)&amp;" Q"&amp;ROUNDUP(MONTH(A95)/3,0))</f>
        <v/>
      </c>
      <c r="C95" s="55" t="n"/>
      <c r="D95" s="55" t="n"/>
      <c r="E95" s="55" t="n"/>
      <c r="F95" s="55" t="n"/>
      <c r="G95" s="56" t="n"/>
      <c r="H95" s="57" t="n"/>
      <c r="I95" s="58">
        <f>IF(G95="","",ROUND(G95*H95,2))</f>
        <v/>
      </c>
      <c r="J95" s="58">
        <f>IF(G95="","",G95+N(I95))</f>
        <v/>
      </c>
      <c r="K95" s="53" t="n"/>
      <c r="L95" s="54">
        <f>IF(G95="","",IF(OR(K95="",K95&gt;TODAY()),"Nog betalen","Betaald"))</f>
        <v/>
      </c>
    </row>
    <row r="96">
      <c r="A96" s="53" t="n"/>
      <c r="B96" s="54">
        <f>IF(A96="","",YEAR(A96)&amp;" Q"&amp;ROUNDUP(MONTH(A96)/3,0))</f>
        <v/>
      </c>
      <c r="C96" s="55" t="n"/>
      <c r="D96" s="55" t="n"/>
      <c r="E96" s="55" t="n"/>
      <c r="F96" s="55" t="n"/>
      <c r="G96" s="56" t="n"/>
      <c r="H96" s="57" t="n"/>
      <c r="I96" s="58">
        <f>IF(G96="","",ROUND(G96*H96,2))</f>
        <v/>
      </c>
      <c r="J96" s="58">
        <f>IF(G96="","",G96+N(I96))</f>
        <v/>
      </c>
      <c r="K96" s="53" t="n"/>
      <c r="L96" s="54">
        <f>IF(G96="","",IF(OR(K96="",K96&gt;TODAY()),"Nog betalen","Betaald"))</f>
        <v/>
      </c>
    </row>
    <row r="97">
      <c r="A97" s="53" t="n"/>
      <c r="B97" s="54">
        <f>IF(A97="","",YEAR(A97)&amp;" Q"&amp;ROUNDUP(MONTH(A97)/3,0))</f>
        <v/>
      </c>
      <c r="C97" s="55" t="n"/>
      <c r="D97" s="55" t="n"/>
      <c r="E97" s="55" t="n"/>
      <c r="F97" s="55" t="n"/>
      <c r="G97" s="56" t="n"/>
      <c r="H97" s="57" t="n"/>
      <c r="I97" s="58">
        <f>IF(G97="","",ROUND(G97*H97,2))</f>
        <v/>
      </c>
      <c r="J97" s="58">
        <f>IF(G97="","",G97+N(I97))</f>
        <v/>
      </c>
      <c r="K97" s="53" t="n"/>
      <c r="L97" s="54">
        <f>IF(G97="","",IF(OR(K97="",K97&gt;TODAY()),"Nog betalen","Betaald"))</f>
        <v/>
      </c>
    </row>
    <row r="98">
      <c r="A98" s="53" t="n"/>
      <c r="B98" s="54">
        <f>IF(A98="","",YEAR(A98)&amp;" Q"&amp;ROUNDUP(MONTH(A98)/3,0))</f>
        <v/>
      </c>
      <c r="C98" s="55" t="n"/>
      <c r="D98" s="55" t="n"/>
      <c r="E98" s="55" t="n"/>
      <c r="F98" s="55" t="n"/>
      <c r="G98" s="56" t="n"/>
      <c r="H98" s="57" t="n"/>
      <c r="I98" s="58">
        <f>IF(G98="","",ROUND(G98*H98,2))</f>
        <v/>
      </c>
      <c r="J98" s="58">
        <f>IF(G98="","",G98+N(I98))</f>
        <v/>
      </c>
      <c r="K98" s="53" t="n"/>
      <c r="L98" s="54">
        <f>IF(G98="","",IF(OR(K98="",K98&gt;TODAY()),"Nog betalen","Betaald"))</f>
        <v/>
      </c>
    </row>
    <row r="99">
      <c r="A99" s="53" t="n"/>
      <c r="B99" s="54">
        <f>IF(A99="","",YEAR(A99)&amp;" Q"&amp;ROUNDUP(MONTH(A99)/3,0))</f>
        <v/>
      </c>
      <c r="C99" s="55" t="n"/>
      <c r="D99" s="55" t="n"/>
      <c r="E99" s="55" t="n"/>
      <c r="F99" s="55" t="n"/>
      <c r="G99" s="56" t="n"/>
      <c r="H99" s="57" t="n"/>
      <c r="I99" s="58">
        <f>IF(G99="","",ROUND(G99*H99,2))</f>
        <v/>
      </c>
      <c r="J99" s="58">
        <f>IF(G99="","",G99+N(I99))</f>
        <v/>
      </c>
      <c r="K99" s="53" t="n"/>
      <c r="L99" s="54">
        <f>IF(G99="","",IF(OR(K99="",K99&gt;TODAY()),"Nog betalen","Betaald"))</f>
        <v/>
      </c>
    </row>
    <row r="100">
      <c r="A100" s="53" t="n"/>
      <c r="B100" s="54">
        <f>IF(A100="","",YEAR(A100)&amp;" Q"&amp;ROUNDUP(MONTH(A100)/3,0))</f>
        <v/>
      </c>
      <c r="C100" s="55" t="n"/>
      <c r="D100" s="55" t="n"/>
      <c r="E100" s="55" t="n"/>
      <c r="F100" s="55" t="n"/>
      <c r="G100" s="56" t="n"/>
      <c r="H100" s="57" t="n"/>
      <c r="I100" s="58">
        <f>IF(G100="","",ROUND(G100*H100,2))</f>
        <v/>
      </c>
      <c r="J100" s="58">
        <f>IF(G100="","",G100+N(I100))</f>
        <v/>
      </c>
      <c r="K100" s="53" t="n"/>
      <c r="L100" s="54">
        <f>IF(G100="","",IF(OR(K100="",K100&gt;TODAY()),"Nog betalen","Betaald"))</f>
        <v/>
      </c>
    </row>
    <row r="101">
      <c r="A101" s="53" t="n"/>
      <c r="B101" s="54">
        <f>IF(A101="","",YEAR(A101)&amp;" Q"&amp;ROUNDUP(MONTH(A101)/3,0))</f>
        <v/>
      </c>
      <c r="C101" s="55" t="n"/>
      <c r="D101" s="55" t="n"/>
      <c r="E101" s="55" t="n"/>
      <c r="F101" s="55" t="n"/>
      <c r="G101" s="56" t="n"/>
      <c r="H101" s="57" t="n"/>
      <c r="I101" s="58">
        <f>IF(G101="","",ROUND(G101*H101,2))</f>
        <v/>
      </c>
      <c r="J101" s="58">
        <f>IF(G101="","",G101+N(I101))</f>
        <v/>
      </c>
      <c r="K101" s="53" t="n"/>
      <c r="L101" s="54">
        <f>IF(G101="","",IF(OR(K101="",K101&gt;TODAY()),"Nog betalen","Betaald"))</f>
        <v/>
      </c>
    </row>
    <row r="102">
      <c r="A102" s="53" t="n"/>
      <c r="B102" s="54">
        <f>IF(A102="","",YEAR(A102)&amp;" Q"&amp;ROUNDUP(MONTH(A102)/3,0))</f>
        <v/>
      </c>
      <c r="C102" s="55" t="n"/>
      <c r="D102" s="55" t="n"/>
      <c r="E102" s="55" t="n"/>
      <c r="F102" s="55" t="n"/>
      <c r="G102" s="56" t="n"/>
      <c r="H102" s="57" t="n"/>
      <c r="I102" s="58">
        <f>IF(G102="","",ROUND(G102*H102,2))</f>
        <v/>
      </c>
      <c r="J102" s="58">
        <f>IF(G102="","",G102+N(I102))</f>
        <v/>
      </c>
      <c r="K102" s="53" t="n"/>
      <c r="L102" s="54">
        <f>IF(G102="","",IF(OR(K102="",K102&gt;TODAY()),"Nog betalen","Betaald"))</f>
        <v/>
      </c>
    </row>
    <row r="103">
      <c r="A103" s="53" t="n"/>
      <c r="B103" s="54">
        <f>IF(A103="","",YEAR(A103)&amp;" Q"&amp;ROUNDUP(MONTH(A103)/3,0))</f>
        <v/>
      </c>
      <c r="C103" s="55" t="n"/>
      <c r="D103" s="55" t="n"/>
      <c r="E103" s="55" t="n"/>
      <c r="F103" s="55" t="n"/>
      <c r="G103" s="56" t="n"/>
      <c r="H103" s="57" t="n"/>
      <c r="I103" s="58">
        <f>IF(G103="","",ROUND(G103*H103,2))</f>
        <v/>
      </c>
      <c r="J103" s="58">
        <f>IF(G103="","",G103+N(I103))</f>
        <v/>
      </c>
      <c r="K103" s="53" t="n"/>
      <c r="L103" s="54">
        <f>IF(G103="","",IF(OR(K103="",K103&gt;TODAY()),"Nog betalen","Betaald"))</f>
        <v/>
      </c>
    </row>
    <row r="104">
      <c r="A104" s="53" t="n"/>
      <c r="B104" s="54">
        <f>IF(A104="","",YEAR(A104)&amp;" Q"&amp;ROUNDUP(MONTH(A104)/3,0))</f>
        <v/>
      </c>
      <c r="C104" s="55" t="n"/>
      <c r="D104" s="55" t="n"/>
      <c r="E104" s="55" t="n"/>
      <c r="F104" s="55" t="n"/>
      <c r="G104" s="56" t="n"/>
      <c r="H104" s="57" t="n"/>
      <c r="I104" s="58">
        <f>IF(G104="","",ROUND(G104*H104,2))</f>
        <v/>
      </c>
      <c r="J104" s="58">
        <f>IF(G104="","",G104+N(I104))</f>
        <v/>
      </c>
      <c r="K104" s="53" t="n"/>
      <c r="L104" s="54">
        <f>IF(G104="","",IF(OR(K104="",K104&gt;TODAY()),"Nog betalen","Betaald"))</f>
        <v/>
      </c>
    </row>
    <row r="105">
      <c r="A105" s="53" t="n"/>
      <c r="B105" s="54">
        <f>IF(A105="","",YEAR(A105)&amp;" Q"&amp;ROUNDUP(MONTH(A105)/3,0))</f>
        <v/>
      </c>
      <c r="C105" s="55" t="n"/>
      <c r="D105" s="55" t="n"/>
      <c r="E105" s="55" t="n"/>
      <c r="F105" s="55" t="n"/>
      <c r="G105" s="56" t="n"/>
      <c r="H105" s="57" t="n"/>
      <c r="I105" s="58">
        <f>IF(G105="","",ROUND(G105*H105,2))</f>
        <v/>
      </c>
      <c r="J105" s="58">
        <f>IF(G105="","",G105+N(I105))</f>
        <v/>
      </c>
      <c r="K105" s="53" t="n"/>
      <c r="L105" s="54">
        <f>IF(G105="","",IF(OR(K105="",K105&gt;TODAY()),"Nog betalen","Betaald"))</f>
        <v/>
      </c>
    </row>
    <row r="106">
      <c r="A106" s="53" t="n"/>
      <c r="B106" s="54">
        <f>IF(A106="","",YEAR(A106)&amp;" Q"&amp;ROUNDUP(MONTH(A106)/3,0))</f>
        <v/>
      </c>
      <c r="C106" s="55" t="n"/>
      <c r="D106" s="55" t="n"/>
      <c r="E106" s="55" t="n"/>
      <c r="F106" s="55" t="n"/>
      <c r="G106" s="56" t="n"/>
      <c r="H106" s="57" t="n"/>
      <c r="I106" s="58">
        <f>IF(G106="","",ROUND(G106*H106,2))</f>
        <v/>
      </c>
      <c r="J106" s="58">
        <f>IF(G106="","",G106+N(I106))</f>
        <v/>
      </c>
      <c r="K106" s="53" t="n"/>
      <c r="L106" s="54">
        <f>IF(G106="","",IF(OR(K106="",K106&gt;TODAY()),"Nog betalen","Betaald"))</f>
        <v/>
      </c>
    </row>
    <row r="107">
      <c r="A107" s="53" t="n"/>
      <c r="B107" s="54">
        <f>IF(A107="","",YEAR(A107)&amp;" Q"&amp;ROUNDUP(MONTH(A107)/3,0))</f>
        <v/>
      </c>
      <c r="C107" s="55" t="n"/>
      <c r="D107" s="55" t="n"/>
      <c r="E107" s="55" t="n"/>
      <c r="F107" s="55" t="n"/>
      <c r="G107" s="56" t="n"/>
      <c r="H107" s="57" t="n"/>
      <c r="I107" s="58">
        <f>IF(G107="","",ROUND(G107*H107,2))</f>
        <v/>
      </c>
      <c r="J107" s="58">
        <f>IF(G107="","",G107+N(I107))</f>
        <v/>
      </c>
      <c r="K107" s="53" t="n"/>
      <c r="L107" s="54">
        <f>IF(G107="","",IF(OR(K107="",K107&gt;TODAY()),"Nog betalen","Betaald"))</f>
        <v/>
      </c>
    </row>
    <row r="108">
      <c r="A108" s="53" t="n"/>
      <c r="B108" s="54">
        <f>IF(A108="","",YEAR(A108)&amp;" Q"&amp;ROUNDUP(MONTH(A108)/3,0))</f>
        <v/>
      </c>
      <c r="C108" s="55" t="n"/>
      <c r="D108" s="55" t="n"/>
      <c r="E108" s="55" t="n"/>
      <c r="F108" s="55" t="n"/>
      <c r="G108" s="56" t="n"/>
      <c r="H108" s="57" t="n"/>
      <c r="I108" s="58">
        <f>IF(G108="","",ROUND(G108*H108,2))</f>
        <v/>
      </c>
      <c r="J108" s="58">
        <f>IF(G108="","",G108+N(I108))</f>
        <v/>
      </c>
      <c r="K108" s="53" t="n"/>
      <c r="L108" s="54">
        <f>IF(G108="","",IF(OR(K108="",K108&gt;TODAY()),"Nog betalen","Betaald"))</f>
        <v/>
      </c>
    </row>
    <row r="109">
      <c r="A109" s="53" t="n"/>
      <c r="B109" s="54">
        <f>IF(A109="","",YEAR(A109)&amp;" Q"&amp;ROUNDUP(MONTH(A109)/3,0))</f>
        <v/>
      </c>
      <c r="C109" s="55" t="n"/>
      <c r="D109" s="55" t="n"/>
      <c r="E109" s="55" t="n"/>
      <c r="F109" s="55" t="n"/>
      <c r="G109" s="56" t="n"/>
      <c r="H109" s="57" t="n"/>
      <c r="I109" s="58">
        <f>IF(G109="","",ROUND(G109*H109,2))</f>
        <v/>
      </c>
      <c r="J109" s="58">
        <f>IF(G109="","",G109+N(I109))</f>
        <v/>
      </c>
      <c r="K109" s="53" t="n"/>
      <c r="L109" s="54">
        <f>IF(G109="","",IF(OR(K109="",K109&gt;TODAY()),"Nog betalen","Betaald"))</f>
        <v/>
      </c>
    </row>
    <row r="110">
      <c r="A110" s="53" t="n"/>
      <c r="B110" s="54">
        <f>IF(A110="","",YEAR(A110)&amp;" Q"&amp;ROUNDUP(MONTH(A110)/3,0))</f>
        <v/>
      </c>
      <c r="C110" s="55" t="n"/>
      <c r="D110" s="55" t="n"/>
      <c r="E110" s="55" t="n"/>
      <c r="F110" s="55" t="n"/>
      <c r="G110" s="56" t="n"/>
      <c r="H110" s="57" t="n"/>
      <c r="I110" s="58">
        <f>IF(G110="","",ROUND(G110*H110,2))</f>
        <v/>
      </c>
      <c r="J110" s="58">
        <f>IF(G110="","",G110+N(I110))</f>
        <v/>
      </c>
      <c r="K110" s="53" t="n"/>
      <c r="L110" s="54">
        <f>IF(G110="","",IF(OR(K110="",K110&gt;TODAY()),"Nog betalen","Betaald"))</f>
        <v/>
      </c>
    </row>
    <row r="111">
      <c r="A111" s="53" t="n"/>
      <c r="B111" s="54">
        <f>IF(A111="","",YEAR(A111)&amp;" Q"&amp;ROUNDUP(MONTH(A111)/3,0))</f>
        <v/>
      </c>
      <c r="C111" s="55" t="n"/>
      <c r="D111" s="55" t="n"/>
      <c r="E111" s="55" t="n"/>
      <c r="F111" s="55" t="n"/>
      <c r="G111" s="56" t="n"/>
      <c r="H111" s="57" t="n"/>
      <c r="I111" s="58">
        <f>IF(G111="","",ROUND(G111*H111,2))</f>
        <v/>
      </c>
      <c r="J111" s="58">
        <f>IF(G111="","",G111+N(I111))</f>
        <v/>
      </c>
      <c r="K111" s="53" t="n"/>
      <c r="L111" s="54">
        <f>IF(G111="","",IF(OR(K111="",K111&gt;TODAY()),"Nog betalen","Betaald"))</f>
        <v/>
      </c>
    </row>
    <row r="112">
      <c r="A112" s="53" t="n"/>
      <c r="B112" s="54">
        <f>IF(A112="","",YEAR(A112)&amp;" Q"&amp;ROUNDUP(MONTH(A112)/3,0))</f>
        <v/>
      </c>
      <c r="C112" s="55" t="n"/>
      <c r="D112" s="55" t="n"/>
      <c r="E112" s="55" t="n"/>
      <c r="F112" s="55" t="n"/>
      <c r="G112" s="56" t="n"/>
      <c r="H112" s="57" t="n"/>
      <c r="I112" s="58">
        <f>IF(G112="","",ROUND(G112*H112,2))</f>
        <v/>
      </c>
      <c r="J112" s="58">
        <f>IF(G112="","",G112+N(I112))</f>
        <v/>
      </c>
      <c r="K112" s="53" t="n"/>
      <c r="L112" s="54">
        <f>IF(G112="","",IF(OR(K112="",K112&gt;TODAY()),"Nog betalen","Betaald"))</f>
        <v/>
      </c>
    </row>
    <row r="113">
      <c r="A113" s="53" t="n"/>
      <c r="B113" s="54">
        <f>IF(A113="","",YEAR(A113)&amp;" Q"&amp;ROUNDUP(MONTH(A113)/3,0))</f>
        <v/>
      </c>
      <c r="C113" s="55" t="n"/>
      <c r="D113" s="55" t="n"/>
      <c r="E113" s="55" t="n"/>
      <c r="F113" s="55" t="n"/>
      <c r="G113" s="56" t="n"/>
      <c r="H113" s="57" t="n"/>
      <c r="I113" s="58">
        <f>IF(G113="","",ROUND(G113*H113,2))</f>
        <v/>
      </c>
      <c r="J113" s="58">
        <f>IF(G113="","",G113+N(I113))</f>
        <v/>
      </c>
      <c r="K113" s="53" t="n"/>
      <c r="L113" s="54">
        <f>IF(G113="","",IF(OR(K113="",K113&gt;TODAY()),"Nog betalen","Betaald"))</f>
        <v/>
      </c>
    </row>
    <row r="114">
      <c r="A114" s="53" t="n"/>
      <c r="B114" s="54">
        <f>IF(A114="","",YEAR(A114)&amp;" Q"&amp;ROUNDUP(MONTH(A114)/3,0))</f>
        <v/>
      </c>
      <c r="C114" s="55" t="n"/>
      <c r="D114" s="55" t="n"/>
      <c r="E114" s="55" t="n"/>
      <c r="F114" s="55" t="n"/>
      <c r="G114" s="56" t="n"/>
      <c r="H114" s="57" t="n"/>
      <c r="I114" s="58">
        <f>IF(G114="","",ROUND(G114*H114,2))</f>
        <v/>
      </c>
      <c r="J114" s="58">
        <f>IF(G114="","",G114+N(I114))</f>
        <v/>
      </c>
      <c r="K114" s="53" t="n"/>
      <c r="L114" s="54">
        <f>IF(G114="","",IF(OR(K114="",K114&gt;TODAY()),"Nog betalen","Betaald"))</f>
        <v/>
      </c>
    </row>
    <row r="115">
      <c r="A115" s="53" t="n"/>
      <c r="B115" s="54">
        <f>IF(A115="","",YEAR(A115)&amp;" Q"&amp;ROUNDUP(MONTH(A115)/3,0))</f>
        <v/>
      </c>
      <c r="C115" s="55" t="n"/>
      <c r="D115" s="55" t="n"/>
      <c r="E115" s="55" t="n"/>
      <c r="F115" s="55" t="n"/>
      <c r="G115" s="56" t="n"/>
      <c r="H115" s="57" t="n"/>
      <c r="I115" s="58">
        <f>IF(G115="","",ROUND(G115*H115,2))</f>
        <v/>
      </c>
      <c r="J115" s="58">
        <f>IF(G115="","",G115+N(I115))</f>
        <v/>
      </c>
      <c r="K115" s="53" t="n"/>
      <c r="L115" s="54">
        <f>IF(G115="","",IF(OR(K115="",K115&gt;TODAY()),"Nog betalen","Betaald"))</f>
        <v/>
      </c>
    </row>
    <row r="116">
      <c r="A116" s="53" t="n"/>
      <c r="B116" s="54">
        <f>IF(A116="","",YEAR(A116)&amp;" Q"&amp;ROUNDUP(MONTH(A116)/3,0))</f>
        <v/>
      </c>
      <c r="C116" s="55" t="n"/>
      <c r="D116" s="55" t="n"/>
      <c r="E116" s="55" t="n"/>
      <c r="F116" s="55" t="n"/>
      <c r="G116" s="56" t="n"/>
      <c r="H116" s="57" t="n"/>
      <c r="I116" s="58">
        <f>IF(G116="","",ROUND(G116*H116,2))</f>
        <v/>
      </c>
      <c r="J116" s="58">
        <f>IF(G116="","",G116+N(I116))</f>
        <v/>
      </c>
      <c r="K116" s="53" t="n"/>
      <c r="L116" s="54">
        <f>IF(G116="","",IF(OR(K116="",K116&gt;TODAY()),"Nog betalen","Betaald"))</f>
        <v/>
      </c>
    </row>
    <row r="117">
      <c r="A117" s="53" t="n"/>
      <c r="B117" s="54">
        <f>IF(A117="","",YEAR(A117)&amp;" Q"&amp;ROUNDUP(MONTH(A117)/3,0))</f>
        <v/>
      </c>
      <c r="C117" s="55" t="n"/>
      <c r="D117" s="55" t="n"/>
      <c r="E117" s="55" t="n"/>
      <c r="F117" s="55" t="n"/>
      <c r="G117" s="56" t="n"/>
      <c r="H117" s="57" t="n"/>
      <c r="I117" s="58">
        <f>IF(G117="","",ROUND(G117*H117,2))</f>
        <v/>
      </c>
      <c r="J117" s="58">
        <f>IF(G117="","",G117+N(I117))</f>
        <v/>
      </c>
      <c r="K117" s="53" t="n"/>
      <c r="L117" s="54">
        <f>IF(G117="","",IF(OR(K117="",K117&gt;TODAY()),"Nog betalen","Betaald"))</f>
        <v/>
      </c>
    </row>
    <row r="118">
      <c r="A118" s="53" t="n"/>
      <c r="B118" s="54">
        <f>IF(A118="","",YEAR(A118)&amp;" Q"&amp;ROUNDUP(MONTH(A118)/3,0))</f>
        <v/>
      </c>
      <c r="C118" s="55" t="n"/>
      <c r="D118" s="55" t="n"/>
      <c r="E118" s="55" t="n"/>
      <c r="F118" s="55" t="n"/>
      <c r="G118" s="56" t="n"/>
      <c r="H118" s="57" t="n"/>
      <c r="I118" s="58">
        <f>IF(G118="","",ROUND(G118*H118,2))</f>
        <v/>
      </c>
      <c r="J118" s="58">
        <f>IF(G118="","",G118+N(I118))</f>
        <v/>
      </c>
      <c r="K118" s="53" t="n"/>
      <c r="L118" s="54">
        <f>IF(G118="","",IF(OR(K118="",K118&gt;TODAY()),"Nog betalen","Betaald"))</f>
        <v/>
      </c>
    </row>
    <row r="119">
      <c r="A119" s="53" t="n"/>
      <c r="B119" s="54">
        <f>IF(A119="","",YEAR(A119)&amp;" Q"&amp;ROUNDUP(MONTH(A119)/3,0))</f>
        <v/>
      </c>
      <c r="C119" s="55" t="n"/>
      <c r="D119" s="55" t="n"/>
      <c r="E119" s="55" t="n"/>
      <c r="F119" s="55" t="n"/>
      <c r="G119" s="56" t="n"/>
      <c r="H119" s="57" t="n"/>
      <c r="I119" s="58">
        <f>IF(G119="","",ROUND(G119*H119,2))</f>
        <v/>
      </c>
      <c r="J119" s="58">
        <f>IF(G119="","",G119+N(I119))</f>
        <v/>
      </c>
      <c r="K119" s="53" t="n"/>
      <c r="L119" s="54">
        <f>IF(G119="","",IF(OR(K119="",K119&gt;TODAY()),"Nog betalen","Betaald"))</f>
        <v/>
      </c>
    </row>
    <row r="120">
      <c r="A120" s="53" t="n"/>
      <c r="B120" s="54">
        <f>IF(A120="","",YEAR(A120)&amp;" Q"&amp;ROUNDUP(MONTH(A120)/3,0))</f>
        <v/>
      </c>
      <c r="C120" s="55" t="n"/>
      <c r="D120" s="55" t="n"/>
      <c r="E120" s="55" t="n"/>
      <c r="F120" s="55" t="n"/>
      <c r="G120" s="56" t="n"/>
      <c r="H120" s="57" t="n"/>
      <c r="I120" s="58">
        <f>IF(G120="","",ROUND(G120*H120,2))</f>
        <v/>
      </c>
      <c r="J120" s="58">
        <f>IF(G120="","",G120+N(I120))</f>
        <v/>
      </c>
      <c r="K120" s="53" t="n"/>
      <c r="L120" s="54">
        <f>IF(G120="","",IF(OR(K120="",K120&gt;TODAY()),"Nog betalen","Betaald"))</f>
        <v/>
      </c>
    </row>
    <row r="121">
      <c r="A121" s="53" t="n"/>
      <c r="B121" s="54">
        <f>IF(A121="","",YEAR(A121)&amp;" Q"&amp;ROUNDUP(MONTH(A121)/3,0))</f>
        <v/>
      </c>
      <c r="C121" s="55" t="n"/>
      <c r="D121" s="55" t="n"/>
      <c r="E121" s="55" t="n"/>
      <c r="F121" s="55" t="n"/>
      <c r="G121" s="56" t="n"/>
      <c r="H121" s="57" t="n"/>
      <c r="I121" s="58">
        <f>IF(G121="","",ROUND(G121*H121,2))</f>
        <v/>
      </c>
      <c r="J121" s="58">
        <f>IF(G121="","",G121+N(I121))</f>
        <v/>
      </c>
      <c r="K121" s="53" t="n"/>
      <c r="L121" s="54">
        <f>IF(G121="","",IF(OR(K121="",K121&gt;TODAY()),"Nog betalen","Betaald"))</f>
        <v/>
      </c>
    </row>
    <row r="122">
      <c r="A122" s="53" t="n"/>
      <c r="B122" s="54">
        <f>IF(A122="","",YEAR(A122)&amp;" Q"&amp;ROUNDUP(MONTH(A122)/3,0))</f>
        <v/>
      </c>
      <c r="C122" s="55" t="n"/>
      <c r="D122" s="55" t="n"/>
      <c r="E122" s="55" t="n"/>
      <c r="F122" s="55" t="n"/>
      <c r="G122" s="56" t="n"/>
      <c r="H122" s="57" t="n"/>
      <c r="I122" s="58">
        <f>IF(G122="","",ROUND(G122*H122,2))</f>
        <v/>
      </c>
      <c r="J122" s="58">
        <f>IF(G122="","",G122+N(I122))</f>
        <v/>
      </c>
      <c r="K122" s="53" t="n"/>
      <c r="L122" s="54">
        <f>IF(G122="","",IF(OR(K122="",K122&gt;TODAY()),"Nog betalen","Betaald"))</f>
        <v/>
      </c>
    </row>
    <row r="123">
      <c r="A123" s="53" t="n"/>
      <c r="B123" s="54">
        <f>IF(A123="","",YEAR(A123)&amp;" Q"&amp;ROUNDUP(MONTH(A123)/3,0))</f>
        <v/>
      </c>
      <c r="C123" s="55" t="n"/>
      <c r="D123" s="55" t="n"/>
      <c r="E123" s="55" t="n"/>
      <c r="F123" s="55" t="n"/>
      <c r="G123" s="56" t="n"/>
      <c r="H123" s="57" t="n"/>
      <c r="I123" s="58">
        <f>IF(G123="","",ROUND(G123*H123,2))</f>
        <v/>
      </c>
      <c r="J123" s="58">
        <f>IF(G123="","",G123+N(I123))</f>
        <v/>
      </c>
      <c r="K123" s="53" t="n"/>
      <c r="L123" s="54">
        <f>IF(G123="","",IF(OR(K123="",K123&gt;TODAY()),"Nog betalen","Betaald"))</f>
        <v/>
      </c>
    </row>
    <row r="124">
      <c r="A124" s="53" t="n"/>
      <c r="B124" s="54">
        <f>IF(A124="","",YEAR(A124)&amp;" Q"&amp;ROUNDUP(MONTH(A124)/3,0))</f>
        <v/>
      </c>
      <c r="C124" s="55" t="n"/>
      <c r="D124" s="55" t="n"/>
      <c r="E124" s="55" t="n"/>
      <c r="F124" s="55" t="n"/>
      <c r="G124" s="56" t="n"/>
      <c r="H124" s="57" t="n"/>
      <c r="I124" s="58">
        <f>IF(G124="","",ROUND(G124*H124,2))</f>
        <v/>
      </c>
      <c r="J124" s="58">
        <f>IF(G124="","",G124+N(I124))</f>
        <v/>
      </c>
      <c r="K124" s="53" t="n"/>
      <c r="L124" s="54">
        <f>IF(G124="","",IF(OR(K124="",K124&gt;TODAY()),"Nog betalen","Betaald"))</f>
        <v/>
      </c>
    </row>
    <row r="125">
      <c r="A125" s="53" t="n"/>
      <c r="B125" s="54">
        <f>IF(A125="","",YEAR(A125)&amp;" Q"&amp;ROUNDUP(MONTH(A125)/3,0))</f>
        <v/>
      </c>
      <c r="C125" s="55" t="n"/>
      <c r="D125" s="55" t="n"/>
      <c r="E125" s="55" t="n"/>
      <c r="F125" s="55" t="n"/>
      <c r="G125" s="56" t="n"/>
      <c r="H125" s="57" t="n"/>
      <c r="I125" s="58">
        <f>IF(G125="","",ROUND(G125*H125,2))</f>
        <v/>
      </c>
      <c r="J125" s="58">
        <f>IF(G125="","",G125+N(I125))</f>
        <v/>
      </c>
      <c r="K125" s="53" t="n"/>
      <c r="L125" s="54">
        <f>IF(G125="","",IF(OR(K125="",K125&gt;TODAY()),"Nog betalen","Betaald"))</f>
        <v/>
      </c>
    </row>
    <row r="126">
      <c r="A126" s="53" t="n"/>
      <c r="B126" s="54">
        <f>IF(A126="","",YEAR(A126)&amp;" Q"&amp;ROUNDUP(MONTH(A126)/3,0))</f>
        <v/>
      </c>
      <c r="C126" s="55" t="n"/>
      <c r="D126" s="55" t="n"/>
      <c r="E126" s="55" t="n"/>
      <c r="F126" s="55" t="n"/>
      <c r="G126" s="56" t="n"/>
      <c r="H126" s="57" t="n"/>
      <c r="I126" s="58">
        <f>IF(G126="","",ROUND(G126*H126,2))</f>
        <v/>
      </c>
      <c r="J126" s="58">
        <f>IF(G126="","",G126+N(I126))</f>
        <v/>
      </c>
      <c r="K126" s="53" t="n"/>
      <c r="L126" s="54">
        <f>IF(G126="","",IF(OR(K126="",K126&gt;TODAY()),"Nog betalen","Betaald"))</f>
        <v/>
      </c>
    </row>
    <row r="127">
      <c r="A127" s="53" t="n"/>
      <c r="B127" s="54">
        <f>IF(A127="","",YEAR(A127)&amp;" Q"&amp;ROUNDUP(MONTH(A127)/3,0))</f>
        <v/>
      </c>
      <c r="C127" s="55" t="n"/>
      <c r="D127" s="55" t="n"/>
      <c r="E127" s="55" t="n"/>
      <c r="F127" s="55" t="n"/>
      <c r="G127" s="56" t="n"/>
      <c r="H127" s="57" t="n"/>
      <c r="I127" s="58">
        <f>IF(G127="","",ROUND(G127*H127,2))</f>
        <v/>
      </c>
      <c r="J127" s="58">
        <f>IF(G127="","",G127+N(I127))</f>
        <v/>
      </c>
      <c r="K127" s="53" t="n"/>
      <c r="L127" s="54">
        <f>IF(G127="","",IF(OR(K127="",K127&gt;TODAY()),"Nog betalen","Betaald"))</f>
        <v/>
      </c>
    </row>
    <row r="128">
      <c r="A128" s="53" t="n"/>
      <c r="B128" s="54">
        <f>IF(A128="","",YEAR(A128)&amp;" Q"&amp;ROUNDUP(MONTH(A128)/3,0))</f>
        <v/>
      </c>
      <c r="C128" s="55" t="n"/>
      <c r="D128" s="55" t="n"/>
      <c r="E128" s="55" t="n"/>
      <c r="F128" s="55" t="n"/>
      <c r="G128" s="56" t="n"/>
      <c r="H128" s="57" t="n"/>
      <c r="I128" s="58">
        <f>IF(G128="","",ROUND(G128*H128,2))</f>
        <v/>
      </c>
      <c r="J128" s="58">
        <f>IF(G128="","",G128+N(I128))</f>
        <v/>
      </c>
      <c r="K128" s="53" t="n"/>
      <c r="L128" s="54">
        <f>IF(G128="","",IF(OR(K128="",K128&gt;TODAY()),"Nog betalen","Betaald"))</f>
        <v/>
      </c>
    </row>
    <row r="129">
      <c r="A129" s="53" t="n"/>
      <c r="B129" s="54">
        <f>IF(A129="","",YEAR(A129)&amp;" Q"&amp;ROUNDUP(MONTH(A129)/3,0))</f>
        <v/>
      </c>
      <c r="C129" s="55" t="n"/>
      <c r="D129" s="55" t="n"/>
      <c r="E129" s="55" t="n"/>
      <c r="F129" s="55" t="n"/>
      <c r="G129" s="56" t="n"/>
      <c r="H129" s="57" t="n"/>
      <c r="I129" s="58">
        <f>IF(G129="","",ROUND(G129*H129,2))</f>
        <v/>
      </c>
      <c r="J129" s="58">
        <f>IF(G129="","",G129+N(I129))</f>
        <v/>
      </c>
      <c r="K129" s="53" t="n"/>
      <c r="L129" s="54">
        <f>IF(G129="","",IF(OR(K129="",K129&gt;TODAY()),"Nog betalen","Betaald"))</f>
        <v/>
      </c>
    </row>
    <row r="130">
      <c r="A130" s="53" t="n"/>
      <c r="B130" s="54">
        <f>IF(A130="","",YEAR(A130)&amp;" Q"&amp;ROUNDUP(MONTH(A130)/3,0))</f>
        <v/>
      </c>
      <c r="C130" s="55" t="n"/>
      <c r="D130" s="55" t="n"/>
      <c r="E130" s="55" t="n"/>
      <c r="F130" s="55" t="n"/>
      <c r="G130" s="56" t="n"/>
      <c r="H130" s="57" t="n"/>
      <c r="I130" s="58">
        <f>IF(G130="","",ROUND(G130*H130,2))</f>
        <v/>
      </c>
      <c r="J130" s="58">
        <f>IF(G130="","",G130+N(I130))</f>
        <v/>
      </c>
      <c r="K130" s="53" t="n"/>
      <c r="L130" s="54">
        <f>IF(G130="","",IF(OR(K130="",K130&gt;TODAY()),"Nog betalen","Betaald"))</f>
        <v/>
      </c>
    </row>
    <row r="131">
      <c r="A131" s="53" t="n"/>
      <c r="B131" s="54">
        <f>IF(A131="","",YEAR(A131)&amp;" Q"&amp;ROUNDUP(MONTH(A131)/3,0))</f>
        <v/>
      </c>
      <c r="C131" s="55" t="n"/>
      <c r="D131" s="55" t="n"/>
      <c r="E131" s="55" t="n"/>
      <c r="F131" s="55" t="n"/>
      <c r="G131" s="56" t="n"/>
      <c r="H131" s="57" t="n"/>
      <c r="I131" s="58">
        <f>IF(G131="","",ROUND(G131*H131,2))</f>
        <v/>
      </c>
      <c r="J131" s="58">
        <f>IF(G131="","",G131+N(I131))</f>
        <v/>
      </c>
      <c r="K131" s="53" t="n"/>
      <c r="L131" s="54">
        <f>IF(G131="","",IF(OR(K131="",K131&gt;TODAY()),"Nog betalen","Betaald"))</f>
        <v/>
      </c>
    </row>
    <row r="132">
      <c r="A132" s="53" t="n"/>
      <c r="B132" s="54">
        <f>IF(A132="","",YEAR(A132)&amp;" Q"&amp;ROUNDUP(MONTH(A132)/3,0))</f>
        <v/>
      </c>
      <c r="C132" s="55" t="n"/>
      <c r="D132" s="55" t="n"/>
      <c r="E132" s="55" t="n"/>
      <c r="F132" s="55" t="n"/>
      <c r="G132" s="56" t="n"/>
      <c r="H132" s="57" t="n"/>
      <c r="I132" s="58">
        <f>IF(G132="","",ROUND(G132*H132,2))</f>
        <v/>
      </c>
      <c r="J132" s="58">
        <f>IF(G132="","",G132+N(I132))</f>
        <v/>
      </c>
      <c r="K132" s="53" t="n"/>
      <c r="L132" s="54">
        <f>IF(G132="","",IF(OR(K132="",K132&gt;TODAY()),"Nog betalen","Betaald"))</f>
        <v/>
      </c>
    </row>
    <row r="133">
      <c r="A133" s="53" t="n"/>
      <c r="B133" s="54">
        <f>IF(A133="","",YEAR(A133)&amp;" Q"&amp;ROUNDUP(MONTH(A133)/3,0))</f>
        <v/>
      </c>
      <c r="C133" s="55" t="n"/>
      <c r="D133" s="55" t="n"/>
      <c r="E133" s="55" t="n"/>
      <c r="F133" s="55" t="n"/>
      <c r="G133" s="56" t="n"/>
      <c r="H133" s="57" t="n"/>
      <c r="I133" s="58">
        <f>IF(G133="","",ROUND(G133*H133,2))</f>
        <v/>
      </c>
      <c r="J133" s="58">
        <f>IF(G133="","",G133+N(I133))</f>
        <v/>
      </c>
      <c r="K133" s="53" t="n"/>
      <c r="L133" s="54">
        <f>IF(G133="","",IF(OR(K133="",K133&gt;TODAY()),"Nog betalen","Betaald"))</f>
        <v/>
      </c>
    </row>
    <row r="134">
      <c r="A134" s="53" t="n"/>
      <c r="B134" s="54">
        <f>IF(A134="","",YEAR(A134)&amp;" Q"&amp;ROUNDUP(MONTH(A134)/3,0))</f>
        <v/>
      </c>
      <c r="C134" s="55" t="n"/>
      <c r="D134" s="55" t="n"/>
      <c r="E134" s="55" t="n"/>
      <c r="F134" s="55" t="n"/>
      <c r="G134" s="56" t="n"/>
      <c r="H134" s="57" t="n"/>
      <c r="I134" s="58">
        <f>IF(G134="","",ROUND(G134*H134,2))</f>
        <v/>
      </c>
      <c r="J134" s="58">
        <f>IF(G134="","",G134+N(I134))</f>
        <v/>
      </c>
      <c r="K134" s="53" t="n"/>
      <c r="L134" s="54">
        <f>IF(G134="","",IF(OR(K134="",K134&gt;TODAY()),"Nog betalen","Betaald"))</f>
        <v/>
      </c>
    </row>
    <row r="135">
      <c r="A135" s="53" t="n"/>
      <c r="B135" s="54">
        <f>IF(A135="","",YEAR(A135)&amp;" Q"&amp;ROUNDUP(MONTH(A135)/3,0))</f>
        <v/>
      </c>
      <c r="C135" s="55" t="n"/>
      <c r="D135" s="55" t="n"/>
      <c r="E135" s="55" t="n"/>
      <c r="F135" s="55" t="n"/>
      <c r="G135" s="56" t="n"/>
      <c r="H135" s="57" t="n"/>
      <c r="I135" s="58">
        <f>IF(G135="","",ROUND(G135*H135,2))</f>
        <v/>
      </c>
      <c r="J135" s="58">
        <f>IF(G135="","",G135+N(I135))</f>
        <v/>
      </c>
      <c r="K135" s="53" t="n"/>
      <c r="L135" s="54">
        <f>IF(G135="","",IF(OR(K135="",K135&gt;TODAY()),"Nog betalen","Betaald"))</f>
        <v/>
      </c>
    </row>
    <row r="136">
      <c r="A136" s="53" t="n"/>
      <c r="B136" s="54">
        <f>IF(A136="","",YEAR(A136)&amp;" Q"&amp;ROUNDUP(MONTH(A136)/3,0))</f>
        <v/>
      </c>
      <c r="C136" s="55" t="n"/>
      <c r="D136" s="55" t="n"/>
      <c r="E136" s="55" t="n"/>
      <c r="F136" s="55" t="n"/>
      <c r="G136" s="56" t="n"/>
      <c r="H136" s="57" t="n"/>
      <c r="I136" s="58">
        <f>IF(G136="","",ROUND(G136*H136,2))</f>
        <v/>
      </c>
      <c r="J136" s="58">
        <f>IF(G136="","",G136+N(I136))</f>
        <v/>
      </c>
      <c r="K136" s="53" t="n"/>
      <c r="L136" s="54">
        <f>IF(G136="","",IF(OR(K136="",K136&gt;TODAY()),"Nog betalen","Betaald"))</f>
        <v/>
      </c>
    </row>
    <row r="137">
      <c r="A137" s="53" t="n"/>
      <c r="B137" s="54">
        <f>IF(A137="","",YEAR(A137)&amp;" Q"&amp;ROUNDUP(MONTH(A137)/3,0))</f>
        <v/>
      </c>
      <c r="C137" s="55" t="n"/>
      <c r="D137" s="55" t="n"/>
      <c r="E137" s="55" t="n"/>
      <c r="F137" s="55" t="n"/>
      <c r="G137" s="56" t="n"/>
      <c r="H137" s="57" t="n"/>
      <c r="I137" s="58">
        <f>IF(G137="","",ROUND(G137*H137,2))</f>
        <v/>
      </c>
      <c r="J137" s="58">
        <f>IF(G137="","",G137+N(I137))</f>
        <v/>
      </c>
      <c r="K137" s="53" t="n"/>
      <c r="L137" s="54">
        <f>IF(G137="","",IF(OR(K137="",K137&gt;TODAY()),"Nog betalen","Betaald"))</f>
        <v/>
      </c>
    </row>
    <row r="138">
      <c r="A138" s="53" t="n"/>
      <c r="B138" s="54">
        <f>IF(A138="","",YEAR(A138)&amp;" Q"&amp;ROUNDUP(MONTH(A138)/3,0))</f>
        <v/>
      </c>
      <c r="C138" s="55" t="n"/>
      <c r="D138" s="55" t="n"/>
      <c r="E138" s="55" t="n"/>
      <c r="F138" s="55" t="n"/>
      <c r="G138" s="56" t="n"/>
      <c r="H138" s="57" t="n"/>
      <c r="I138" s="58">
        <f>IF(G138="","",ROUND(G138*H138,2))</f>
        <v/>
      </c>
      <c r="J138" s="58">
        <f>IF(G138="","",G138+N(I138))</f>
        <v/>
      </c>
      <c r="K138" s="53" t="n"/>
      <c r="L138" s="54">
        <f>IF(G138="","",IF(OR(K138="",K138&gt;TODAY()),"Nog betalen","Betaald"))</f>
        <v/>
      </c>
    </row>
    <row r="139">
      <c r="A139" s="53" t="n"/>
      <c r="B139" s="54">
        <f>IF(A139="","",YEAR(A139)&amp;" Q"&amp;ROUNDUP(MONTH(A139)/3,0))</f>
        <v/>
      </c>
      <c r="C139" s="55" t="n"/>
      <c r="D139" s="55" t="n"/>
      <c r="E139" s="55" t="n"/>
      <c r="F139" s="55" t="n"/>
      <c r="G139" s="56" t="n"/>
      <c r="H139" s="57" t="n"/>
      <c r="I139" s="58">
        <f>IF(G139="","",ROUND(G139*H139,2))</f>
        <v/>
      </c>
      <c r="J139" s="58">
        <f>IF(G139="","",G139+N(I139))</f>
        <v/>
      </c>
      <c r="K139" s="53" t="n"/>
      <c r="L139" s="54">
        <f>IF(G139="","",IF(OR(K139="",K139&gt;TODAY()),"Nog betalen","Betaald"))</f>
        <v/>
      </c>
    </row>
    <row r="140">
      <c r="A140" s="53" t="n"/>
      <c r="B140" s="54">
        <f>IF(A140="","",YEAR(A140)&amp;" Q"&amp;ROUNDUP(MONTH(A140)/3,0))</f>
        <v/>
      </c>
      <c r="C140" s="55" t="n"/>
      <c r="D140" s="55" t="n"/>
      <c r="E140" s="55" t="n"/>
      <c r="F140" s="55" t="n"/>
      <c r="G140" s="56" t="n"/>
      <c r="H140" s="57" t="n"/>
      <c r="I140" s="58">
        <f>IF(G140="","",ROUND(G140*H140,2))</f>
        <v/>
      </c>
      <c r="J140" s="58">
        <f>IF(G140="","",G140+N(I140))</f>
        <v/>
      </c>
      <c r="K140" s="53" t="n"/>
      <c r="L140" s="54">
        <f>IF(G140="","",IF(OR(K140="",K140&gt;TODAY()),"Nog betalen","Betaald"))</f>
        <v/>
      </c>
    </row>
    <row r="141">
      <c r="A141" s="53" t="n"/>
      <c r="B141" s="54">
        <f>IF(A141="","",YEAR(A141)&amp;" Q"&amp;ROUNDUP(MONTH(A141)/3,0))</f>
        <v/>
      </c>
      <c r="C141" s="55" t="n"/>
      <c r="D141" s="55" t="n"/>
      <c r="E141" s="55" t="n"/>
      <c r="F141" s="55" t="n"/>
      <c r="G141" s="56" t="n"/>
      <c r="H141" s="57" t="n"/>
      <c r="I141" s="58">
        <f>IF(G141="","",ROUND(G141*H141,2))</f>
        <v/>
      </c>
      <c r="J141" s="58">
        <f>IF(G141="","",G141+N(I141))</f>
        <v/>
      </c>
      <c r="K141" s="53" t="n"/>
      <c r="L141" s="54">
        <f>IF(G141="","",IF(OR(K141="",K141&gt;TODAY()),"Nog betalen","Betaald"))</f>
        <v/>
      </c>
    </row>
    <row r="142">
      <c r="A142" s="53" t="n"/>
      <c r="B142" s="54">
        <f>IF(A142="","",YEAR(A142)&amp;" Q"&amp;ROUNDUP(MONTH(A142)/3,0))</f>
        <v/>
      </c>
      <c r="C142" s="55" t="n"/>
      <c r="D142" s="55" t="n"/>
      <c r="E142" s="55" t="n"/>
      <c r="F142" s="55" t="n"/>
      <c r="G142" s="56" t="n"/>
      <c r="H142" s="57" t="n"/>
      <c r="I142" s="58">
        <f>IF(G142="","",ROUND(G142*H142,2))</f>
        <v/>
      </c>
      <c r="J142" s="58">
        <f>IF(G142="","",G142+N(I142))</f>
        <v/>
      </c>
      <c r="K142" s="53" t="n"/>
      <c r="L142" s="54">
        <f>IF(G142="","",IF(OR(K142="",K142&gt;TODAY()),"Nog betalen","Betaald"))</f>
        <v/>
      </c>
    </row>
    <row r="143">
      <c r="A143" s="53" t="n"/>
      <c r="B143" s="54">
        <f>IF(A143="","",YEAR(A143)&amp;" Q"&amp;ROUNDUP(MONTH(A143)/3,0))</f>
        <v/>
      </c>
      <c r="C143" s="55" t="n"/>
      <c r="D143" s="55" t="n"/>
      <c r="E143" s="55" t="n"/>
      <c r="F143" s="55" t="n"/>
      <c r="G143" s="56" t="n"/>
      <c r="H143" s="57" t="n"/>
      <c r="I143" s="58">
        <f>IF(G143="","",ROUND(G143*H143,2))</f>
        <v/>
      </c>
      <c r="J143" s="58">
        <f>IF(G143="","",G143+N(I143))</f>
        <v/>
      </c>
      <c r="K143" s="53" t="n"/>
      <c r="L143" s="54">
        <f>IF(G143="","",IF(OR(K143="",K143&gt;TODAY()),"Nog betalen","Betaald"))</f>
        <v/>
      </c>
    </row>
    <row r="144">
      <c r="A144" s="53" t="n"/>
      <c r="B144" s="54">
        <f>IF(A144="","",YEAR(A144)&amp;" Q"&amp;ROUNDUP(MONTH(A144)/3,0))</f>
        <v/>
      </c>
      <c r="C144" s="55" t="n"/>
      <c r="D144" s="55" t="n"/>
      <c r="E144" s="55" t="n"/>
      <c r="F144" s="55" t="n"/>
      <c r="G144" s="56" t="n"/>
      <c r="H144" s="57" t="n"/>
      <c r="I144" s="58">
        <f>IF(G144="","",ROUND(G144*H144,2))</f>
        <v/>
      </c>
      <c r="J144" s="58">
        <f>IF(G144="","",G144+N(I144))</f>
        <v/>
      </c>
      <c r="K144" s="53" t="n"/>
      <c r="L144" s="54">
        <f>IF(G144="","",IF(OR(K144="",K144&gt;TODAY()),"Nog betalen","Betaald"))</f>
        <v/>
      </c>
    </row>
    <row r="145">
      <c r="A145" s="53" t="n"/>
      <c r="B145" s="54">
        <f>IF(A145="","",YEAR(A145)&amp;" Q"&amp;ROUNDUP(MONTH(A145)/3,0))</f>
        <v/>
      </c>
      <c r="C145" s="55" t="n"/>
      <c r="D145" s="55" t="n"/>
      <c r="E145" s="55" t="n"/>
      <c r="F145" s="55" t="n"/>
      <c r="G145" s="56" t="n"/>
      <c r="H145" s="57" t="n"/>
      <c r="I145" s="58">
        <f>IF(G145="","",ROUND(G145*H145,2))</f>
        <v/>
      </c>
      <c r="J145" s="58">
        <f>IF(G145="","",G145+N(I145))</f>
        <v/>
      </c>
      <c r="K145" s="53" t="n"/>
      <c r="L145" s="54">
        <f>IF(G145="","",IF(OR(K145="",K145&gt;TODAY()),"Nog betalen","Betaald"))</f>
        <v/>
      </c>
    </row>
    <row r="146">
      <c r="A146" s="53" t="n"/>
      <c r="B146" s="54">
        <f>IF(A146="","",YEAR(A146)&amp;" Q"&amp;ROUNDUP(MONTH(A146)/3,0))</f>
        <v/>
      </c>
      <c r="C146" s="55" t="n"/>
      <c r="D146" s="55" t="n"/>
      <c r="E146" s="55" t="n"/>
      <c r="F146" s="55" t="n"/>
      <c r="G146" s="56" t="n"/>
      <c r="H146" s="57" t="n"/>
      <c r="I146" s="58">
        <f>IF(G146="","",ROUND(G146*H146,2))</f>
        <v/>
      </c>
      <c r="J146" s="58">
        <f>IF(G146="","",G146+N(I146))</f>
        <v/>
      </c>
      <c r="K146" s="53" t="n"/>
      <c r="L146" s="54">
        <f>IF(G146="","",IF(OR(K146="",K146&gt;TODAY()),"Nog betalen","Betaald"))</f>
        <v/>
      </c>
    </row>
    <row r="147">
      <c r="A147" s="53" t="n"/>
      <c r="B147" s="54">
        <f>IF(A147="","",YEAR(A147)&amp;" Q"&amp;ROUNDUP(MONTH(A147)/3,0))</f>
        <v/>
      </c>
      <c r="C147" s="55" t="n"/>
      <c r="D147" s="55" t="n"/>
      <c r="E147" s="55" t="n"/>
      <c r="F147" s="55" t="n"/>
      <c r="G147" s="56" t="n"/>
      <c r="H147" s="57" t="n"/>
      <c r="I147" s="58">
        <f>IF(G147="","",ROUND(G147*H147,2))</f>
        <v/>
      </c>
      <c r="J147" s="58">
        <f>IF(G147="","",G147+N(I147))</f>
        <v/>
      </c>
      <c r="K147" s="53" t="n"/>
      <c r="L147" s="54">
        <f>IF(G147="","",IF(OR(K147="",K147&gt;TODAY()),"Nog betalen","Betaald"))</f>
        <v/>
      </c>
    </row>
    <row r="148">
      <c r="A148" s="53" t="n"/>
      <c r="B148" s="54">
        <f>IF(A148="","",YEAR(A148)&amp;" Q"&amp;ROUNDUP(MONTH(A148)/3,0))</f>
        <v/>
      </c>
      <c r="C148" s="55" t="n"/>
      <c r="D148" s="55" t="n"/>
      <c r="E148" s="55" t="n"/>
      <c r="F148" s="55" t="n"/>
      <c r="G148" s="56" t="n"/>
      <c r="H148" s="57" t="n"/>
      <c r="I148" s="58">
        <f>IF(G148="","",ROUND(G148*H148,2))</f>
        <v/>
      </c>
      <c r="J148" s="58">
        <f>IF(G148="","",G148+N(I148))</f>
        <v/>
      </c>
      <c r="K148" s="53" t="n"/>
      <c r="L148" s="54">
        <f>IF(G148="","",IF(OR(K148="",K148&gt;TODAY()),"Nog betalen","Betaald"))</f>
        <v/>
      </c>
    </row>
    <row r="149">
      <c r="A149" s="53" t="n"/>
      <c r="B149" s="54">
        <f>IF(A149="","",YEAR(A149)&amp;" Q"&amp;ROUNDUP(MONTH(A149)/3,0))</f>
        <v/>
      </c>
      <c r="C149" s="55" t="n"/>
      <c r="D149" s="55" t="n"/>
      <c r="E149" s="55" t="n"/>
      <c r="F149" s="55" t="n"/>
      <c r="G149" s="56" t="n"/>
      <c r="H149" s="57" t="n"/>
      <c r="I149" s="58">
        <f>IF(G149="","",ROUND(G149*H149,2))</f>
        <v/>
      </c>
      <c r="J149" s="58">
        <f>IF(G149="","",G149+N(I149))</f>
        <v/>
      </c>
      <c r="K149" s="53" t="n"/>
      <c r="L149" s="54">
        <f>IF(G149="","",IF(OR(K149="",K149&gt;TODAY()),"Nog betalen","Betaald"))</f>
        <v/>
      </c>
    </row>
    <row r="150">
      <c r="A150" s="53" t="n"/>
      <c r="B150" s="54">
        <f>IF(A150="","",YEAR(A150)&amp;" Q"&amp;ROUNDUP(MONTH(A150)/3,0))</f>
        <v/>
      </c>
      <c r="C150" s="55" t="n"/>
      <c r="D150" s="55" t="n"/>
      <c r="E150" s="55" t="n"/>
      <c r="F150" s="55" t="n"/>
      <c r="G150" s="56" t="n"/>
      <c r="H150" s="57" t="n"/>
      <c r="I150" s="58">
        <f>IF(G150="","",ROUND(G150*H150,2))</f>
        <v/>
      </c>
      <c r="J150" s="58">
        <f>IF(G150="","",G150+N(I150))</f>
        <v/>
      </c>
      <c r="K150" s="53" t="n"/>
      <c r="L150" s="54">
        <f>IF(G150="","",IF(OR(K150="",K150&gt;TODAY()),"Nog betalen","Betaald"))</f>
        <v/>
      </c>
    </row>
    <row r="151">
      <c r="A151" s="53" t="n"/>
      <c r="B151" s="54">
        <f>IF(A151="","",YEAR(A151)&amp;" Q"&amp;ROUNDUP(MONTH(A151)/3,0))</f>
        <v/>
      </c>
      <c r="C151" s="55" t="n"/>
      <c r="D151" s="55" t="n"/>
      <c r="E151" s="55" t="n"/>
      <c r="F151" s="55" t="n"/>
      <c r="G151" s="56" t="n"/>
      <c r="H151" s="57" t="n"/>
      <c r="I151" s="58">
        <f>IF(G151="","",ROUND(G151*H151,2))</f>
        <v/>
      </c>
      <c r="J151" s="58">
        <f>IF(G151="","",G151+N(I151))</f>
        <v/>
      </c>
      <c r="K151" s="53" t="n"/>
      <c r="L151" s="54">
        <f>IF(G151="","",IF(OR(K151="",K151&gt;TODAY()),"Nog betalen","Betaald"))</f>
        <v/>
      </c>
    </row>
    <row r="152">
      <c r="A152" s="53" t="n"/>
      <c r="B152" s="54">
        <f>IF(A152="","",YEAR(A152)&amp;" Q"&amp;ROUNDUP(MONTH(A152)/3,0))</f>
        <v/>
      </c>
      <c r="C152" s="55" t="n"/>
      <c r="D152" s="55" t="n"/>
      <c r="E152" s="55" t="n"/>
      <c r="F152" s="55" t="n"/>
      <c r="G152" s="56" t="n"/>
      <c r="H152" s="57" t="n"/>
      <c r="I152" s="58">
        <f>IF(G152="","",ROUND(G152*H152,2))</f>
        <v/>
      </c>
      <c r="J152" s="58">
        <f>IF(G152="","",G152+N(I152))</f>
        <v/>
      </c>
      <c r="K152" s="53" t="n"/>
      <c r="L152" s="54">
        <f>IF(G152="","",IF(OR(K152="",K152&gt;TODAY()),"Nog betalen","Betaald"))</f>
        <v/>
      </c>
    </row>
    <row r="153">
      <c r="A153" s="53" t="n"/>
      <c r="B153" s="54">
        <f>IF(A153="","",YEAR(A153)&amp;" Q"&amp;ROUNDUP(MONTH(A153)/3,0))</f>
        <v/>
      </c>
      <c r="C153" s="55" t="n"/>
      <c r="D153" s="55" t="n"/>
      <c r="E153" s="55" t="n"/>
      <c r="F153" s="55" t="n"/>
      <c r="G153" s="56" t="n"/>
      <c r="H153" s="57" t="n"/>
      <c r="I153" s="58">
        <f>IF(G153="","",ROUND(G153*H153,2))</f>
        <v/>
      </c>
      <c r="J153" s="58">
        <f>IF(G153="","",G153+N(I153))</f>
        <v/>
      </c>
      <c r="K153" s="53" t="n"/>
      <c r="L153" s="54">
        <f>IF(G153="","",IF(OR(K153="",K153&gt;TODAY()),"Nog betalen","Betaald"))</f>
        <v/>
      </c>
    </row>
    <row r="154">
      <c r="A154" s="53" t="n"/>
      <c r="B154" s="54">
        <f>IF(A154="","",YEAR(A154)&amp;" Q"&amp;ROUNDUP(MONTH(A154)/3,0))</f>
        <v/>
      </c>
      <c r="C154" s="55" t="n"/>
      <c r="D154" s="55" t="n"/>
      <c r="E154" s="55" t="n"/>
      <c r="F154" s="55" t="n"/>
      <c r="G154" s="56" t="n"/>
      <c r="H154" s="57" t="n"/>
      <c r="I154" s="58">
        <f>IF(G154="","",ROUND(G154*H154,2))</f>
        <v/>
      </c>
      <c r="J154" s="58">
        <f>IF(G154="","",G154+N(I154))</f>
        <v/>
      </c>
      <c r="K154" s="53" t="n"/>
      <c r="L154" s="54">
        <f>IF(G154="","",IF(OR(K154="",K154&gt;TODAY()),"Nog betalen","Betaald"))</f>
        <v/>
      </c>
    </row>
    <row r="155">
      <c r="A155" s="53" t="n"/>
      <c r="B155" s="54">
        <f>IF(A155="","",YEAR(A155)&amp;" Q"&amp;ROUNDUP(MONTH(A155)/3,0))</f>
        <v/>
      </c>
      <c r="C155" s="55" t="n"/>
      <c r="D155" s="55" t="n"/>
      <c r="E155" s="55" t="n"/>
      <c r="F155" s="55" t="n"/>
      <c r="G155" s="56" t="n"/>
      <c r="H155" s="57" t="n"/>
      <c r="I155" s="58">
        <f>IF(G155="","",ROUND(G155*H155,2))</f>
        <v/>
      </c>
      <c r="J155" s="58">
        <f>IF(G155="","",G155+N(I155))</f>
        <v/>
      </c>
      <c r="K155" s="53" t="n"/>
      <c r="L155" s="54">
        <f>IF(G155="","",IF(OR(K155="",K155&gt;TODAY()),"Nog betalen","Betaald"))</f>
        <v/>
      </c>
    </row>
    <row r="156">
      <c r="A156" s="53" t="n"/>
      <c r="B156" s="54">
        <f>IF(A156="","",YEAR(A156)&amp;" Q"&amp;ROUNDUP(MONTH(A156)/3,0))</f>
        <v/>
      </c>
      <c r="C156" s="55" t="n"/>
      <c r="D156" s="55" t="n"/>
      <c r="E156" s="55" t="n"/>
      <c r="F156" s="55" t="n"/>
      <c r="G156" s="56" t="n"/>
      <c r="H156" s="57" t="n"/>
      <c r="I156" s="58">
        <f>IF(G156="","",ROUND(G156*H156,2))</f>
        <v/>
      </c>
      <c r="J156" s="58">
        <f>IF(G156="","",G156+N(I156))</f>
        <v/>
      </c>
      <c r="K156" s="53" t="n"/>
      <c r="L156" s="54">
        <f>IF(G156="","",IF(OR(K156="",K156&gt;TODAY()),"Nog betalen","Betaald"))</f>
        <v/>
      </c>
    </row>
    <row r="157">
      <c r="A157" s="53" t="n"/>
      <c r="B157" s="54">
        <f>IF(A157="","",YEAR(A157)&amp;" Q"&amp;ROUNDUP(MONTH(A157)/3,0))</f>
        <v/>
      </c>
      <c r="C157" s="55" t="n"/>
      <c r="D157" s="55" t="n"/>
      <c r="E157" s="55" t="n"/>
      <c r="F157" s="55" t="n"/>
      <c r="G157" s="56" t="n"/>
      <c r="H157" s="57" t="n"/>
      <c r="I157" s="58">
        <f>IF(G157="","",ROUND(G157*H157,2))</f>
        <v/>
      </c>
      <c r="J157" s="58">
        <f>IF(G157="","",G157+N(I157))</f>
        <v/>
      </c>
      <c r="K157" s="53" t="n"/>
      <c r="L157" s="54">
        <f>IF(G157="","",IF(OR(K157="",K157&gt;TODAY()),"Nog betalen","Betaald"))</f>
        <v/>
      </c>
    </row>
    <row r="158">
      <c r="A158" s="53" t="n"/>
      <c r="B158" s="54">
        <f>IF(A158="","",YEAR(A158)&amp;" Q"&amp;ROUNDUP(MONTH(A158)/3,0))</f>
        <v/>
      </c>
      <c r="C158" s="55" t="n"/>
      <c r="D158" s="55" t="n"/>
      <c r="E158" s="55" t="n"/>
      <c r="F158" s="55" t="n"/>
      <c r="G158" s="56" t="n"/>
      <c r="H158" s="57" t="n"/>
      <c r="I158" s="58">
        <f>IF(G158="","",ROUND(G158*H158,2))</f>
        <v/>
      </c>
      <c r="J158" s="58">
        <f>IF(G158="","",G158+N(I158))</f>
        <v/>
      </c>
      <c r="K158" s="53" t="n"/>
      <c r="L158" s="54">
        <f>IF(G158="","",IF(OR(K158="",K158&gt;TODAY()),"Nog betalen","Betaald"))</f>
        <v/>
      </c>
    </row>
    <row r="159">
      <c r="A159" s="53" t="n"/>
      <c r="B159" s="54">
        <f>IF(A159="","",YEAR(A159)&amp;" Q"&amp;ROUNDUP(MONTH(A159)/3,0))</f>
        <v/>
      </c>
      <c r="C159" s="55" t="n"/>
      <c r="D159" s="55" t="n"/>
      <c r="E159" s="55" t="n"/>
      <c r="F159" s="55" t="n"/>
      <c r="G159" s="56" t="n"/>
      <c r="H159" s="57" t="n"/>
      <c r="I159" s="58">
        <f>IF(G159="","",ROUND(G159*H159,2))</f>
        <v/>
      </c>
      <c r="J159" s="58">
        <f>IF(G159="","",G159+N(I159))</f>
        <v/>
      </c>
      <c r="K159" s="53" t="n"/>
      <c r="L159" s="54">
        <f>IF(G159="","",IF(OR(K159="",K159&gt;TODAY()),"Nog betalen","Betaald"))</f>
        <v/>
      </c>
    </row>
    <row r="160">
      <c r="A160" s="53" t="n"/>
      <c r="B160" s="54">
        <f>IF(A160="","",YEAR(A160)&amp;" Q"&amp;ROUNDUP(MONTH(A160)/3,0))</f>
        <v/>
      </c>
      <c r="C160" s="55" t="n"/>
      <c r="D160" s="55" t="n"/>
      <c r="E160" s="55" t="n"/>
      <c r="F160" s="55" t="n"/>
      <c r="G160" s="56" t="n"/>
      <c r="H160" s="57" t="n"/>
      <c r="I160" s="58">
        <f>IF(G160="","",ROUND(G160*H160,2))</f>
        <v/>
      </c>
      <c r="J160" s="58">
        <f>IF(G160="","",G160+N(I160))</f>
        <v/>
      </c>
      <c r="K160" s="53" t="n"/>
      <c r="L160" s="54">
        <f>IF(G160="","",IF(OR(K160="",K160&gt;TODAY()),"Nog betalen","Betaald"))</f>
        <v/>
      </c>
    </row>
    <row r="161">
      <c r="A161" s="53" t="n"/>
      <c r="B161" s="54">
        <f>IF(A161="","",YEAR(A161)&amp;" Q"&amp;ROUNDUP(MONTH(A161)/3,0))</f>
        <v/>
      </c>
      <c r="C161" s="55" t="n"/>
      <c r="D161" s="55" t="n"/>
      <c r="E161" s="55" t="n"/>
      <c r="F161" s="55" t="n"/>
      <c r="G161" s="56" t="n"/>
      <c r="H161" s="57" t="n"/>
      <c r="I161" s="58">
        <f>IF(G161="","",ROUND(G161*H161,2))</f>
        <v/>
      </c>
      <c r="J161" s="58">
        <f>IF(G161="","",G161+N(I161))</f>
        <v/>
      </c>
      <c r="K161" s="53" t="n"/>
      <c r="L161" s="54">
        <f>IF(G161="","",IF(OR(K161="",K161&gt;TODAY()),"Nog betalen","Betaald"))</f>
        <v/>
      </c>
    </row>
    <row r="162">
      <c r="A162" s="53" t="n"/>
      <c r="B162" s="54">
        <f>IF(A162="","",YEAR(A162)&amp;" Q"&amp;ROUNDUP(MONTH(A162)/3,0))</f>
        <v/>
      </c>
      <c r="C162" s="55" t="n"/>
      <c r="D162" s="55" t="n"/>
      <c r="E162" s="55" t="n"/>
      <c r="F162" s="55" t="n"/>
      <c r="G162" s="56" t="n"/>
      <c r="H162" s="57" t="n"/>
      <c r="I162" s="58">
        <f>IF(G162="","",ROUND(G162*H162,2))</f>
        <v/>
      </c>
      <c r="J162" s="58">
        <f>IF(G162="","",G162+N(I162))</f>
        <v/>
      </c>
      <c r="K162" s="53" t="n"/>
      <c r="L162" s="54">
        <f>IF(G162="","",IF(OR(K162="",K162&gt;TODAY()),"Nog betalen","Betaald"))</f>
        <v/>
      </c>
    </row>
    <row r="163">
      <c r="A163" s="53" t="n"/>
      <c r="B163" s="54">
        <f>IF(A163="","",YEAR(A163)&amp;" Q"&amp;ROUNDUP(MONTH(A163)/3,0))</f>
        <v/>
      </c>
      <c r="C163" s="55" t="n"/>
      <c r="D163" s="55" t="n"/>
      <c r="E163" s="55" t="n"/>
      <c r="F163" s="55" t="n"/>
      <c r="G163" s="56" t="n"/>
      <c r="H163" s="57" t="n"/>
      <c r="I163" s="58">
        <f>IF(G163="","",ROUND(G163*H163,2))</f>
        <v/>
      </c>
      <c r="J163" s="58">
        <f>IF(G163="","",G163+N(I163))</f>
        <v/>
      </c>
      <c r="K163" s="53" t="n"/>
      <c r="L163" s="54">
        <f>IF(G163="","",IF(OR(K163="",K163&gt;TODAY()),"Nog betalen","Betaald"))</f>
        <v/>
      </c>
    </row>
    <row r="164">
      <c r="A164" s="53" t="n"/>
      <c r="B164" s="54">
        <f>IF(A164="","",YEAR(A164)&amp;" Q"&amp;ROUNDUP(MONTH(A164)/3,0))</f>
        <v/>
      </c>
      <c r="C164" s="55" t="n"/>
      <c r="D164" s="55" t="n"/>
      <c r="E164" s="55" t="n"/>
      <c r="F164" s="55" t="n"/>
      <c r="G164" s="56" t="n"/>
      <c r="H164" s="57" t="n"/>
      <c r="I164" s="58">
        <f>IF(G164="","",ROUND(G164*H164,2))</f>
        <v/>
      </c>
      <c r="J164" s="58">
        <f>IF(G164="","",G164+N(I164))</f>
        <v/>
      </c>
      <c r="K164" s="53" t="n"/>
      <c r="L164" s="54">
        <f>IF(G164="","",IF(OR(K164="",K164&gt;TODAY()),"Nog betalen","Betaald"))</f>
        <v/>
      </c>
    </row>
    <row r="165">
      <c r="A165" s="53" t="n"/>
      <c r="B165" s="54">
        <f>IF(A165="","",YEAR(A165)&amp;" Q"&amp;ROUNDUP(MONTH(A165)/3,0))</f>
        <v/>
      </c>
      <c r="C165" s="55" t="n"/>
      <c r="D165" s="55" t="n"/>
      <c r="E165" s="55" t="n"/>
      <c r="F165" s="55" t="n"/>
      <c r="G165" s="56" t="n"/>
      <c r="H165" s="57" t="n"/>
      <c r="I165" s="58">
        <f>IF(G165="","",ROUND(G165*H165,2))</f>
        <v/>
      </c>
      <c r="J165" s="58">
        <f>IF(G165="","",G165+N(I165))</f>
        <v/>
      </c>
      <c r="K165" s="53" t="n"/>
      <c r="L165" s="54">
        <f>IF(G165="","",IF(OR(K165="",K165&gt;TODAY()),"Nog betalen","Betaald"))</f>
        <v/>
      </c>
    </row>
    <row r="166">
      <c r="A166" s="53" t="n"/>
      <c r="B166" s="54">
        <f>IF(A166="","",YEAR(A166)&amp;" Q"&amp;ROUNDUP(MONTH(A166)/3,0))</f>
        <v/>
      </c>
      <c r="C166" s="55" t="n"/>
      <c r="D166" s="55" t="n"/>
      <c r="E166" s="55" t="n"/>
      <c r="F166" s="55" t="n"/>
      <c r="G166" s="56" t="n"/>
      <c r="H166" s="57" t="n"/>
      <c r="I166" s="58">
        <f>IF(G166="","",ROUND(G166*H166,2))</f>
        <v/>
      </c>
      <c r="J166" s="58">
        <f>IF(G166="","",G166+N(I166))</f>
        <v/>
      </c>
      <c r="K166" s="53" t="n"/>
      <c r="L166" s="54">
        <f>IF(G166="","",IF(OR(K166="",K166&gt;TODAY()),"Nog betalen","Betaald"))</f>
        <v/>
      </c>
    </row>
    <row r="167">
      <c r="A167" s="53" t="n"/>
      <c r="B167" s="54">
        <f>IF(A167="","",YEAR(A167)&amp;" Q"&amp;ROUNDUP(MONTH(A167)/3,0))</f>
        <v/>
      </c>
      <c r="C167" s="55" t="n"/>
      <c r="D167" s="55" t="n"/>
      <c r="E167" s="55" t="n"/>
      <c r="F167" s="55" t="n"/>
      <c r="G167" s="56" t="n"/>
      <c r="H167" s="57" t="n"/>
      <c r="I167" s="58">
        <f>IF(G167="","",ROUND(G167*H167,2))</f>
        <v/>
      </c>
      <c r="J167" s="58">
        <f>IF(G167="","",G167+N(I167))</f>
        <v/>
      </c>
      <c r="K167" s="53" t="n"/>
      <c r="L167" s="54">
        <f>IF(G167="","",IF(OR(K167="",K167&gt;TODAY()),"Nog betalen","Betaald"))</f>
        <v/>
      </c>
    </row>
    <row r="168">
      <c r="A168" s="53" t="n"/>
      <c r="B168" s="54">
        <f>IF(A168="","",YEAR(A168)&amp;" Q"&amp;ROUNDUP(MONTH(A168)/3,0))</f>
        <v/>
      </c>
      <c r="C168" s="55" t="n"/>
      <c r="D168" s="55" t="n"/>
      <c r="E168" s="55" t="n"/>
      <c r="F168" s="55" t="n"/>
      <c r="G168" s="56" t="n"/>
      <c r="H168" s="57" t="n"/>
      <c r="I168" s="58">
        <f>IF(G168="","",ROUND(G168*H168,2))</f>
        <v/>
      </c>
      <c r="J168" s="58">
        <f>IF(G168="","",G168+N(I168))</f>
        <v/>
      </c>
      <c r="K168" s="53" t="n"/>
      <c r="L168" s="54">
        <f>IF(G168="","",IF(OR(K168="",K168&gt;TODAY()),"Nog betalen","Betaald"))</f>
        <v/>
      </c>
    </row>
    <row r="169">
      <c r="A169" s="53" t="n"/>
      <c r="B169" s="54">
        <f>IF(A169="","",YEAR(A169)&amp;" Q"&amp;ROUNDUP(MONTH(A169)/3,0))</f>
        <v/>
      </c>
      <c r="C169" s="55" t="n"/>
      <c r="D169" s="55" t="n"/>
      <c r="E169" s="55" t="n"/>
      <c r="F169" s="55" t="n"/>
      <c r="G169" s="56" t="n"/>
      <c r="H169" s="57" t="n"/>
      <c r="I169" s="58">
        <f>IF(G169="","",ROUND(G169*H169,2))</f>
        <v/>
      </c>
      <c r="J169" s="58">
        <f>IF(G169="","",G169+N(I169))</f>
        <v/>
      </c>
      <c r="K169" s="53" t="n"/>
      <c r="L169" s="54">
        <f>IF(G169="","",IF(OR(K169="",K169&gt;TODAY()),"Nog betalen","Betaald"))</f>
        <v/>
      </c>
    </row>
    <row r="170">
      <c r="A170" s="53" t="n"/>
      <c r="B170" s="54">
        <f>IF(A170="","",YEAR(A170)&amp;" Q"&amp;ROUNDUP(MONTH(A170)/3,0))</f>
        <v/>
      </c>
      <c r="C170" s="55" t="n"/>
      <c r="D170" s="55" t="n"/>
      <c r="E170" s="55" t="n"/>
      <c r="F170" s="55" t="n"/>
      <c r="G170" s="56" t="n"/>
      <c r="H170" s="57" t="n"/>
      <c r="I170" s="58">
        <f>IF(G170="","",ROUND(G170*H170,2))</f>
        <v/>
      </c>
      <c r="J170" s="58">
        <f>IF(G170="","",G170+N(I170))</f>
        <v/>
      </c>
      <c r="K170" s="53" t="n"/>
      <c r="L170" s="54">
        <f>IF(G170="","",IF(OR(K170="",K170&gt;TODAY()),"Nog betalen","Betaald"))</f>
        <v/>
      </c>
    </row>
    <row r="171">
      <c r="A171" s="53" t="n"/>
      <c r="B171" s="54">
        <f>IF(A171="","",YEAR(A171)&amp;" Q"&amp;ROUNDUP(MONTH(A171)/3,0))</f>
        <v/>
      </c>
      <c r="C171" s="55" t="n"/>
      <c r="D171" s="55" t="n"/>
      <c r="E171" s="55" t="n"/>
      <c r="F171" s="55" t="n"/>
      <c r="G171" s="56" t="n"/>
      <c r="H171" s="57" t="n"/>
      <c r="I171" s="58">
        <f>IF(G171="","",ROUND(G171*H171,2))</f>
        <v/>
      </c>
      <c r="J171" s="58">
        <f>IF(G171="","",G171+N(I171))</f>
        <v/>
      </c>
      <c r="K171" s="53" t="n"/>
      <c r="L171" s="54">
        <f>IF(G171="","",IF(OR(K171="",K171&gt;TODAY()),"Nog betalen","Betaald"))</f>
        <v/>
      </c>
    </row>
    <row r="172">
      <c r="A172" s="53" t="n"/>
      <c r="B172" s="54">
        <f>IF(A172="","",YEAR(A172)&amp;" Q"&amp;ROUNDUP(MONTH(A172)/3,0))</f>
        <v/>
      </c>
      <c r="C172" s="55" t="n"/>
      <c r="D172" s="55" t="n"/>
      <c r="E172" s="55" t="n"/>
      <c r="F172" s="55" t="n"/>
      <c r="G172" s="56" t="n"/>
      <c r="H172" s="57" t="n"/>
      <c r="I172" s="58">
        <f>IF(G172="","",ROUND(G172*H172,2))</f>
        <v/>
      </c>
      <c r="J172" s="58">
        <f>IF(G172="","",G172+N(I172))</f>
        <v/>
      </c>
      <c r="K172" s="53" t="n"/>
      <c r="L172" s="54">
        <f>IF(G172="","",IF(OR(K172="",K172&gt;TODAY()),"Nog betalen","Betaald"))</f>
        <v/>
      </c>
    </row>
    <row r="173">
      <c r="A173" s="53" t="n"/>
      <c r="B173" s="54">
        <f>IF(A173="","",YEAR(A173)&amp;" Q"&amp;ROUNDUP(MONTH(A173)/3,0))</f>
        <v/>
      </c>
      <c r="C173" s="55" t="n"/>
      <c r="D173" s="55" t="n"/>
      <c r="E173" s="55" t="n"/>
      <c r="F173" s="55" t="n"/>
      <c r="G173" s="56" t="n"/>
      <c r="H173" s="57" t="n"/>
      <c r="I173" s="58">
        <f>IF(G173="","",ROUND(G173*H173,2))</f>
        <v/>
      </c>
      <c r="J173" s="58">
        <f>IF(G173="","",G173+N(I173))</f>
        <v/>
      </c>
      <c r="K173" s="53" t="n"/>
      <c r="L173" s="54">
        <f>IF(G173="","",IF(OR(K173="",K173&gt;TODAY()),"Nog betalen","Betaald"))</f>
        <v/>
      </c>
    </row>
    <row r="174">
      <c r="A174" s="53" t="n"/>
      <c r="B174" s="54">
        <f>IF(A174="","",YEAR(A174)&amp;" Q"&amp;ROUNDUP(MONTH(A174)/3,0))</f>
        <v/>
      </c>
      <c r="C174" s="55" t="n"/>
      <c r="D174" s="55" t="n"/>
      <c r="E174" s="55" t="n"/>
      <c r="F174" s="55" t="n"/>
      <c r="G174" s="56" t="n"/>
      <c r="H174" s="57" t="n"/>
      <c r="I174" s="58">
        <f>IF(G174="","",ROUND(G174*H174,2))</f>
        <v/>
      </c>
      <c r="J174" s="58">
        <f>IF(G174="","",G174+N(I174))</f>
        <v/>
      </c>
      <c r="K174" s="53" t="n"/>
      <c r="L174" s="54">
        <f>IF(G174="","",IF(OR(K174="",K174&gt;TODAY()),"Nog betalen","Betaald"))</f>
        <v/>
      </c>
    </row>
    <row r="175">
      <c r="A175" s="53" t="n"/>
      <c r="B175" s="54">
        <f>IF(A175="","",YEAR(A175)&amp;" Q"&amp;ROUNDUP(MONTH(A175)/3,0))</f>
        <v/>
      </c>
      <c r="C175" s="55" t="n"/>
      <c r="D175" s="55" t="n"/>
      <c r="E175" s="55" t="n"/>
      <c r="F175" s="55" t="n"/>
      <c r="G175" s="56" t="n"/>
      <c r="H175" s="57" t="n"/>
      <c r="I175" s="58">
        <f>IF(G175="","",ROUND(G175*H175,2))</f>
        <v/>
      </c>
      <c r="J175" s="58">
        <f>IF(G175="","",G175+N(I175))</f>
        <v/>
      </c>
      <c r="K175" s="53" t="n"/>
      <c r="L175" s="54">
        <f>IF(G175="","",IF(OR(K175="",K175&gt;TODAY()),"Nog betalen","Betaald"))</f>
        <v/>
      </c>
    </row>
    <row r="176">
      <c r="A176" s="53" t="n"/>
      <c r="B176" s="54">
        <f>IF(A176="","",YEAR(A176)&amp;" Q"&amp;ROUNDUP(MONTH(A176)/3,0))</f>
        <v/>
      </c>
      <c r="C176" s="55" t="n"/>
      <c r="D176" s="55" t="n"/>
      <c r="E176" s="55" t="n"/>
      <c r="F176" s="55" t="n"/>
      <c r="G176" s="56" t="n"/>
      <c r="H176" s="57" t="n"/>
      <c r="I176" s="58">
        <f>IF(G176="","",ROUND(G176*H176,2))</f>
        <v/>
      </c>
      <c r="J176" s="58">
        <f>IF(G176="","",G176+N(I176))</f>
        <v/>
      </c>
      <c r="K176" s="53" t="n"/>
      <c r="L176" s="54">
        <f>IF(G176="","",IF(OR(K176="",K176&gt;TODAY()),"Nog betalen","Betaald"))</f>
        <v/>
      </c>
    </row>
    <row r="177">
      <c r="A177" s="53" t="n"/>
      <c r="B177" s="54">
        <f>IF(A177="","",YEAR(A177)&amp;" Q"&amp;ROUNDUP(MONTH(A177)/3,0))</f>
        <v/>
      </c>
      <c r="C177" s="55" t="n"/>
      <c r="D177" s="55" t="n"/>
      <c r="E177" s="55" t="n"/>
      <c r="F177" s="55" t="n"/>
      <c r="G177" s="56" t="n"/>
      <c r="H177" s="57" t="n"/>
      <c r="I177" s="58">
        <f>IF(G177="","",ROUND(G177*H177,2))</f>
        <v/>
      </c>
      <c r="J177" s="58">
        <f>IF(G177="","",G177+N(I177))</f>
        <v/>
      </c>
      <c r="K177" s="53" t="n"/>
      <c r="L177" s="54">
        <f>IF(G177="","",IF(OR(K177="",K177&gt;TODAY()),"Nog betalen","Betaald"))</f>
        <v/>
      </c>
    </row>
    <row r="178">
      <c r="A178" s="53" t="n"/>
      <c r="B178" s="54">
        <f>IF(A178="","",YEAR(A178)&amp;" Q"&amp;ROUNDUP(MONTH(A178)/3,0))</f>
        <v/>
      </c>
      <c r="C178" s="55" t="n"/>
      <c r="D178" s="55" t="n"/>
      <c r="E178" s="55" t="n"/>
      <c r="F178" s="55" t="n"/>
      <c r="G178" s="56" t="n"/>
      <c r="H178" s="57" t="n"/>
      <c r="I178" s="58">
        <f>IF(G178="","",ROUND(G178*H178,2))</f>
        <v/>
      </c>
      <c r="J178" s="58">
        <f>IF(G178="","",G178+N(I178))</f>
        <v/>
      </c>
      <c r="K178" s="53" t="n"/>
      <c r="L178" s="54">
        <f>IF(G178="","",IF(OR(K178="",K178&gt;TODAY()),"Nog betalen","Betaald"))</f>
        <v/>
      </c>
    </row>
    <row r="179">
      <c r="A179" s="53" t="n"/>
      <c r="B179" s="54">
        <f>IF(A179="","",YEAR(A179)&amp;" Q"&amp;ROUNDUP(MONTH(A179)/3,0))</f>
        <v/>
      </c>
      <c r="C179" s="55" t="n"/>
      <c r="D179" s="55" t="n"/>
      <c r="E179" s="55" t="n"/>
      <c r="F179" s="55" t="n"/>
      <c r="G179" s="56" t="n"/>
      <c r="H179" s="57" t="n"/>
      <c r="I179" s="58">
        <f>IF(G179="","",ROUND(G179*H179,2))</f>
        <v/>
      </c>
      <c r="J179" s="58">
        <f>IF(G179="","",G179+N(I179))</f>
        <v/>
      </c>
      <c r="K179" s="53" t="n"/>
      <c r="L179" s="54">
        <f>IF(G179="","",IF(OR(K179="",K179&gt;TODAY()),"Nog betalen","Betaald"))</f>
        <v/>
      </c>
    </row>
    <row r="180">
      <c r="A180" s="53" t="n"/>
      <c r="B180" s="54">
        <f>IF(A180="","",YEAR(A180)&amp;" Q"&amp;ROUNDUP(MONTH(A180)/3,0))</f>
        <v/>
      </c>
      <c r="C180" s="55" t="n"/>
      <c r="D180" s="55" t="n"/>
      <c r="E180" s="55" t="n"/>
      <c r="F180" s="55" t="n"/>
      <c r="G180" s="56" t="n"/>
      <c r="H180" s="57" t="n"/>
      <c r="I180" s="58">
        <f>IF(G180="","",ROUND(G180*H180,2))</f>
        <v/>
      </c>
      <c r="J180" s="58">
        <f>IF(G180="","",G180+N(I180))</f>
        <v/>
      </c>
      <c r="K180" s="53" t="n"/>
      <c r="L180" s="54">
        <f>IF(G180="","",IF(OR(K180="",K180&gt;TODAY()),"Nog betalen","Betaald"))</f>
        <v/>
      </c>
    </row>
    <row r="181">
      <c r="A181" s="53" t="n"/>
      <c r="B181" s="54">
        <f>IF(A181="","",YEAR(A181)&amp;" Q"&amp;ROUNDUP(MONTH(A181)/3,0))</f>
        <v/>
      </c>
      <c r="C181" s="55" t="n"/>
      <c r="D181" s="55" t="n"/>
      <c r="E181" s="55" t="n"/>
      <c r="F181" s="55" t="n"/>
      <c r="G181" s="56" t="n"/>
      <c r="H181" s="57" t="n"/>
      <c r="I181" s="58">
        <f>IF(G181="","",ROUND(G181*H181,2))</f>
        <v/>
      </c>
      <c r="J181" s="58">
        <f>IF(G181="","",G181+N(I181))</f>
        <v/>
      </c>
      <c r="K181" s="53" t="n"/>
      <c r="L181" s="54">
        <f>IF(G181="","",IF(OR(K181="",K181&gt;TODAY()),"Nog betalen","Betaald"))</f>
        <v/>
      </c>
    </row>
    <row r="182">
      <c r="A182" s="53" t="n"/>
      <c r="B182" s="54">
        <f>IF(A182="","",YEAR(A182)&amp;" Q"&amp;ROUNDUP(MONTH(A182)/3,0))</f>
        <v/>
      </c>
      <c r="C182" s="55" t="n"/>
      <c r="D182" s="55" t="n"/>
      <c r="E182" s="55" t="n"/>
      <c r="F182" s="55" t="n"/>
      <c r="G182" s="56" t="n"/>
      <c r="H182" s="57" t="n"/>
      <c r="I182" s="58">
        <f>IF(G182="","",ROUND(G182*H182,2))</f>
        <v/>
      </c>
      <c r="J182" s="58">
        <f>IF(G182="","",G182+N(I182))</f>
        <v/>
      </c>
      <c r="K182" s="53" t="n"/>
      <c r="L182" s="54">
        <f>IF(G182="","",IF(OR(K182="",K182&gt;TODAY()),"Nog betalen","Betaald"))</f>
        <v/>
      </c>
    </row>
    <row r="183">
      <c r="A183" s="53" t="n"/>
      <c r="B183" s="54">
        <f>IF(A183="","",YEAR(A183)&amp;" Q"&amp;ROUNDUP(MONTH(A183)/3,0))</f>
        <v/>
      </c>
      <c r="C183" s="55" t="n"/>
      <c r="D183" s="55" t="n"/>
      <c r="E183" s="55" t="n"/>
      <c r="F183" s="55" t="n"/>
      <c r="G183" s="56" t="n"/>
      <c r="H183" s="57" t="n"/>
      <c r="I183" s="58">
        <f>IF(G183="","",ROUND(G183*H183,2))</f>
        <v/>
      </c>
      <c r="J183" s="58">
        <f>IF(G183="","",G183+N(I183))</f>
        <v/>
      </c>
      <c r="K183" s="53" t="n"/>
      <c r="L183" s="54">
        <f>IF(G183="","",IF(OR(K183="",K183&gt;TODAY()),"Nog betalen","Betaald"))</f>
        <v/>
      </c>
    </row>
    <row r="184">
      <c r="A184" s="53" t="n"/>
      <c r="B184" s="54">
        <f>IF(A184="","",YEAR(A184)&amp;" Q"&amp;ROUNDUP(MONTH(A184)/3,0))</f>
        <v/>
      </c>
      <c r="C184" s="55" t="n"/>
      <c r="D184" s="55" t="n"/>
      <c r="E184" s="55" t="n"/>
      <c r="F184" s="55" t="n"/>
      <c r="G184" s="56" t="n"/>
      <c r="H184" s="57" t="n"/>
      <c r="I184" s="58">
        <f>IF(G184="","",ROUND(G184*H184,2))</f>
        <v/>
      </c>
      <c r="J184" s="58">
        <f>IF(G184="","",G184+N(I184))</f>
        <v/>
      </c>
      <c r="K184" s="53" t="n"/>
      <c r="L184" s="54">
        <f>IF(G184="","",IF(OR(K184="",K184&gt;TODAY()),"Nog betalen","Betaald"))</f>
        <v/>
      </c>
    </row>
    <row r="185">
      <c r="A185" s="53" t="n"/>
      <c r="B185" s="54">
        <f>IF(A185="","",YEAR(A185)&amp;" Q"&amp;ROUNDUP(MONTH(A185)/3,0))</f>
        <v/>
      </c>
      <c r="C185" s="55" t="n"/>
      <c r="D185" s="55" t="n"/>
      <c r="E185" s="55" t="n"/>
      <c r="F185" s="55" t="n"/>
      <c r="G185" s="56" t="n"/>
      <c r="H185" s="57" t="n"/>
      <c r="I185" s="58">
        <f>IF(G185="","",ROUND(G185*H185,2))</f>
        <v/>
      </c>
      <c r="J185" s="58">
        <f>IF(G185="","",G185+N(I185))</f>
        <v/>
      </c>
      <c r="K185" s="53" t="n"/>
      <c r="L185" s="54">
        <f>IF(G185="","",IF(OR(K185="",K185&gt;TODAY()),"Nog betalen","Betaald"))</f>
        <v/>
      </c>
    </row>
    <row r="186">
      <c r="A186" s="53" t="n"/>
      <c r="B186" s="54">
        <f>IF(A186="","",YEAR(A186)&amp;" Q"&amp;ROUNDUP(MONTH(A186)/3,0))</f>
        <v/>
      </c>
      <c r="C186" s="55" t="n"/>
      <c r="D186" s="55" t="n"/>
      <c r="E186" s="55" t="n"/>
      <c r="F186" s="55" t="n"/>
      <c r="G186" s="56" t="n"/>
      <c r="H186" s="57" t="n"/>
      <c r="I186" s="58">
        <f>IF(G186="","",ROUND(G186*H186,2))</f>
        <v/>
      </c>
      <c r="J186" s="58">
        <f>IF(G186="","",G186+N(I186))</f>
        <v/>
      </c>
      <c r="K186" s="53" t="n"/>
      <c r="L186" s="54">
        <f>IF(G186="","",IF(OR(K186="",K186&gt;TODAY()),"Nog betalen","Betaald"))</f>
        <v/>
      </c>
    </row>
    <row r="187">
      <c r="A187" s="53" t="n"/>
      <c r="B187" s="54">
        <f>IF(A187="","",YEAR(A187)&amp;" Q"&amp;ROUNDUP(MONTH(A187)/3,0))</f>
        <v/>
      </c>
      <c r="C187" s="55" t="n"/>
      <c r="D187" s="55" t="n"/>
      <c r="E187" s="55" t="n"/>
      <c r="F187" s="55" t="n"/>
      <c r="G187" s="56" t="n"/>
      <c r="H187" s="57" t="n"/>
      <c r="I187" s="58">
        <f>IF(G187="","",ROUND(G187*H187,2))</f>
        <v/>
      </c>
      <c r="J187" s="58">
        <f>IF(G187="","",G187+N(I187))</f>
        <v/>
      </c>
      <c r="K187" s="53" t="n"/>
      <c r="L187" s="54">
        <f>IF(G187="","",IF(OR(K187="",K187&gt;TODAY()),"Nog betalen","Betaald"))</f>
        <v/>
      </c>
    </row>
    <row r="188">
      <c r="A188" s="53" t="n"/>
      <c r="B188" s="54">
        <f>IF(A188="","",YEAR(A188)&amp;" Q"&amp;ROUNDUP(MONTH(A188)/3,0))</f>
        <v/>
      </c>
      <c r="C188" s="55" t="n"/>
      <c r="D188" s="55" t="n"/>
      <c r="E188" s="55" t="n"/>
      <c r="F188" s="55" t="n"/>
      <c r="G188" s="56" t="n"/>
      <c r="H188" s="57" t="n"/>
      <c r="I188" s="58">
        <f>IF(G188="","",ROUND(G188*H188,2))</f>
        <v/>
      </c>
      <c r="J188" s="58">
        <f>IF(G188="","",G188+N(I188))</f>
        <v/>
      </c>
      <c r="K188" s="53" t="n"/>
      <c r="L188" s="54">
        <f>IF(G188="","",IF(OR(K188="",K188&gt;TODAY()),"Nog betalen","Betaald"))</f>
        <v/>
      </c>
    </row>
    <row r="189">
      <c r="A189" s="53" t="n"/>
      <c r="B189" s="54">
        <f>IF(A189="","",YEAR(A189)&amp;" Q"&amp;ROUNDUP(MONTH(A189)/3,0))</f>
        <v/>
      </c>
      <c r="C189" s="55" t="n"/>
      <c r="D189" s="55" t="n"/>
      <c r="E189" s="55" t="n"/>
      <c r="F189" s="55" t="n"/>
      <c r="G189" s="56" t="n"/>
      <c r="H189" s="57" t="n"/>
      <c r="I189" s="58">
        <f>IF(G189="","",ROUND(G189*H189,2))</f>
        <v/>
      </c>
      <c r="J189" s="58">
        <f>IF(G189="","",G189+N(I189))</f>
        <v/>
      </c>
      <c r="K189" s="53" t="n"/>
      <c r="L189" s="54">
        <f>IF(G189="","",IF(OR(K189="",K189&gt;TODAY()),"Nog betalen","Betaald"))</f>
        <v/>
      </c>
    </row>
    <row r="190">
      <c r="A190" s="53" t="n"/>
      <c r="B190" s="54">
        <f>IF(A190="","",YEAR(A190)&amp;" Q"&amp;ROUNDUP(MONTH(A190)/3,0))</f>
        <v/>
      </c>
      <c r="C190" s="55" t="n"/>
      <c r="D190" s="55" t="n"/>
      <c r="E190" s="55" t="n"/>
      <c r="F190" s="55" t="n"/>
      <c r="G190" s="56" t="n"/>
      <c r="H190" s="57" t="n"/>
      <c r="I190" s="58">
        <f>IF(G190="","",ROUND(G190*H190,2))</f>
        <v/>
      </c>
      <c r="J190" s="58">
        <f>IF(G190="","",G190+N(I190))</f>
        <v/>
      </c>
      <c r="K190" s="53" t="n"/>
      <c r="L190" s="54">
        <f>IF(G190="","",IF(OR(K190="",K190&gt;TODAY()),"Nog betalen","Betaald"))</f>
        <v/>
      </c>
    </row>
    <row r="191">
      <c r="A191" s="53" t="n"/>
      <c r="B191" s="54">
        <f>IF(A191="","",YEAR(A191)&amp;" Q"&amp;ROUNDUP(MONTH(A191)/3,0))</f>
        <v/>
      </c>
      <c r="C191" s="55" t="n"/>
      <c r="D191" s="55" t="n"/>
      <c r="E191" s="55" t="n"/>
      <c r="F191" s="55" t="n"/>
      <c r="G191" s="56" t="n"/>
      <c r="H191" s="57" t="n"/>
      <c r="I191" s="58">
        <f>IF(G191="","",ROUND(G191*H191,2))</f>
        <v/>
      </c>
      <c r="J191" s="58">
        <f>IF(G191="","",G191+N(I191))</f>
        <v/>
      </c>
      <c r="K191" s="53" t="n"/>
      <c r="L191" s="54">
        <f>IF(G191="","",IF(OR(K191="",K191&gt;TODAY()),"Nog betalen","Betaald"))</f>
        <v/>
      </c>
    </row>
    <row r="192">
      <c r="A192" s="53" t="n"/>
      <c r="B192" s="54">
        <f>IF(A192="","",YEAR(A192)&amp;" Q"&amp;ROUNDUP(MONTH(A192)/3,0))</f>
        <v/>
      </c>
      <c r="C192" s="55" t="n"/>
      <c r="D192" s="55" t="n"/>
      <c r="E192" s="55" t="n"/>
      <c r="F192" s="55" t="n"/>
      <c r="G192" s="56" t="n"/>
      <c r="H192" s="57" t="n"/>
      <c r="I192" s="58">
        <f>IF(G192="","",ROUND(G192*H192,2))</f>
        <v/>
      </c>
      <c r="J192" s="58">
        <f>IF(G192="","",G192+N(I192))</f>
        <v/>
      </c>
      <c r="K192" s="53" t="n"/>
      <c r="L192" s="54">
        <f>IF(G192="","",IF(OR(K192="",K192&gt;TODAY()),"Nog betalen","Betaald"))</f>
        <v/>
      </c>
    </row>
    <row r="193">
      <c r="A193" s="53" t="n"/>
      <c r="B193" s="54">
        <f>IF(A193="","",YEAR(A193)&amp;" Q"&amp;ROUNDUP(MONTH(A193)/3,0))</f>
        <v/>
      </c>
      <c r="C193" s="55" t="n"/>
      <c r="D193" s="55" t="n"/>
      <c r="E193" s="55" t="n"/>
      <c r="F193" s="55" t="n"/>
      <c r="G193" s="56" t="n"/>
      <c r="H193" s="57" t="n"/>
      <c r="I193" s="58">
        <f>IF(G193="","",ROUND(G193*H193,2))</f>
        <v/>
      </c>
      <c r="J193" s="58">
        <f>IF(G193="","",G193+N(I193))</f>
        <v/>
      </c>
      <c r="K193" s="53" t="n"/>
      <c r="L193" s="54">
        <f>IF(G193="","",IF(OR(K193="",K193&gt;TODAY()),"Nog betalen","Betaald"))</f>
        <v/>
      </c>
    </row>
    <row r="194">
      <c r="A194" s="53" t="n"/>
      <c r="B194" s="54">
        <f>IF(A194="","",YEAR(A194)&amp;" Q"&amp;ROUNDUP(MONTH(A194)/3,0))</f>
        <v/>
      </c>
      <c r="C194" s="55" t="n"/>
      <c r="D194" s="55" t="n"/>
      <c r="E194" s="55" t="n"/>
      <c r="F194" s="55" t="n"/>
      <c r="G194" s="56" t="n"/>
      <c r="H194" s="57" t="n"/>
      <c r="I194" s="58">
        <f>IF(G194="","",ROUND(G194*H194,2))</f>
        <v/>
      </c>
      <c r="J194" s="58">
        <f>IF(G194="","",G194+N(I194))</f>
        <v/>
      </c>
      <c r="K194" s="53" t="n"/>
      <c r="L194" s="54">
        <f>IF(G194="","",IF(OR(K194="",K194&gt;TODAY()),"Nog betalen","Betaald"))</f>
        <v/>
      </c>
    </row>
    <row r="195">
      <c r="A195" s="53" t="n"/>
      <c r="B195" s="54">
        <f>IF(A195="","",YEAR(A195)&amp;" Q"&amp;ROUNDUP(MONTH(A195)/3,0))</f>
        <v/>
      </c>
      <c r="C195" s="55" t="n"/>
      <c r="D195" s="55" t="n"/>
      <c r="E195" s="55" t="n"/>
      <c r="F195" s="55" t="n"/>
      <c r="G195" s="56" t="n"/>
      <c r="H195" s="57" t="n"/>
      <c r="I195" s="58">
        <f>IF(G195="","",ROUND(G195*H195,2))</f>
        <v/>
      </c>
      <c r="J195" s="58">
        <f>IF(G195="","",G195+N(I195))</f>
        <v/>
      </c>
      <c r="K195" s="53" t="n"/>
      <c r="L195" s="54">
        <f>IF(G195="","",IF(OR(K195="",K195&gt;TODAY()),"Nog betalen","Betaald"))</f>
        <v/>
      </c>
    </row>
    <row r="196">
      <c r="A196" s="53" t="n"/>
      <c r="B196" s="54">
        <f>IF(A196="","",YEAR(A196)&amp;" Q"&amp;ROUNDUP(MONTH(A196)/3,0))</f>
        <v/>
      </c>
      <c r="C196" s="55" t="n"/>
      <c r="D196" s="55" t="n"/>
      <c r="E196" s="55" t="n"/>
      <c r="F196" s="55" t="n"/>
      <c r="G196" s="56" t="n"/>
      <c r="H196" s="57" t="n"/>
      <c r="I196" s="58">
        <f>IF(G196="","",ROUND(G196*H196,2))</f>
        <v/>
      </c>
      <c r="J196" s="58">
        <f>IF(G196="","",G196+N(I196))</f>
        <v/>
      </c>
      <c r="K196" s="53" t="n"/>
      <c r="L196" s="54">
        <f>IF(G196="","",IF(OR(K196="",K196&gt;TODAY()),"Nog betalen","Betaald"))</f>
        <v/>
      </c>
    </row>
    <row r="197">
      <c r="A197" s="53" t="n"/>
      <c r="B197" s="54">
        <f>IF(A197="","",YEAR(A197)&amp;" Q"&amp;ROUNDUP(MONTH(A197)/3,0))</f>
        <v/>
      </c>
      <c r="C197" s="55" t="n"/>
      <c r="D197" s="55" t="n"/>
      <c r="E197" s="55" t="n"/>
      <c r="F197" s="55" t="n"/>
      <c r="G197" s="56" t="n"/>
      <c r="H197" s="57" t="n"/>
      <c r="I197" s="58">
        <f>IF(G197="","",ROUND(G197*H197,2))</f>
        <v/>
      </c>
      <c r="J197" s="58">
        <f>IF(G197="","",G197+N(I197))</f>
        <v/>
      </c>
      <c r="K197" s="53" t="n"/>
      <c r="L197" s="54">
        <f>IF(G197="","",IF(OR(K197="",K197&gt;TODAY()),"Nog betalen","Betaald"))</f>
        <v/>
      </c>
    </row>
    <row r="198">
      <c r="A198" s="53" t="n"/>
      <c r="B198" s="54">
        <f>IF(A198="","",YEAR(A198)&amp;" Q"&amp;ROUNDUP(MONTH(A198)/3,0))</f>
        <v/>
      </c>
      <c r="C198" s="55" t="n"/>
      <c r="D198" s="55" t="n"/>
      <c r="E198" s="55" t="n"/>
      <c r="F198" s="55" t="n"/>
      <c r="G198" s="56" t="n"/>
      <c r="H198" s="57" t="n"/>
      <c r="I198" s="58">
        <f>IF(G198="","",ROUND(G198*H198,2))</f>
        <v/>
      </c>
      <c r="J198" s="58">
        <f>IF(G198="","",G198+N(I198))</f>
        <v/>
      </c>
      <c r="K198" s="53" t="n"/>
      <c r="L198" s="54">
        <f>IF(G198="","",IF(OR(K198="",K198&gt;TODAY()),"Nog betalen","Betaald"))</f>
        <v/>
      </c>
    </row>
    <row r="199">
      <c r="A199" s="53" t="n"/>
      <c r="B199" s="54">
        <f>IF(A199="","",YEAR(A199)&amp;" Q"&amp;ROUNDUP(MONTH(A199)/3,0))</f>
        <v/>
      </c>
      <c r="C199" s="55" t="n"/>
      <c r="D199" s="55" t="n"/>
      <c r="E199" s="55" t="n"/>
      <c r="F199" s="55" t="n"/>
      <c r="G199" s="56" t="n"/>
      <c r="H199" s="57" t="n"/>
      <c r="I199" s="58">
        <f>IF(G199="","",ROUND(G199*H199,2))</f>
        <v/>
      </c>
      <c r="J199" s="58">
        <f>IF(G199="","",G199+N(I199))</f>
        <v/>
      </c>
      <c r="K199" s="53" t="n"/>
      <c r="L199" s="54">
        <f>IF(G199="","",IF(OR(K199="",K199&gt;TODAY()),"Nog betalen","Betaald"))</f>
        <v/>
      </c>
    </row>
    <row r="200">
      <c r="A200" s="53" t="n"/>
      <c r="B200" s="54">
        <f>IF(A200="","",YEAR(A200)&amp;" Q"&amp;ROUNDUP(MONTH(A200)/3,0))</f>
        <v/>
      </c>
      <c r="C200" s="55" t="n"/>
      <c r="D200" s="55" t="n"/>
      <c r="E200" s="55" t="n"/>
      <c r="F200" s="55" t="n"/>
      <c r="G200" s="56" t="n"/>
      <c r="H200" s="57" t="n"/>
      <c r="I200" s="58">
        <f>IF(G200="","",ROUND(G200*H200,2))</f>
        <v/>
      </c>
      <c r="J200" s="58">
        <f>IF(G200="","",G200+N(I200))</f>
        <v/>
      </c>
      <c r="K200" s="53" t="n"/>
      <c r="L200" s="54">
        <f>IF(G200="","",IF(OR(K200="",K200&gt;TODAY()),"Nog betalen","Betaald"))</f>
        <v/>
      </c>
    </row>
    <row r="201">
      <c r="A201" s="53" t="n"/>
      <c r="B201" s="54">
        <f>IF(A201="","",YEAR(A201)&amp;" Q"&amp;ROUNDUP(MONTH(A201)/3,0))</f>
        <v/>
      </c>
      <c r="C201" s="55" t="n"/>
      <c r="D201" s="55" t="n"/>
      <c r="E201" s="55" t="n"/>
      <c r="F201" s="55" t="n"/>
      <c r="G201" s="56" t="n"/>
      <c r="H201" s="57" t="n"/>
      <c r="I201" s="58">
        <f>IF(G201="","",ROUND(G201*H201,2))</f>
        <v/>
      </c>
      <c r="J201" s="58">
        <f>IF(G201="","",G201+N(I201))</f>
        <v/>
      </c>
      <c r="K201" s="53" t="n"/>
      <c r="L201" s="54">
        <f>IF(G201="","",IF(OR(K201="",K201&gt;TODAY()),"Nog betalen","Betaald"))</f>
        <v/>
      </c>
    </row>
    <row r="202">
      <c r="A202" s="53" t="n"/>
      <c r="B202" s="54">
        <f>IF(A202="","",YEAR(A202)&amp;" Q"&amp;ROUNDUP(MONTH(A202)/3,0))</f>
        <v/>
      </c>
      <c r="C202" s="55" t="n"/>
      <c r="D202" s="55" t="n"/>
      <c r="E202" s="55" t="n"/>
      <c r="F202" s="55" t="n"/>
      <c r="G202" s="56" t="n"/>
      <c r="H202" s="57" t="n"/>
      <c r="I202" s="58">
        <f>IF(G202="","",ROUND(G202*H202,2))</f>
        <v/>
      </c>
      <c r="J202" s="58">
        <f>IF(G202="","",G202+N(I202))</f>
        <v/>
      </c>
      <c r="K202" s="53" t="n"/>
      <c r="L202" s="54">
        <f>IF(G202="","",IF(OR(K202="",K202&gt;TODAY()),"Nog betalen","Betaald"))</f>
        <v/>
      </c>
    </row>
    <row r="203">
      <c r="A203" s="53" t="n"/>
      <c r="B203" s="54">
        <f>IF(A203="","",YEAR(A203)&amp;" Q"&amp;ROUNDUP(MONTH(A203)/3,0))</f>
        <v/>
      </c>
      <c r="C203" s="55" t="n"/>
      <c r="D203" s="55" t="n"/>
      <c r="E203" s="55" t="n"/>
      <c r="F203" s="55" t="n"/>
      <c r="G203" s="56" t="n"/>
      <c r="H203" s="57" t="n"/>
      <c r="I203" s="58">
        <f>IF(G203="","",ROUND(G203*H203,2))</f>
        <v/>
      </c>
      <c r="J203" s="58">
        <f>IF(G203="","",G203+N(I203))</f>
        <v/>
      </c>
      <c r="K203" s="53" t="n"/>
      <c r="L203" s="54">
        <f>IF(G203="","",IF(OR(K203="",K203&gt;TODAY()),"Nog betalen","Betaald"))</f>
        <v/>
      </c>
    </row>
    <row r="204">
      <c r="A204" s="53" t="n"/>
      <c r="B204" s="54">
        <f>IF(A204="","",YEAR(A204)&amp;" Q"&amp;ROUNDUP(MONTH(A204)/3,0))</f>
        <v/>
      </c>
      <c r="C204" s="55" t="n"/>
      <c r="D204" s="55" t="n"/>
      <c r="E204" s="55" t="n"/>
      <c r="F204" s="55" t="n"/>
      <c r="G204" s="56" t="n"/>
      <c r="H204" s="57" t="n"/>
      <c r="I204" s="58">
        <f>IF(G204="","",ROUND(G204*H204,2))</f>
        <v/>
      </c>
      <c r="J204" s="58">
        <f>IF(G204="","",G204+N(I204))</f>
        <v/>
      </c>
      <c r="K204" s="53" t="n"/>
      <c r="L204" s="54">
        <f>IF(G204="","",IF(OR(K204="",K204&gt;TODAY()),"Nog betalen","Betaald"))</f>
        <v/>
      </c>
    </row>
    <row r="205">
      <c r="A205" s="53" t="n"/>
      <c r="B205" s="54">
        <f>IF(A205="","",YEAR(A205)&amp;" Q"&amp;ROUNDUP(MONTH(A205)/3,0))</f>
        <v/>
      </c>
      <c r="C205" s="55" t="n"/>
      <c r="D205" s="55" t="n"/>
      <c r="E205" s="55" t="n"/>
      <c r="F205" s="55" t="n"/>
      <c r="G205" s="56" t="n"/>
      <c r="H205" s="57" t="n"/>
      <c r="I205" s="58">
        <f>IF(G205="","",ROUND(G205*H205,2))</f>
        <v/>
      </c>
      <c r="J205" s="58">
        <f>IF(G205="","",G205+N(I205))</f>
        <v/>
      </c>
      <c r="K205" s="53" t="n"/>
      <c r="L205" s="54">
        <f>IF(G205="","",IF(OR(K205="",K205&gt;TODAY()),"Nog betalen","Betaald"))</f>
        <v/>
      </c>
    </row>
    <row r="206">
      <c r="A206" s="53" t="n"/>
      <c r="B206" s="54">
        <f>IF(A206="","",YEAR(A206)&amp;" Q"&amp;ROUNDUP(MONTH(A206)/3,0))</f>
        <v/>
      </c>
      <c r="C206" s="55" t="n"/>
      <c r="D206" s="55" t="n"/>
      <c r="E206" s="55" t="n"/>
      <c r="F206" s="55" t="n"/>
      <c r="G206" s="56" t="n"/>
      <c r="H206" s="57" t="n"/>
      <c r="I206" s="58">
        <f>IF(G206="","",ROUND(G206*H206,2))</f>
        <v/>
      </c>
      <c r="J206" s="58">
        <f>IF(G206="","",G206+N(I206))</f>
        <v/>
      </c>
      <c r="K206" s="53" t="n"/>
      <c r="L206" s="54">
        <f>IF(G206="","",IF(OR(K206="",K206&gt;TODAY()),"Nog betalen","Betaald"))</f>
        <v/>
      </c>
    </row>
    <row r="207">
      <c r="A207" s="53" t="n"/>
      <c r="B207" s="54">
        <f>IF(A207="","",YEAR(A207)&amp;" Q"&amp;ROUNDUP(MONTH(A207)/3,0))</f>
        <v/>
      </c>
      <c r="C207" s="55" t="n"/>
      <c r="D207" s="55" t="n"/>
      <c r="E207" s="55" t="n"/>
      <c r="F207" s="55" t="n"/>
      <c r="G207" s="56" t="n"/>
      <c r="H207" s="57" t="n"/>
      <c r="I207" s="58">
        <f>IF(G207="","",ROUND(G207*H207,2))</f>
        <v/>
      </c>
      <c r="J207" s="58">
        <f>IF(G207="","",G207+N(I207))</f>
        <v/>
      </c>
      <c r="K207" s="53" t="n"/>
      <c r="L207" s="54">
        <f>IF(G207="","",IF(OR(K207="",K207&gt;TODAY()),"Nog betalen","Betaald"))</f>
        <v/>
      </c>
    </row>
    <row r="208">
      <c r="A208" s="53" t="n"/>
      <c r="B208" s="54">
        <f>IF(A208="","",YEAR(A208)&amp;" Q"&amp;ROUNDUP(MONTH(A208)/3,0))</f>
        <v/>
      </c>
      <c r="C208" s="55" t="n"/>
      <c r="D208" s="55" t="n"/>
      <c r="E208" s="55" t="n"/>
      <c r="F208" s="55" t="n"/>
      <c r="G208" s="56" t="n"/>
      <c r="H208" s="57" t="n"/>
      <c r="I208" s="58">
        <f>IF(G208="","",ROUND(G208*H208,2))</f>
        <v/>
      </c>
      <c r="J208" s="58">
        <f>IF(G208="","",G208+N(I208))</f>
        <v/>
      </c>
      <c r="K208" s="53" t="n"/>
      <c r="L208" s="54">
        <f>IF(G208="","",IF(OR(K208="",K208&gt;TODAY()),"Nog betalen","Betaald"))</f>
        <v/>
      </c>
    </row>
    <row r="209">
      <c r="A209" s="53" t="n"/>
      <c r="B209" s="54">
        <f>IF(A209="","",YEAR(A209)&amp;" Q"&amp;ROUNDUP(MONTH(A209)/3,0))</f>
        <v/>
      </c>
      <c r="C209" s="55" t="n"/>
      <c r="D209" s="55" t="n"/>
      <c r="E209" s="55" t="n"/>
      <c r="F209" s="55" t="n"/>
      <c r="G209" s="56" t="n"/>
      <c r="H209" s="57" t="n"/>
      <c r="I209" s="58">
        <f>IF(G209="","",ROUND(G209*H209,2))</f>
        <v/>
      </c>
      <c r="J209" s="58">
        <f>IF(G209="","",G209+N(I209))</f>
        <v/>
      </c>
      <c r="K209" s="53" t="n"/>
      <c r="L209" s="54">
        <f>IF(G209="","",IF(OR(K209="",K209&gt;TODAY()),"Nog betalen","Betaald"))</f>
        <v/>
      </c>
    </row>
    <row r="210">
      <c r="A210" s="53" t="n"/>
      <c r="B210" s="54">
        <f>IF(A210="","",YEAR(A210)&amp;" Q"&amp;ROUNDUP(MONTH(A210)/3,0))</f>
        <v/>
      </c>
      <c r="C210" s="55" t="n"/>
      <c r="D210" s="55" t="n"/>
      <c r="E210" s="55" t="n"/>
      <c r="F210" s="55" t="n"/>
      <c r="G210" s="56" t="n"/>
      <c r="H210" s="57" t="n"/>
      <c r="I210" s="58">
        <f>IF(G210="","",ROUND(G210*H210,2))</f>
        <v/>
      </c>
      <c r="J210" s="58">
        <f>IF(G210="","",G210+N(I210))</f>
        <v/>
      </c>
      <c r="K210" s="53" t="n"/>
      <c r="L210" s="54">
        <f>IF(G210="","",IF(OR(K210="",K210&gt;TODAY()),"Nog betalen","Betaald"))</f>
        <v/>
      </c>
    </row>
    <row r="211">
      <c r="A211" s="53" t="n"/>
      <c r="B211" s="54">
        <f>IF(A211="","",YEAR(A211)&amp;" Q"&amp;ROUNDUP(MONTH(A211)/3,0))</f>
        <v/>
      </c>
      <c r="C211" s="55" t="n"/>
      <c r="D211" s="55" t="n"/>
      <c r="E211" s="55" t="n"/>
      <c r="F211" s="55" t="n"/>
      <c r="G211" s="56" t="n"/>
      <c r="H211" s="57" t="n"/>
      <c r="I211" s="58">
        <f>IF(G211="","",ROUND(G211*H211,2))</f>
        <v/>
      </c>
      <c r="J211" s="58">
        <f>IF(G211="","",G211+N(I211))</f>
        <v/>
      </c>
      <c r="K211" s="53" t="n"/>
      <c r="L211" s="54">
        <f>IF(G211="","",IF(OR(K211="",K211&gt;TODAY()),"Nog betalen","Betaald"))</f>
        <v/>
      </c>
    </row>
    <row r="212">
      <c r="A212" s="53" t="n"/>
      <c r="B212" s="54">
        <f>IF(A212="","",YEAR(A212)&amp;" Q"&amp;ROUNDUP(MONTH(A212)/3,0))</f>
        <v/>
      </c>
      <c r="C212" s="55" t="n"/>
      <c r="D212" s="55" t="n"/>
      <c r="E212" s="55" t="n"/>
      <c r="F212" s="55" t="n"/>
      <c r="G212" s="56" t="n"/>
      <c r="H212" s="57" t="n"/>
      <c r="I212" s="58">
        <f>IF(G212="","",ROUND(G212*H212,2))</f>
        <v/>
      </c>
      <c r="J212" s="58">
        <f>IF(G212="","",G212+N(I212))</f>
        <v/>
      </c>
      <c r="K212" s="53" t="n"/>
      <c r="L212" s="54">
        <f>IF(G212="","",IF(OR(K212="",K212&gt;TODAY()),"Nog betalen","Betaald"))</f>
        <v/>
      </c>
    </row>
    <row r="213">
      <c r="A213" s="53" t="n"/>
      <c r="B213" s="54">
        <f>IF(A213="","",YEAR(A213)&amp;" Q"&amp;ROUNDUP(MONTH(A213)/3,0))</f>
        <v/>
      </c>
      <c r="C213" s="55" t="n"/>
      <c r="D213" s="55" t="n"/>
      <c r="E213" s="55" t="n"/>
      <c r="F213" s="55" t="n"/>
      <c r="G213" s="56" t="n"/>
      <c r="H213" s="57" t="n"/>
      <c r="I213" s="58">
        <f>IF(G213="","",ROUND(G213*H213,2))</f>
        <v/>
      </c>
      <c r="J213" s="58">
        <f>IF(G213="","",G213+N(I213))</f>
        <v/>
      </c>
      <c r="K213" s="53" t="n"/>
      <c r="L213" s="54">
        <f>IF(G213="","",IF(OR(K213="",K213&gt;TODAY()),"Nog betalen","Betaald"))</f>
        <v/>
      </c>
    </row>
    <row r="214">
      <c r="A214" s="53" t="n"/>
      <c r="B214" s="54">
        <f>IF(A214="","",YEAR(A214)&amp;" Q"&amp;ROUNDUP(MONTH(A214)/3,0))</f>
        <v/>
      </c>
      <c r="C214" s="55" t="n"/>
      <c r="D214" s="55" t="n"/>
      <c r="E214" s="55" t="n"/>
      <c r="F214" s="55" t="n"/>
      <c r="G214" s="56" t="n"/>
      <c r="H214" s="57" t="n"/>
      <c r="I214" s="58">
        <f>IF(G214="","",ROUND(G214*H214,2))</f>
        <v/>
      </c>
      <c r="J214" s="58">
        <f>IF(G214="","",G214+N(I214))</f>
        <v/>
      </c>
      <c r="K214" s="53" t="n"/>
      <c r="L214" s="54">
        <f>IF(G214="","",IF(OR(K214="",K214&gt;TODAY()),"Nog betalen","Betaald"))</f>
        <v/>
      </c>
    </row>
    <row r="215">
      <c r="A215" s="53" t="n"/>
      <c r="B215" s="54">
        <f>IF(A215="","",YEAR(A215)&amp;" Q"&amp;ROUNDUP(MONTH(A215)/3,0))</f>
        <v/>
      </c>
      <c r="C215" s="55" t="n"/>
      <c r="D215" s="55" t="n"/>
      <c r="E215" s="55" t="n"/>
      <c r="F215" s="55" t="n"/>
      <c r="G215" s="56" t="n"/>
      <c r="H215" s="57" t="n"/>
      <c r="I215" s="58">
        <f>IF(G215="","",ROUND(G215*H215,2))</f>
        <v/>
      </c>
      <c r="J215" s="58">
        <f>IF(G215="","",G215+N(I215))</f>
        <v/>
      </c>
      <c r="K215" s="53" t="n"/>
      <c r="L215" s="54">
        <f>IF(G215="","",IF(OR(K215="",K215&gt;TODAY()),"Nog betalen","Betaald"))</f>
        <v/>
      </c>
    </row>
    <row r="216">
      <c r="A216" s="53" t="n"/>
      <c r="B216" s="54">
        <f>IF(A216="","",YEAR(A216)&amp;" Q"&amp;ROUNDUP(MONTH(A216)/3,0))</f>
        <v/>
      </c>
      <c r="C216" s="55" t="n"/>
      <c r="D216" s="55" t="n"/>
      <c r="E216" s="55" t="n"/>
      <c r="F216" s="55" t="n"/>
      <c r="G216" s="56" t="n"/>
      <c r="H216" s="57" t="n"/>
      <c r="I216" s="58">
        <f>IF(G216="","",ROUND(G216*H216,2))</f>
        <v/>
      </c>
      <c r="J216" s="58">
        <f>IF(G216="","",G216+N(I216))</f>
        <v/>
      </c>
      <c r="K216" s="53" t="n"/>
      <c r="L216" s="54">
        <f>IF(G216="","",IF(OR(K216="",K216&gt;TODAY()),"Nog betalen","Betaald"))</f>
        <v/>
      </c>
    </row>
    <row r="217">
      <c r="A217" s="53" t="n"/>
      <c r="B217" s="54">
        <f>IF(A217="","",YEAR(A217)&amp;" Q"&amp;ROUNDUP(MONTH(A217)/3,0))</f>
        <v/>
      </c>
      <c r="C217" s="55" t="n"/>
      <c r="D217" s="55" t="n"/>
      <c r="E217" s="55" t="n"/>
      <c r="F217" s="55" t="n"/>
      <c r="G217" s="56" t="n"/>
      <c r="H217" s="57" t="n"/>
      <c r="I217" s="58">
        <f>IF(G217="","",ROUND(G217*H217,2))</f>
        <v/>
      </c>
      <c r="J217" s="58">
        <f>IF(G217="","",G217+N(I217))</f>
        <v/>
      </c>
      <c r="K217" s="53" t="n"/>
      <c r="L217" s="54">
        <f>IF(G217="","",IF(OR(K217="",K217&gt;TODAY()),"Nog betalen","Betaald"))</f>
        <v/>
      </c>
    </row>
    <row r="218">
      <c r="A218" s="53" t="n"/>
      <c r="B218" s="54">
        <f>IF(A218="","",YEAR(A218)&amp;" Q"&amp;ROUNDUP(MONTH(A218)/3,0))</f>
        <v/>
      </c>
      <c r="C218" s="55" t="n"/>
      <c r="D218" s="55" t="n"/>
      <c r="E218" s="55" t="n"/>
      <c r="F218" s="55" t="n"/>
      <c r="G218" s="56" t="n"/>
      <c r="H218" s="57" t="n"/>
      <c r="I218" s="58">
        <f>IF(G218="","",ROUND(G218*H218,2))</f>
        <v/>
      </c>
      <c r="J218" s="58">
        <f>IF(G218="","",G218+N(I218))</f>
        <v/>
      </c>
      <c r="K218" s="53" t="n"/>
      <c r="L218" s="54">
        <f>IF(G218="","",IF(OR(K218="",K218&gt;TODAY()),"Nog betalen","Betaald"))</f>
        <v/>
      </c>
    </row>
    <row r="219">
      <c r="A219" s="53" t="n"/>
      <c r="B219" s="54">
        <f>IF(A219="","",YEAR(A219)&amp;" Q"&amp;ROUNDUP(MONTH(A219)/3,0))</f>
        <v/>
      </c>
      <c r="C219" s="55" t="n"/>
      <c r="D219" s="55" t="n"/>
      <c r="E219" s="55" t="n"/>
      <c r="F219" s="55" t="n"/>
      <c r="G219" s="56" t="n"/>
      <c r="H219" s="57" t="n"/>
      <c r="I219" s="58">
        <f>IF(G219="","",ROUND(G219*H219,2))</f>
        <v/>
      </c>
      <c r="J219" s="58">
        <f>IF(G219="","",G219+N(I219))</f>
        <v/>
      </c>
      <c r="K219" s="53" t="n"/>
      <c r="L219" s="54">
        <f>IF(G219="","",IF(OR(K219="",K219&gt;TODAY()),"Nog betalen","Betaald"))</f>
        <v/>
      </c>
    </row>
    <row r="220">
      <c r="A220" s="53" t="n"/>
      <c r="B220" s="54">
        <f>IF(A220="","",YEAR(A220)&amp;" Q"&amp;ROUNDUP(MONTH(A220)/3,0))</f>
        <v/>
      </c>
      <c r="C220" s="55" t="n"/>
      <c r="D220" s="55" t="n"/>
      <c r="E220" s="55" t="n"/>
      <c r="F220" s="55" t="n"/>
      <c r="G220" s="56" t="n"/>
      <c r="H220" s="57" t="n"/>
      <c r="I220" s="58">
        <f>IF(G220="","",ROUND(G220*H220,2))</f>
        <v/>
      </c>
      <c r="J220" s="58">
        <f>IF(G220="","",G220+N(I220))</f>
        <v/>
      </c>
      <c r="K220" s="53" t="n"/>
      <c r="L220" s="54">
        <f>IF(G220="","",IF(OR(K220="",K220&gt;TODAY()),"Nog betalen","Betaald"))</f>
        <v/>
      </c>
    </row>
    <row r="221">
      <c r="A221" s="53" t="n"/>
      <c r="B221" s="54">
        <f>IF(A221="","",YEAR(A221)&amp;" Q"&amp;ROUNDUP(MONTH(A221)/3,0))</f>
        <v/>
      </c>
      <c r="C221" s="55" t="n"/>
      <c r="D221" s="55" t="n"/>
      <c r="E221" s="55" t="n"/>
      <c r="F221" s="55" t="n"/>
      <c r="G221" s="56" t="n"/>
      <c r="H221" s="57" t="n"/>
      <c r="I221" s="58">
        <f>IF(G221="","",ROUND(G221*H221,2))</f>
        <v/>
      </c>
      <c r="J221" s="58">
        <f>IF(G221="","",G221+N(I221))</f>
        <v/>
      </c>
      <c r="K221" s="53" t="n"/>
      <c r="L221" s="54">
        <f>IF(G221="","",IF(OR(K221="",K221&gt;TODAY()),"Nog betalen","Betaald"))</f>
        <v/>
      </c>
    </row>
    <row r="222">
      <c r="A222" s="53" t="n"/>
      <c r="B222" s="54">
        <f>IF(A222="","",YEAR(A222)&amp;" Q"&amp;ROUNDUP(MONTH(A222)/3,0))</f>
        <v/>
      </c>
      <c r="C222" s="55" t="n"/>
      <c r="D222" s="55" t="n"/>
      <c r="E222" s="55" t="n"/>
      <c r="F222" s="55" t="n"/>
      <c r="G222" s="56" t="n"/>
      <c r="H222" s="57" t="n"/>
      <c r="I222" s="58">
        <f>IF(G222="","",ROUND(G222*H222,2))</f>
        <v/>
      </c>
      <c r="J222" s="58">
        <f>IF(G222="","",G222+N(I222))</f>
        <v/>
      </c>
      <c r="K222" s="53" t="n"/>
      <c r="L222" s="54">
        <f>IF(G222="","",IF(OR(K222="",K222&gt;TODAY()),"Nog betalen","Betaald"))</f>
        <v/>
      </c>
    </row>
    <row r="223">
      <c r="A223" s="53" t="n"/>
      <c r="B223" s="54">
        <f>IF(A223="","",YEAR(A223)&amp;" Q"&amp;ROUNDUP(MONTH(A223)/3,0))</f>
        <v/>
      </c>
      <c r="C223" s="55" t="n"/>
      <c r="D223" s="55" t="n"/>
      <c r="E223" s="55" t="n"/>
      <c r="F223" s="55" t="n"/>
      <c r="G223" s="56" t="n"/>
      <c r="H223" s="57" t="n"/>
      <c r="I223" s="58">
        <f>IF(G223="","",ROUND(G223*H223,2))</f>
        <v/>
      </c>
      <c r="J223" s="58">
        <f>IF(G223="","",G223+N(I223))</f>
        <v/>
      </c>
      <c r="K223" s="53" t="n"/>
      <c r="L223" s="54">
        <f>IF(G223="","",IF(OR(K223="",K223&gt;TODAY()),"Nog betalen","Betaald"))</f>
        <v/>
      </c>
    </row>
    <row r="224">
      <c r="A224" s="53" t="n"/>
      <c r="B224" s="54">
        <f>IF(A224="","",YEAR(A224)&amp;" Q"&amp;ROUNDUP(MONTH(A224)/3,0))</f>
        <v/>
      </c>
      <c r="C224" s="55" t="n"/>
      <c r="D224" s="55" t="n"/>
      <c r="E224" s="55" t="n"/>
      <c r="F224" s="55" t="n"/>
      <c r="G224" s="56" t="n"/>
      <c r="H224" s="57" t="n"/>
      <c r="I224" s="58">
        <f>IF(G224="","",ROUND(G224*H224,2))</f>
        <v/>
      </c>
      <c r="J224" s="58">
        <f>IF(G224="","",G224+N(I224))</f>
        <v/>
      </c>
      <c r="K224" s="53" t="n"/>
      <c r="L224" s="54">
        <f>IF(G224="","",IF(OR(K224="",K224&gt;TODAY()),"Nog betalen","Betaald"))</f>
        <v/>
      </c>
    </row>
    <row r="225">
      <c r="A225" s="53" t="n"/>
      <c r="B225" s="54">
        <f>IF(A225="","",YEAR(A225)&amp;" Q"&amp;ROUNDUP(MONTH(A225)/3,0))</f>
        <v/>
      </c>
      <c r="C225" s="55" t="n"/>
      <c r="D225" s="55" t="n"/>
      <c r="E225" s="55" t="n"/>
      <c r="F225" s="55" t="n"/>
      <c r="G225" s="56" t="n"/>
      <c r="H225" s="57" t="n"/>
      <c r="I225" s="58">
        <f>IF(G225="","",ROUND(G225*H225,2))</f>
        <v/>
      </c>
      <c r="J225" s="58">
        <f>IF(G225="","",G225+N(I225))</f>
        <v/>
      </c>
      <c r="K225" s="53" t="n"/>
      <c r="L225" s="54">
        <f>IF(G225="","",IF(OR(K225="",K225&gt;TODAY()),"Nog betalen","Betaald"))</f>
        <v/>
      </c>
    </row>
    <row r="226">
      <c r="A226" s="53" t="n"/>
      <c r="B226" s="54">
        <f>IF(A226="","",YEAR(A226)&amp;" Q"&amp;ROUNDUP(MONTH(A226)/3,0))</f>
        <v/>
      </c>
      <c r="C226" s="55" t="n"/>
      <c r="D226" s="55" t="n"/>
      <c r="E226" s="55" t="n"/>
      <c r="F226" s="55" t="n"/>
      <c r="G226" s="56" t="n"/>
      <c r="H226" s="57" t="n"/>
      <c r="I226" s="58">
        <f>IF(G226="","",ROUND(G226*H226,2))</f>
        <v/>
      </c>
      <c r="J226" s="58">
        <f>IF(G226="","",G226+N(I226))</f>
        <v/>
      </c>
      <c r="K226" s="53" t="n"/>
      <c r="L226" s="54">
        <f>IF(G226="","",IF(OR(K226="",K226&gt;TODAY()),"Nog betalen","Betaald"))</f>
        <v/>
      </c>
    </row>
    <row r="227">
      <c r="A227" s="53" t="n"/>
      <c r="B227" s="54">
        <f>IF(A227="","",YEAR(A227)&amp;" Q"&amp;ROUNDUP(MONTH(A227)/3,0))</f>
        <v/>
      </c>
      <c r="C227" s="55" t="n"/>
      <c r="D227" s="55" t="n"/>
      <c r="E227" s="55" t="n"/>
      <c r="F227" s="55" t="n"/>
      <c r="G227" s="56" t="n"/>
      <c r="H227" s="57" t="n"/>
      <c r="I227" s="58">
        <f>IF(G227="","",ROUND(G227*H227,2))</f>
        <v/>
      </c>
      <c r="J227" s="58">
        <f>IF(G227="","",G227+N(I227))</f>
        <v/>
      </c>
      <c r="K227" s="53" t="n"/>
      <c r="L227" s="54">
        <f>IF(G227="","",IF(OR(K227="",K227&gt;TODAY()),"Nog betalen","Betaald"))</f>
        <v/>
      </c>
    </row>
    <row r="228">
      <c r="A228" s="53" t="n"/>
      <c r="B228" s="54">
        <f>IF(A228="","",YEAR(A228)&amp;" Q"&amp;ROUNDUP(MONTH(A228)/3,0))</f>
        <v/>
      </c>
      <c r="C228" s="55" t="n"/>
      <c r="D228" s="55" t="n"/>
      <c r="E228" s="55" t="n"/>
      <c r="F228" s="55" t="n"/>
      <c r="G228" s="56" t="n"/>
      <c r="H228" s="57" t="n"/>
      <c r="I228" s="58">
        <f>IF(G228="","",ROUND(G228*H228,2))</f>
        <v/>
      </c>
      <c r="J228" s="58">
        <f>IF(G228="","",G228+N(I228))</f>
        <v/>
      </c>
      <c r="K228" s="53" t="n"/>
      <c r="L228" s="54">
        <f>IF(G228="","",IF(OR(K228="",K228&gt;TODAY()),"Nog betalen","Betaald"))</f>
        <v/>
      </c>
    </row>
    <row r="229">
      <c r="A229" s="53" t="n"/>
      <c r="B229" s="54">
        <f>IF(A229="","",YEAR(A229)&amp;" Q"&amp;ROUNDUP(MONTH(A229)/3,0))</f>
        <v/>
      </c>
      <c r="C229" s="55" t="n"/>
      <c r="D229" s="55" t="n"/>
      <c r="E229" s="55" t="n"/>
      <c r="F229" s="55" t="n"/>
      <c r="G229" s="56" t="n"/>
      <c r="H229" s="57" t="n"/>
      <c r="I229" s="58">
        <f>IF(G229="","",ROUND(G229*H229,2))</f>
        <v/>
      </c>
      <c r="J229" s="58">
        <f>IF(G229="","",G229+N(I229))</f>
        <v/>
      </c>
      <c r="K229" s="53" t="n"/>
      <c r="L229" s="54">
        <f>IF(G229="","",IF(OR(K229="",K229&gt;TODAY()),"Nog betalen","Betaald"))</f>
        <v/>
      </c>
    </row>
    <row r="230">
      <c r="A230" s="53" t="n"/>
      <c r="B230" s="54">
        <f>IF(A230="","",YEAR(A230)&amp;" Q"&amp;ROUNDUP(MONTH(A230)/3,0))</f>
        <v/>
      </c>
      <c r="C230" s="55" t="n"/>
      <c r="D230" s="55" t="n"/>
      <c r="E230" s="55" t="n"/>
      <c r="F230" s="55" t="n"/>
      <c r="G230" s="56" t="n"/>
      <c r="H230" s="57" t="n"/>
      <c r="I230" s="58">
        <f>IF(G230="","",ROUND(G230*H230,2))</f>
        <v/>
      </c>
      <c r="J230" s="58">
        <f>IF(G230="","",G230+N(I230))</f>
        <v/>
      </c>
      <c r="K230" s="53" t="n"/>
      <c r="L230" s="54">
        <f>IF(G230="","",IF(OR(K230="",K230&gt;TODAY()),"Nog betalen","Betaald"))</f>
        <v/>
      </c>
    </row>
    <row r="231">
      <c r="A231" s="53" t="n"/>
      <c r="B231" s="54">
        <f>IF(A231="","",YEAR(A231)&amp;" Q"&amp;ROUNDUP(MONTH(A231)/3,0))</f>
        <v/>
      </c>
      <c r="C231" s="55" t="n"/>
      <c r="D231" s="55" t="n"/>
      <c r="E231" s="55" t="n"/>
      <c r="F231" s="55" t="n"/>
      <c r="G231" s="56" t="n"/>
      <c r="H231" s="57" t="n"/>
      <c r="I231" s="58">
        <f>IF(G231="","",ROUND(G231*H231,2))</f>
        <v/>
      </c>
      <c r="J231" s="58">
        <f>IF(G231="","",G231+N(I231))</f>
        <v/>
      </c>
      <c r="K231" s="53" t="n"/>
      <c r="L231" s="54">
        <f>IF(G231="","",IF(OR(K231="",K231&gt;TODAY()),"Nog betalen","Betaald"))</f>
        <v/>
      </c>
    </row>
    <row r="232">
      <c r="A232" s="53" t="n"/>
      <c r="B232" s="54">
        <f>IF(A232="","",YEAR(A232)&amp;" Q"&amp;ROUNDUP(MONTH(A232)/3,0))</f>
        <v/>
      </c>
      <c r="C232" s="55" t="n"/>
      <c r="D232" s="55" t="n"/>
      <c r="E232" s="55" t="n"/>
      <c r="F232" s="55" t="n"/>
      <c r="G232" s="56" t="n"/>
      <c r="H232" s="57" t="n"/>
      <c r="I232" s="58">
        <f>IF(G232="","",ROUND(G232*H232,2))</f>
        <v/>
      </c>
      <c r="J232" s="58">
        <f>IF(G232="","",G232+N(I232))</f>
        <v/>
      </c>
      <c r="K232" s="53" t="n"/>
      <c r="L232" s="54">
        <f>IF(G232="","",IF(OR(K232="",K232&gt;TODAY()),"Nog betalen","Betaald"))</f>
        <v/>
      </c>
    </row>
    <row r="233">
      <c r="A233" s="53" t="n"/>
      <c r="B233" s="54">
        <f>IF(A233="","",YEAR(A233)&amp;" Q"&amp;ROUNDUP(MONTH(A233)/3,0))</f>
        <v/>
      </c>
      <c r="C233" s="55" t="n"/>
      <c r="D233" s="55" t="n"/>
      <c r="E233" s="55" t="n"/>
      <c r="F233" s="55" t="n"/>
      <c r="G233" s="56" t="n"/>
      <c r="H233" s="57" t="n"/>
      <c r="I233" s="58">
        <f>IF(G233="","",ROUND(G233*H233,2))</f>
        <v/>
      </c>
      <c r="J233" s="58">
        <f>IF(G233="","",G233+N(I233))</f>
        <v/>
      </c>
      <c r="K233" s="53" t="n"/>
      <c r="L233" s="54">
        <f>IF(G233="","",IF(OR(K233="",K233&gt;TODAY()),"Nog betalen","Betaald"))</f>
        <v/>
      </c>
    </row>
    <row r="234">
      <c r="A234" s="53" t="n"/>
      <c r="B234" s="54">
        <f>IF(A234="","",YEAR(A234)&amp;" Q"&amp;ROUNDUP(MONTH(A234)/3,0))</f>
        <v/>
      </c>
      <c r="C234" s="55" t="n"/>
      <c r="D234" s="55" t="n"/>
      <c r="E234" s="55" t="n"/>
      <c r="F234" s="55" t="n"/>
      <c r="G234" s="56" t="n"/>
      <c r="H234" s="57" t="n"/>
      <c r="I234" s="58">
        <f>IF(G234="","",ROUND(G234*H234,2))</f>
        <v/>
      </c>
      <c r="J234" s="58">
        <f>IF(G234="","",G234+N(I234))</f>
        <v/>
      </c>
      <c r="K234" s="53" t="n"/>
      <c r="L234" s="54">
        <f>IF(G234="","",IF(OR(K234="",K234&gt;TODAY()),"Nog betalen","Betaald"))</f>
        <v/>
      </c>
    </row>
    <row r="235">
      <c r="A235" s="53" t="n"/>
      <c r="B235" s="54">
        <f>IF(A235="","",YEAR(A235)&amp;" Q"&amp;ROUNDUP(MONTH(A235)/3,0))</f>
        <v/>
      </c>
      <c r="C235" s="55" t="n"/>
      <c r="D235" s="55" t="n"/>
      <c r="E235" s="55" t="n"/>
      <c r="F235" s="55" t="n"/>
      <c r="G235" s="56" t="n"/>
      <c r="H235" s="57" t="n"/>
      <c r="I235" s="58">
        <f>IF(G235="","",ROUND(G235*H235,2))</f>
        <v/>
      </c>
      <c r="J235" s="58">
        <f>IF(G235="","",G235+N(I235))</f>
        <v/>
      </c>
      <c r="K235" s="53" t="n"/>
      <c r="L235" s="54">
        <f>IF(G235="","",IF(OR(K235="",K235&gt;TODAY()),"Nog betalen","Betaald"))</f>
        <v/>
      </c>
    </row>
    <row r="236">
      <c r="A236" s="53" t="n"/>
      <c r="B236" s="54">
        <f>IF(A236="","",YEAR(A236)&amp;" Q"&amp;ROUNDUP(MONTH(A236)/3,0))</f>
        <v/>
      </c>
      <c r="C236" s="55" t="n"/>
      <c r="D236" s="55" t="n"/>
      <c r="E236" s="55" t="n"/>
      <c r="F236" s="55" t="n"/>
      <c r="G236" s="56" t="n"/>
      <c r="H236" s="57" t="n"/>
      <c r="I236" s="58">
        <f>IF(G236="","",ROUND(G236*H236,2))</f>
        <v/>
      </c>
      <c r="J236" s="58">
        <f>IF(G236="","",G236+N(I236))</f>
        <v/>
      </c>
      <c r="K236" s="53" t="n"/>
      <c r="L236" s="54">
        <f>IF(G236="","",IF(OR(K236="",K236&gt;TODAY()),"Nog betalen","Betaald"))</f>
        <v/>
      </c>
    </row>
    <row r="237">
      <c r="A237" s="53" t="n"/>
      <c r="B237" s="54">
        <f>IF(A237="","",YEAR(A237)&amp;" Q"&amp;ROUNDUP(MONTH(A237)/3,0))</f>
        <v/>
      </c>
      <c r="C237" s="55" t="n"/>
      <c r="D237" s="55" t="n"/>
      <c r="E237" s="55" t="n"/>
      <c r="F237" s="55" t="n"/>
      <c r="G237" s="56" t="n"/>
      <c r="H237" s="57" t="n"/>
      <c r="I237" s="58">
        <f>IF(G237="","",ROUND(G237*H237,2))</f>
        <v/>
      </c>
      <c r="J237" s="58">
        <f>IF(G237="","",G237+N(I237))</f>
        <v/>
      </c>
      <c r="K237" s="53" t="n"/>
      <c r="L237" s="54">
        <f>IF(G237="","",IF(OR(K237="",K237&gt;TODAY()),"Nog betalen","Betaald"))</f>
        <v/>
      </c>
    </row>
    <row r="238">
      <c r="A238" s="53" t="n"/>
      <c r="B238" s="54">
        <f>IF(A238="","",YEAR(A238)&amp;" Q"&amp;ROUNDUP(MONTH(A238)/3,0))</f>
        <v/>
      </c>
      <c r="C238" s="55" t="n"/>
      <c r="D238" s="55" t="n"/>
      <c r="E238" s="55" t="n"/>
      <c r="F238" s="55" t="n"/>
      <c r="G238" s="56" t="n"/>
      <c r="H238" s="57" t="n"/>
      <c r="I238" s="58">
        <f>IF(G238="","",ROUND(G238*H238,2))</f>
        <v/>
      </c>
      <c r="J238" s="58">
        <f>IF(G238="","",G238+N(I238))</f>
        <v/>
      </c>
      <c r="K238" s="53" t="n"/>
      <c r="L238" s="54">
        <f>IF(G238="","",IF(OR(K238="",K238&gt;TODAY()),"Nog betalen","Betaald"))</f>
        <v/>
      </c>
    </row>
    <row r="239">
      <c r="A239" s="53" t="n"/>
      <c r="B239" s="54">
        <f>IF(A239="","",YEAR(A239)&amp;" Q"&amp;ROUNDUP(MONTH(A239)/3,0))</f>
        <v/>
      </c>
      <c r="C239" s="55" t="n"/>
      <c r="D239" s="55" t="n"/>
      <c r="E239" s="55" t="n"/>
      <c r="F239" s="55" t="n"/>
      <c r="G239" s="56" t="n"/>
      <c r="H239" s="57" t="n"/>
      <c r="I239" s="58">
        <f>IF(G239="","",ROUND(G239*H239,2))</f>
        <v/>
      </c>
      <c r="J239" s="58">
        <f>IF(G239="","",G239+N(I239))</f>
        <v/>
      </c>
      <c r="K239" s="53" t="n"/>
      <c r="L239" s="54">
        <f>IF(G239="","",IF(OR(K239="",K239&gt;TODAY()),"Nog betalen","Betaald"))</f>
        <v/>
      </c>
    </row>
    <row r="240">
      <c r="A240" s="53" t="n"/>
      <c r="B240" s="54">
        <f>IF(A240="","",YEAR(A240)&amp;" Q"&amp;ROUNDUP(MONTH(A240)/3,0))</f>
        <v/>
      </c>
      <c r="C240" s="55" t="n"/>
      <c r="D240" s="55" t="n"/>
      <c r="E240" s="55" t="n"/>
      <c r="F240" s="55" t="n"/>
      <c r="G240" s="56" t="n"/>
      <c r="H240" s="57" t="n"/>
      <c r="I240" s="58">
        <f>IF(G240="","",ROUND(G240*H240,2))</f>
        <v/>
      </c>
      <c r="J240" s="58">
        <f>IF(G240="","",G240+N(I240))</f>
        <v/>
      </c>
      <c r="K240" s="53" t="n"/>
      <c r="L240" s="54">
        <f>IF(G240="","",IF(OR(K240="",K240&gt;TODAY()),"Nog betalen","Betaald"))</f>
        <v/>
      </c>
    </row>
    <row r="241">
      <c r="A241" s="53" t="n"/>
      <c r="B241" s="54">
        <f>IF(A241="","",YEAR(A241)&amp;" Q"&amp;ROUNDUP(MONTH(A241)/3,0))</f>
        <v/>
      </c>
      <c r="C241" s="55" t="n"/>
      <c r="D241" s="55" t="n"/>
      <c r="E241" s="55" t="n"/>
      <c r="F241" s="55" t="n"/>
      <c r="G241" s="56" t="n"/>
      <c r="H241" s="57" t="n"/>
      <c r="I241" s="58">
        <f>IF(G241="","",ROUND(G241*H241,2))</f>
        <v/>
      </c>
      <c r="J241" s="58">
        <f>IF(G241="","",G241+N(I241))</f>
        <v/>
      </c>
      <c r="K241" s="53" t="n"/>
      <c r="L241" s="54">
        <f>IF(G241="","",IF(OR(K241="",K241&gt;TODAY()),"Nog betalen","Betaald"))</f>
        <v/>
      </c>
    </row>
    <row r="242">
      <c r="A242" s="53" t="n"/>
      <c r="B242" s="54">
        <f>IF(A242="","",YEAR(A242)&amp;" Q"&amp;ROUNDUP(MONTH(A242)/3,0))</f>
        <v/>
      </c>
      <c r="C242" s="55" t="n"/>
      <c r="D242" s="55" t="n"/>
      <c r="E242" s="55" t="n"/>
      <c r="F242" s="55" t="n"/>
      <c r="G242" s="56" t="n"/>
      <c r="H242" s="57" t="n"/>
      <c r="I242" s="58">
        <f>IF(G242="","",ROUND(G242*H242,2))</f>
        <v/>
      </c>
      <c r="J242" s="58">
        <f>IF(G242="","",G242+N(I242))</f>
        <v/>
      </c>
      <c r="K242" s="53" t="n"/>
      <c r="L242" s="54">
        <f>IF(G242="","",IF(OR(K242="",K242&gt;TODAY()),"Nog betalen","Betaald"))</f>
        <v/>
      </c>
    </row>
    <row r="243">
      <c r="A243" s="53" t="n"/>
      <c r="B243" s="54">
        <f>IF(A243="","",YEAR(A243)&amp;" Q"&amp;ROUNDUP(MONTH(A243)/3,0))</f>
        <v/>
      </c>
      <c r="C243" s="55" t="n"/>
      <c r="D243" s="55" t="n"/>
      <c r="E243" s="55" t="n"/>
      <c r="F243" s="55" t="n"/>
      <c r="G243" s="56" t="n"/>
      <c r="H243" s="57" t="n"/>
      <c r="I243" s="58">
        <f>IF(G243="","",ROUND(G243*H243,2))</f>
        <v/>
      </c>
      <c r="J243" s="58">
        <f>IF(G243="","",G243+N(I243))</f>
        <v/>
      </c>
      <c r="K243" s="53" t="n"/>
      <c r="L243" s="54">
        <f>IF(G243="","",IF(OR(K243="",K243&gt;TODAY()),"Nog betalen","Betaald"))</f>
        <v/>
      </c>
    </row>
    <row r="244">
      <c r="A244" s="53" t="n"/>
      <c r="B244" s="54">
        <f>IF(A244="","",YEAR(A244)&amp;" Q"&amp;ROUNDUP(MONTH(A244)/3,0))</f>
        <v/>
      </c>
      <c r="C244" s="55" t="n"/>
      <c r="D244" s="55" t="n"/>
      <c r="E244" s="55" t="n"/>
      <c r="F244" s="55" t="n"/>
      <c r="G244" s="56" t="n"/>
      <c r="H244" s="57" t="n"/>
      <c r="I244" s="58">
        <f>IF(G244="","",ROUND(G244*H244,2))</f>
        <v/>
      </c>
      <c r="J244" s="58">
        <f>IF(G244="","",G244+N(I244))</f>
        <v/>
      </c>
      <c r="K244" s="53" t="n"/>
      <c r="L244" s="54">
        <f>IF(G244="","",IF(OR(K244="",K244&gt;TODAY()),"Nog betalen","Betaald"))</f>
        <v/>
      </c>
    </row>
    <row r="245">
      <c r="A245" s="53" t="n"/>
      <c r="B245" s="54">
        <f>IF(A245="","",YEAR(A245)&amp;" Q"&amp;ROUNDUP(MONTH(A245)/3,0))</f>
        <v/>
      </c>
      <c r="C245" s="55" t="n"/>
      <c r="D245" s="55" t="n"/>
      <c r="E245" s="55" t="n"/>
      <c r="F245" s="55" t="n"/>
      <c r="G245" s="56" t="n"/>
      <c r="H245" s="57" t="n"/>
      <c r="I245" s="58">
        <f>IF(G245="","",ROUND(G245*H245,2))</f>
        <v/>
      </c>
      <c r="J245" s="58">
        <f>IF(G245="","",G245+N(I245))</f>
        <v/>
      </c>
      <c r="K245" s="53" t="n"/>
      <c r="L245" s="54">
        <f>IF(G245="","",IF(OR(K245="",K245&gt;TODAY()),"Nog betalen","Betaald"))</f>
        <v/>
      </c>
    </row>
    <row r="246">
      <c r="A246" s="53" t="n"/>
      <c r="B246" s="54">
        <f>IF(A246="","",YEAR(A246)&amp;" Q"&amp;ROUNDUP(MONTH(A246)/3,0))</f>
        <v/>
      </c>
      <c r="C246" s="55" t="n"/>
      <c r="D246" s="55" t="n"/>
      <c r="E246" s="55" t="n"/>
      <c r="F246" s="55" t="n"/>
      <c r="G246" s="56" t="n"/>
      <c r="H246" s="57" t="n"/>
      <c r="I246" s="58">
        <f>IF(G246="","",ROUND(G246*H246,2))</f>
        <v/>
      </c>
      <c r="J246" s="58">
        <f>IF(G246="","",G246+N(I246))</f>
        <v/>
      </c>
      <c r="K246" s="53" t="n"/>
      <c r="L246" s="54">
        <f>IF(G246="","",IF(OR(K246="",K246&gt;TODAY()),"Nog betalen","Betaald"))</f>
        <v/>
      </c>
    </row>
    <row r="247">
      <c r="A247" s="53" t="n"/>
      <c r="B247" s="54">
        <f>IF(A247="","",YEAR(A247)&amp;" Q"&amp;ROUNDUP(MONTH(A247)/3,0))</f>
        <v/>
      </c>
      <c r="C247" s="55" t="n"/>
      <c r="D247" s="55" t="n"/>
      <c r="E247" s="55" t="n"/>
      <c r="F247" s="55" t="n"/>
      <c r="G247" s="56" t="n"/>
      <c r="H247" s="57" t="n"/>
      <c r="I247" s="58">
        <f>IF(G247="","",ROUND(G247*H247,2))</f>
        <v/>
      </c>
      <c r="J247" s="58">
        <f>IF(G247="","",G247+N(I247))</f>
        <v/>
      </c>
      <c r="K247" s="53" t="n"/>
      <c r="L247" s="54">
        <f>IF(G247="","",IF(OR(K247="",K247&gt;TODAY()),"Nog betalen","Betaald"))</f>
        <v/>
      </c>
    </row>
    <row r="248">
      <c r="A248" s="53" t="n"/>
      <c r="B248" s="54">
        <f>IF(A248="","",YEAR(A248)&amp;" Q"&amp;ROUNDUP(MONTH(A248)/3,0))</f>
        <v/>
      </c>
      <c r="C248" s="55" t="n"/>
      <c r="D248" s="55" t="n"/>
      <c r="E248" s="55" t="n"/>
      <c r="F248" s="55" t="n"/>
      <c r="G248" s="56" t="n"/>
      <c r="H248" s="57" t="n"/>
      <c r="I248" s="58">
        <f>IF(G248="","",ROUND(G248*H248,2))</f>
        <v/>
      </c>
      <c r="J248" s="58">
        <f>IF(G248="","",G248+N(I248))</f>
        <v/>
      </c>
      <c r="K248" s="53" t="n"/>
      <c r="L248" s="54">
        <f>IF(G248="","",IF(OR(K248="",K248&gt;TODAY()),"Nog betalen","Betaald"))</f>
        <v/>
      </c>
    </row>
    <row r="249">
      <c r="A249" s="53" t="n"/>
      <c r="B249" s="54">
        <f>IF(A249="","",YEAR(A249)&amp;" Q"&amp;ROUNDUP(MONTH(A249)/3,0))</f>
        <v/>
      </c>
      <c r="C249" s="55" t="n"/>
      <c r="D249" s="55" t="n"/>
      <c r="E249" s="55" t="n"/>
      <c r="F249" s="55" t="n"/>
      <c r="G249" s="56" t="n"/>
      <c r="H249" s="57" t="n"/>
      <c r="I249" s="58">
        <f>IF(G249="","",ROUND(G249*H249,2))</f>
        <v/>
      </c>
      <c r="J249" s="58">
        <f>IF(G249="","",G249+N(I249))</f>
        <v/>
      </c>
      <c r="K249" s="53" t="n"/>
      <c r="L249" s="54">
        <f>IF(G249="","",IF(OR(K249="",K249&gt;TODAY()),"Nog betalen","Betaald"))</f>
        <v/>
      </c>
    </row>
    <row r="250">
      <c r="A250" s="53" t="n"/>
      <c r="B250" s="54">
        <f>IF(A250="","",YEAR(A250)&amp;" Q"&amp;ROUNDUP(MONTH(A250)/3,0))</f>
        <v/>
      </c>
      <c r="C250" s="55" t="n"/>
      <c r="D250" s="55" t="n"/>
      <c r="E250" s="55" t="n"/>
      <c r="F250" s="55" t="n"/>
      <c r="G250" s="56" t="n"/>
      <c r="H250" s="57" t="n"/>
      <c r="I250" s="58">
        <f>IF(G250="","",ROUND(G250*H250,2))</f>
        <v/>
      </c>
      <c r="J250" s="58">
        <f>IF(G250="","",G250+N(I250))</f>
        <v/>
      </c>
      <c r="K250" s="53" t="n"/>
      <c r="L250" s="54">
        <f>IF(G250="","",IF(OR(K250="",K250&gt;TODAY()),"Nog betalen","Betaald"))</f>
        <v/>
      </c>
    </row>
    <row r="251">
      <c r="A251" s="53" t="n"/>
      <c r="B251" s="54">
        <f>IF(A251="","",YEAR(A251)&amp;" Q"&amp;ROUNDUP(MONTH(A251)/3,0))</f>
        <v/>
      </c>
      <c r="C251" s="55" t="n"/>
      <c r="D251" s="55" t="n"/>
      <c r="E251" s="55" t="n"/>
      <c r="F251" s="55" t="n"/>
      <c r="G251" s="56" t="n"/>
      <c r="H251" s="57" t="n"/>
      <c r="I251" s="58">
        <f>IF(G251="","",ROUND(G251*H251,2))</f>
        <v/>
      </c>
      <c r="J251" s="58">
        <f>IF(G251="","",G251+N(I251))</f>
        <v/>
      </c>
      <c r="K251" s="53" t="n"/>
      <c r="L251" s="54">
        <f>IF(G251="","",IF(OR(K251="",K251&gt;TODAY()),"Nog betalen","Betaald"))</f>
        <v/>
      </c>
    </row>
    <row r="252">
      <c r="A252" s="53" t="n"/>
      <c r="B252" s="54">
        <f>IF(A252="","",YEAR(A252)&amp;" Q"&amp;ROUNDUP(MONTH(A252)/3,0))</f>
        <v/>
      </c>
      <c r="C252" s="55" t="n"/>
      <c r="D252" s="55" t="n"/>
      <c r="E252" s="55" t="n"/>
      <c r="F252" s="55" t="n"/>
      <c r="G252" s="56" t="n"/>
      <c r="H252" s="57" t="n"/>
      <c r="I252" s="58">
        <f>IF(G252="","",ROUND(G252*H252,2))</f>
        <v/>
      </c>
      <c r="J252" s="58">
        <f>IF(G252="","",G252+N(I252))</f>
        <v/>
      </c>
      <c r="K252" s="53" t="n"/>
      <c r="L252" s="54">
        <f>IF(G252="","",IF(OR(K252="",K252&gt;TODAY()),"Nog betalen","Betaald"))</f>
        <v/>
      </c>
    </row>
    <row r="253">
      <c r="A253" s="53" t="n"/>
      <c r="B253" s="54">
        <f>IF(A253="","",YEAR(A253)&amp;" Q"&amp;ROUNDUP(MONTH(A253)/3,0))</f>
        <v/>
      </c>
      <c r="C253" s="55" t="n"/>
      <c r="D253" s="55" t="n"/>
      <c r="E253" s="55" t="n"/>
      <c r="F253" s="55" t="n"/>
      <c r="G253" s="56" t="n"/>
      <c r="H253" s="57" t="n"/>
      <c r="I253" s="58">
        <f>IF(G253="","",ROUND(G253*H253,2))</f>
        <v/>
      </c>
      <c r="J253" s="58">
        <f>IF(G253="","",G253+N(I253))</f>
        <v/>
      </c>
      <c r="K253" s="53" t="n"/>
      <c r="L253" s="54">
        <f>IF(G253="","",IF(OR(K253="",K253&gt;TODAY()),"Nog betalen","Betaald"))</f>
        <v/>
      </c>
    </row>
    <row r="254">
      <c r="A254" s="53" t="n"/>
      <c r="B254" s="54">
        <f>IF(A254="","",YEAR(A254)&amp;" Q"&amp;ROUNDUP(MONTH(A254)/3,0))</f>
        <v/>
      </c>
      <c r="C254" s="55" t="n"/>
      <c r="D254" s="55" t="n"/>
      <c r="E254" s="55" t="n"/>
      <c r="F254" s="55" t="n"/>
      <c r="G254" s="56" t="n"/>
      <c r="H254" s="57" t="n"/>
      <c r="I254" s="58">
        <f>IF(G254="","",ROUND(G254*H254,2))</f>
        <v/>
      </c>
      <c r="J254" s="58">
        <f>IF(G254="","",G254+N(I254))</f>
        <v/>
      </c>
      <c r="K254" s="53" t="n"/>
      <c r="L254" s="54">
        <f>IF(G254="","",IF(OR(K254="",K254&gt;TODAY()),"Nog betalen","Betaald"))</f>
        <v/>
      </c>
    </row>
    <row r="255">
      <c r="A255" s="53" t="n"/>
      <c r="B255" s="54">
        <f>IF(A255="","",YEAR(A255)&amp;" Q"&amp;ROUNDUP(MONTH(A255)/3,0))</f>
        <v/>
      </c>
      <c r="C255" s="55" t="n"/>
      <c r="D255" s="55" t="n"/>
      <c r="E255" s="55" t="n"/>
      <c r="F255" s="55" t="n"/>
      <c r="G255" s="56" t="n"/>
      <c r="H255" s="57" t="n"/>
      <c r="I255" s="58">
        <f>IF(G255="","",ROUND(G255*H255,2))</f>
        <v/>
      </c>
      <c r="J255" s="58">
        <f>IF(G255="","",G255+N(I255))</f>
        <v/>
      </c>
      <c r="K255" s="53" t="n"/>
      <c r="L255" s="54">
        <f>IF(G255="","",IF(OR(K255="",K255&gt;TODAY()),"Nog betalen","Betaald"))</f>
        <v/>
      </c>
    </row>
    <row r="256">
      <c r="A256" s="53" t="n"/>
      <c r="B256" s="54">
        <f>IF(A256="","",YEAR(A256)&amp;" Q"&amp;ROUNDUP(MONTH(A256)/3,0))</f>
        <v/>
      </c>
      <c r="C256" s="55" t="n"/>
      <c r="D256" s="55" t="n"/>
      <c r="E256" s="55" t="n"/>
      <c r="F256" s="55" t="n"/>
      <c r="G256" s="56" t="n"/>
      <c r="H256" s="57" t="n"/>
      <c r="I256" s="58">
        <f>IF(G256="","",ROUND(G256*H256,2))</f>
        <v/>
      </c>
      <c r="J256" s="58">
        <f>IF(G256="","",G256+N(I256))</f>
        <v/>
      </c>
      <c r="K256" s="53" t="n"/>
      <c r="L256" s="54">
        <f>IF(G256="","",IF(OR(K256="",K256&gt;TODAY()),"Nog betalen","Betaald"))</f>
        <v/>
      </c>
    </row>
    <row r="257">
      <c r="A257" s="53" t="n"/>
      <c r="B257" s="54">
        <f>IF(A257="","",YEAR(A257)&amp;" Q"&amp;ROUNDUP(MONTH(A257)/3,0))</f>
        <v/>
      </c>
      <c r="C257" s="55" t="n"/>
      <c r="D257" s="55" t="n"/>
      <c r="E257" s="55" t="n"/>
      <c r="F257" s="55" t="n"/>
      <c r="G257" s="56" t="n"/>
      <c r="H257" s="57" t="n"/>
      <c r="I257" s="58">
        <f>IF(G257="","",ROUND(G257*H257,2))</f>
        <v/>
      </c>
      <c r="J257" s="58">
        <f>IF(G257="","",G257+N(I257))</f>
        <v/>
      </c>
      <c r="K257" s="53" t="n"/>
      <c r="L257" s="54">
        <f>IF(G257="","",IF(OR(K257="",K257&gt;TODAY()),"Nog betalen","Betaald"))</f>
        <v/>
      </c>
    </row>
    <row r="258">
      <c r="A258" s="53" t="n"/>
      <c r="B258" s="54">
        <f>IF(A258="","",YEAR(A258)&amp;" Q"&amp;ROUNDUP(MONTH(A258)/3,0))</f>
        <v/>
      </c>
      <c r="C258" s="55" t="n"/>
      <c r="D258" s="55" t="n"/>
      <c r="E258" s="55" t="n"/>
      <c r="F258" s="55" t="n"/>
      <c r="G258" s="56" t="n"/>
      <c r="H258" s="57" t="n"/>
      <c r="I258" s="58">
        <f>IF(G258="","",ROUND(G258*H258,2))</f>
        <v/>
      </c>
      <c r="J258" s="58">
        <f>IF(G258="","",G258+N(I258))</f>
        <v/>
      </c>
      <c r="K258" s="53" t="n"/>
      <c r="L258" s="54">
        <f>IF(G258="","",IF(OR(K258="",K258&gt;TODAY()),"Nog betalen","Betaald"))</f>
        <v/>
      </c>
    </row>
    <row r="259">
      <c r="A259" s="53" t="n"/>
      <c r="B259" s="54">
        <f>IF(A259="","",YEAR(A259)&amp;" Q"&amp;ROUNDUP(MONTH(A259)/3,0))</f>
        <v/>
      </c>
      <c r="C259" s="55" t="n"/>
      <c r="D259" s="55" t="n"/>
      <c r="E259" s="55" t="n"/>
      <c r="F259" s="55" t="n"/>
      <c r="G259" s="56" t="n"/>
      <c r="H259" s="57" t="n"/>
      <c r="I259" s="58">
        <f>IF(G259="","",ROUND(G259*H259,2))</f>
        <v/>
      </c>
      <c r="J259" s="58">
        <f>IF(G259="","",G259+N(I259))</f>
        <v/>
      </c>
      <c r="K259" s="53" t="n"/>
      <c r="L259" s="54">
        <f>IF(G259="","",IF(OR(K259="",K259&gt;TODAY()),"Nog betalen","Betaald"))</f>
        <v/>
      </c>
    </row>
    <row r="260">
      <c r="A260" s="53" t="n"/>
      <c r="B260" s="54">
        <f>IF(A260="","",YEAR(A260)&amp;" Q"&amp;ROUNDUP(MONTH(A260)/3,0))</f>
        <v/>
      </c>
      <c r="C260" s="55" t="n"/>
      <c r="D260" s="55" t="n"/>
      <c r="E260" s="55" t="n"/>
      <c r="F260" s="55" t="n"/>
      <c r="G260" s="56" t="n"/>
      <c r="H260" s="57" t="n"/>
      <c r="I260" s="58">
        <f>IF(G260="","",ROUND(G260*H260,2))</f>
        <v/>
      </c>
      <c r="J260" s="58">
        <f>IF(G260="","",G260+N(I260))</f>
        <v/>
      </c>
      <c r="K260" s="53" t="n"/>
      <c r="L260" s="54">
        <f>IF(G260="","",IF(OR(K260="",K260&gt;TODAY()),"Nog betalen","Betaald"))</f>
        <v/>
      </c>
    </row>
    <row r="261">
      <c r="A261" s="53" t="n"/>
      <c r="B261" s="54">
        <f>IF(A261="","",YEAR(A261)&amp;" Q"&amp;ROUNDUP(MONTH(A261)/3,0))</f>
        <v/>
      </c>
      <c r="C261" s="55" t="n"/>
      <c r="D261" s="55" t="n"/>
      <c r="E261" s="55" t="n"/>
      <c r="F261" s="55" t="n"/>
      <c r="G261" s="56" t="n"/>
      <c r="H261" s="57" t="n"/>
      <c r="I261" s="58">
        <f>IF(G261="","",ROUND(G261*H261,2))</f>
        <v/>
      </c>
      <c r="J261" s="58">
        <f>IF(G261="","",G261+N(I261))</f>
        <v/>
      </c>
      <c r="K261" s="53" t="n"/>
      <c r="L261" s="54">
        <f>IF(G261="","",IF(OR(K261="",K261&gt;TODAY()),"Nog betalen","Betaald"))</f>
        <v/>
      </c>
    </row>
    <row r="262">
      <c r="A262" s="53" t="n"/>
      <c r="B262" s="54">
        <f>IF(A262="","",YEAR(A262)&amp;" Q"&amp;ROUNDUP(MONTH(A262)/3,0))</f>
        <v/>
      </c>
      <c r="C262" s="55" t="n"/>
      <c r="D262" s="55" t="n"/>
      <c r="E262" s="55" t="n"/>
      <c r="F262" s="55" t="n"/>
      <c r="G262" s="56" t="n"/>
      <c r="H262" s="57" t="n"/>
      <c r="I262" s="58">
        <f>IF(G262="","",ROUND(G262*H262,2))</f>
        <v/>
      </c>
      <c r="J262" s="58">
        <f>IF(G262="","",G262+N(I262))</f>
        <v/>
      </c>
      <c r="K262" s="53" t="n"/>
      <c r="L262" s="54">
        <f>IF(G262="","",IF(OR(K262="",K262&gt;TODAY()),"Nog betalen","Betaald"))</f>
        <v/>
      </c>
    </row>
    <row r="263">
      <c r="A263" s="53" t="n"/>
      <c r="B263" s="54">
        <f>IF(A263="","",YEAR(A263)&amp;" Q"&amp;ROUNDUP(MONTH(A263)/3,0))</f>
        <v/>
      </c>
      <c r="C263" s="55" t="n"/>
      <c r="D263" s="55" t="n"/>
      <c r="E263" s="55" t="n"/>
      <c r="F263" s="55" t="n"/>
      <c r="G263" s="56" t="n"/>
      <c r="H263" s="57" t="n"/>
      <c r="I263" s="58">
        <f>IF(G263="","",ROUND(G263*H263,2))</f>
        <v/>
      </c>
      <c r="J263" s="58">
        <f>IF(G263="","",G263+N(I263))</f>
        <v/>
      </c>
      <c r="K263" s="53" t="n"/>
      <c r="L263" s="54">
        <f>IF(G263="","",IF(OR(K263="",K263&gt;TODAY()),"Nog betalen","Betaald"))</f>
        <v/>
      </c>
    </row>
    <row r="264">
      <c r="A264" s="53" t="n"/>
      <c r="B264" s="54">
        <f>IF(A264="","",YEAR(A264)&amp;" Q"&amp;ROUNDUP(MONTH(A264)/3,0))</f>
        <v/>
      </c>
      <c r="C264" s="55" t="n"/>
      <c r="D264" s="55" t="n"/>
      <c r="E264" s="55" t="n"/>
      <c r="F264" s="55" t="n"/>
      <c r="G264" s="56" t="n"/>
      <c r="H264" s="57" t="n"/>
      <c r="I264" s="58">
        <f>IF(G264="","",ROUND(G264*H264,2))</f>
        <v/>
      </c>
      <c r="J264" s="58">
        <f>IF(G264="","",G264+N(I264))</f>
        <v/>
      </c>
      <c r="K264" s="53" t="n"/>
      <c r="L264" s="54">
        <f>IF(G264="","",IF(OR(K264="",K264&gt;TODAY()),"Nog betalen","Betaald"))</f>
        <v/>
      </c>
    </row>
    <row r="265">
      <c r="A265" s="53" t="n"/>
      <c r="B265" s="54">
        <f>IF(A265="","",YEAR(A265)&amp;" Q"&amp;ROUNDUP(MONTH(A265)/3,0))</f>
        <v/>
      </c>
      <c r="C265" s="55" t="n"/>
      <c r="D265" s="55" t="n"/>
      <c r="E265" s="55" t="n"/>
      <c r="F265" s="55" t="n"/>
      <c r="G265" s="56" t="n"/>
      <c r="H265" s="57" t="n"/>
      <c r="I265" s="58">
        <f>IF(G265="","",ROUND(G265*H265,2))</f>
        <v/>
      </c>
      <c r="J265" s="58">
        <f>IF(G265="","",G265+N(I265))</f>
        <v/>
      </c>
      <c r="K265" s="53" t="n"/>
      <c r="L265" s="54">
        <f>IF(G265="","",IF(OR(K265="",K265&gt;TODAY()),"Nog betalen","Betaald"))</f>
        <v/>
      </c>
    </row>
    <row r="266">
      <c r="A266" s="53" t="n"/>
      <c r="B266" s="54">
        <f>IF(A266="","",YEAR(A266)&amp;" Q"&amp;ROUNDUP(MONTH(A266)/3,0))</f>
        <v/>
      </c>
      <c r="C266" s="55" t="n"/>
      <c r="D266" s="55" t="n"/>
      <c r="E266" s="55" t="n"/>
      <c r="F266" s="55" t="n"/>
      <c r="G266" s="56" t="n"/>
      <c r="H266" s="57" t="n"/>
      <c r="I266" s="58">
        <f>IF(G266="","",ROUND(G266*H266,2))</f>
        <v/>
      </c>
      <c r="J266" s="58">
        <f>IF(G266="","",G266+N(I266))</f>
        <v/>
      </c>
      <c r="K266" s="53" t="n"/>
      <c r="L266" s="54">
        <f>IF(G266="","",IF(OR(K266="",K266&gt;TODAY()),"Nog betalen","Betaald"))</f>
        <v/>
      </c>
    </row>
    <row r="267">
      <c r="A267" s="53" t="n"/>
      <c r="B267" s="54">
        <f>IF(A267="","",YEAR(A267)&amp;" Q"&amp;ROUNDUP(MONTH(A267)/3,0))</f>
        <v/>
      </c>
      <c r="C267" s="55" t="n"/>
      <c r="D267" s="55" t="n"/>
      <c r="E267" s="55" t="n"/>
      <c r="F267" s="55" t="n"/>
      <c r="G267" s="56" t="n"/>
      <c r="H267" s="57" t="n"/>
      <c r="I267" s="58">
        <f>IF(G267="","",ROUND(G267*H267,2))</f>
        <v/>
      </c>
      <c r="J267" s="58">
        <f>IF(G267="","",G267+N(I267))</f>
        <v/>
      </c>
      <c r="K267" s="53" t="n"/>
      <c r="L267" s="54">
        <f>IF(G267="","",IF(OR(K267="",K267&gt;TODAY()),"Nog betalen","Betaald"))</f>
        <v/>
      </c>
    </row>
    <row r="268">
      <c r="A268" s="53" t="n"/>
      <c r="B268" s="54">
        <f>IF(A268="","",YEAR(A268)&amp;" Q"&amp;ROUNDUP(MONTH(A268)/3,0))</f>
        <v/>
      </c>
      <c r="C268" s="55" t="n"/>
      <c r="D268" s="55" t="n"/>
      <c r="E268" s="55" t="n"/>
      <c r="F268" s="55" t="n"/>
      <c r="G268" s="56" t="n"/>
      <c r="H268" s="57" t="n"/>
      <c r="I268" s="58">
        <f>IF(G268="","",ROUND(G268*H268,2))</f>
        <v/>
      </c>
      <c r="J268" s="58">
        <f>IF(G268="","",G268+N(I268))</f>
        <v/>
      </c>
      <c r="K268" s="53" t="n"/>
      <c r="L268" s="54">
        <f>IF(G268="","",IF(OR(K268="",K268&gt;TODAY()),"Nog betalen","Betaald"))</f>
        <v/>
      </c>
    </row>
    <row r="269">
      <c r="A269" s="53" t="n"/>
      <c r="B269" s="54">
        <f>IF(A269="","",YEAR(A269)&amp;" Q"&amp;ROUNDUP(MONTH(A269)/3,0))</f>
        <v/>
      </c>
      <c r="C269" s="55" t="n"/>
      <c r="D269" s="55" t="n"/>
      <c r="E269" s="55" t="n"/>
      <c r="F269" s="55" t="n"/>
      <c r="G269" s="56" t="n"/>
      <c r="H269" s="57" t="n"/>
      <c r="I269" s="58">
        <f>IF(G269="","",ROUND(G269*H269,2))</f>
        <v/>
      </c>
      <c r="J269" s="58">
        <f>IF(G269="","",G269+N(I269))</f>
        <v/>
      </c>
      <c r="K269" s="53" t="n"/>
      <c r="L269" s="54">
        <f>IF(G269="","",IF(OR(K269="",K269&gt;TODAY()),"Nog betalen","Betaald"))</f>
        <v/>
      </c>
    </row>
    <row r="270">
      <c r="A270" s="53" t="n"/>
      <c r="B270" s="54">
        <f>IF(A270="","",YEAR(A270)&amp;" Q"&amp;ROUNDUP(MONTH(A270)/3,0))</f>
        <v/>
      </c>
      <c r="C270" s="55" t="n"/>
      <c r="D270" s="55" t="n"/>
      <c r="E270" s="55" t="n"/>
      <c r="F270" s="55" t="n"/>
      <c r="G270" s="56" t="n"/>
      <c r="H270" s="57" t="n"/>
      <c r="I270" s="58">
        <f>IF(G270="","",ROUND(G270*H270,2))</f>
        <v/>
      </c>
      <c r="J270" s="58">
        <f>IF(G270="","",G270+N(I270))</f>
        <v/>
      </c>
      <c r="K270" s="53" t="n"/>
      <c r="L270" s="54">
        <f>IF(G270="","",IF(OR(K270="",K270&gt;TODAY()),"Nog betalen","Betaald"))</f>
        <v/>
      </c>
    </row>
    <row r="271">
      <c r="A271" s="53" t="n"/>
      <c r="B271" s="54">
        <f>IF(A271="","",YEAR(A271)&amp;" Q"&amp;ROUNDUP(MONTH(A271)/3,0))</f>
        <v/>
      </c>
      <c r="C271" s="55" t="n"/>
      <c r="D271" s="55" t="n"/>
      <c r="E271" s="55" t="n"/>
      <c r="F271" s="55" t="n"/>
      <c r="G271" s="56" t="n"/>
      <c r="H271" s="57" t="n"/>
      <c r="I271" s="58">
        <f>IF(G271="","",ROUND(G271*H271,2))</f>
        <v/>
      </c>
      <c r="J271" s="58">
        <f>IF(G271="","",G271+N(I271))</f>
        <v/>
      </c>
      <c r="K271" s="53" t="n"/>
      <c r="L271" s="54">
        <f>IF(G271="","",IF(OR(K271="",K271&gt;TODAY()),"Nog betalen","Betaald"))</f>
        <v/>
      </c>
    </row>
    <row r="272">
      <c r="A272" s="53" t="n"/>
      <c r="B272" s="54">
        <f>IF(A272="","",YEAR(A272)&amp;" Q"&amp;ROUNDUP(MONTH(A272)/3,0))</f>
        <v/>
      </c>
      <c r="C272" s="55" t="n"/>
      <c r="D272" s="55" t="n"/>
      <c r="E272" s="55" t="n"/>
      <c r="F272" s="55" t="n"/>
      <c r="G272" s="56" t="n"/>
      <c r="H272" s="57" t="n"/>
      <c r="I272" s="58">
        <f>IF(G272="","",ROUND(G272*H272,2))</f>
        <v/>
      </c>
      <c r="J272" s="58">
        <f>IF(G272="","",G272+N(I272))</f>
        <v/>
      </c>
      <c r="K272" s="53" t="n"/>
      <c r="L272" s="54">
        <f>IF(G272="","",IF(OR(K272="",K272&gt;TODAY()),"Nog betalen","Betaald"))</f>
        <v/>
      </c>
    </row>
    <row r="273">
      <c r="A273" s="53" t="n"/>
      <c r="B273" s="54">
        <f>IF(A273="","",YEAR(A273)&amp;" Q"&amp;ROUNDUP(MONTH(A273)/3,0))</f>
        <v/>
      </c>
      <c r="C273" s="55" t="n"/>
      <c r="D273" s="55" t="n"/>
      <c r="E273" s="55" t="n"/>
      <c r="F273" s="55" t="n"/>
      <c r="G273" s="56" t="n"/>
      <c r="H273" s="57" t="n"/>
      <c r="I273" s="58">
        <f>IF(G273="","",ROUND(G273*H273,2))</f>
        <v/>
      </c>
      <c r="J273" s="58">
        <f>IF(G273="","",G273+N(I273))</f>
        <v/>
      </c>
      <c r="K273" s="53" t="n"/>
      <c r="L273" s="54">
        <f>IF(G273="","",IF(OR(K273="",K273&gt;TODAY()),"Nog betalen","Betaald"))</f>
        <v/>
      </c>
    </row>
    <row r="274">
      <c r="A274" s="53" t="n"/>
      <c r="B274" s="54">
        <f>IF(A274="","",YEAR(A274)&amp;" Q"&amp;ROUNDUP(MONTH(A274)/3,0))</f>
        <v/>
      </c>
      <c r="C274" s="55" t="n"/>
      <c r="D274" s="55" t="n"/>
      <c r="E274" s="55" t="n"/>
      <c r="F274" s="55" t="n"/>
      <c r="G274" s="56" t="n"/>
      <c r="H274" s="57" t="n"/>
      <c r="I274" s="58">
        <f>IF(G274="","",ROUND(G274*H274,2))</f>
        <v/>
      </c>
      <c r="J274" s="58">
        <f>IF(G274="","",G274+N(I274))</f>
        <v/>
      </c>
      <c r="K274" s="53" t="n"/>
      <c r="L274" s="54">
        <f>IF(G274="","",IF(OR(K274="",K274&gt;TODAY()),"Nog betalen","Betaald"))</f>
        <v/>
      </c>
    </row>
    <row r="275">
      <c r="A275" s="53" t="n"/>
      <c r="B275" s="54">
        <f>IF(A275="","",YEAR(A275)&amp;" Q"&amp;ROUNDUP(MONTH(A275)/3,0))</f>
        <v/>
      </c>
      <c r="C275" s="55" t="n"/>
      <c r="D275" s="55" t="n"/>
      <c r="E275" s="55" t="n"/>
      <c r="F275" s="55" t="n"/>
      <c r="G275" s="56" t="n"/>
      <c r="H275" s="57" t="n"/>
      <c r="I275" s="58">
        <f>IF(G275="","",ROUND(G275*H275,2))</f>
        <v/>
      </c>
      <c r="J275" s="58">
        <f>IF(G275="","",G275+N(I275))</f>
        <v/>
      </c>
      <c r="K275" s="53" t="n"/>
      <c r="L275" s="54">
        <f>IF(G275="","",IF(OR(K275="",K275&gt;TODAY()),"Nog betalen","Betaald"))</f>
        <v/>
      </c>
    </row>
    <row r="276">
      <c r="A276" s="53" t="n"/>
      <c r="B276" s="54">
        <f>IF(A276="","",YEAR(A276)&amp;" Q"&amp;ROUNDUP(MONTH(A276)/3,0))</f>
        <v/>
      </c>
      <c r="C276" s="55" t="n"/>
      <c r="D276" s="55" t="n"/>
      <c r="E276" s="55" t="n"/>
      <c r="F276" s="55" t="n"/>
      <c r="G276" s="56" t="n"/>
      <c r="H276" s="57" t="n"/>
      <c r="I276" s="58">
        <f>IF(G276="","",ROUND(G276*H276,2))</f>
        <v/>
      </c>
      <c r="J276" s="58">
        <f>IF(G276="","",G276+N(I276))</f>
        <v/>
      </c>
      <c r="K276" s="53" t="n"/>
      <c r="L276" s="54">
        <f>IF(G276="","",IF(OR(K276="",K276&gt;TODAY()),"Nog betalen","Betaald"))</f>
        <v/>
      </c>
    </row>
    <row r="277">
      <c r="A277" s="53" t="n"/>
      <c r="B277" s="54">
        <f>IF(A277="","",YEAR(A277)&amp;" Q"&amp;ROUNDUP(MONTH(A277)/3,0))</f>
        <v/>
      </c>
      <c r="C277" s="55" t="n"/>
      <c r="D277" s="55" t="n"/>
      <c r="E277" s="55" t="n"/>
      <c r="F277" s="55" t="n"/>
      <c r="G277" s="56" t="n"/>
      <c r="H277" s="57" t="n"/>
      <c r="I277" s="58">
        <f>IF(G277="","",ROUND(G277*H277,2))</f>
        <v/>
      </c>
      <c r="J277" s="58">
        <f>IF(G277="","",G277+N(I277))</f>
        <v/>
      </c>
      <c r="K277" s="53" t="n"/>
      <c r="L277" s="54">
        <f>IF(G277="","",IF(OR(K277="",K277&gt;TODAY()),"Nog betalen","Betaald"))</f>
        <v/>
      </c>
    </row>
    <row r="278">
      <c r="A278" s="53" t="n"/>
      <c r="B278" s="54">
        <f>IF(A278="","",YEAR(A278)&amp;" Q"&amp;ROUNDUP(MONTH(A278)/3,0))</f>
        <v/>
      </c>
      <c r="C278" s="55" t="n"/>
      <c r="D278" s="55" t="n"/>
      <c r="E278" s="55" t="n"/>
      <c r="F278" s="55" t="n"/>
      <c r="G278" s="56" t="n"/>
      <c r="H278" s="57" t="n"/>
      <c r="I278" s="58">
        <f>IF(G278="","",ROUND(G278*H278,2))</f>
        <v/>
      </c>
      <c r="J278" s="58">
        <f>IF(G278="","",G278+N(I278))</f>
        <v/>
      </c>
      <c r="K278" s="53" t="n"/>
      <c r="L278" s="54">
        <f>IF(G278="","",IF(OR(K278="",K278&gt;TODAY()),"Nog betalen","Betaald"))</f>
        <v/>
      </c>
    </row>
    <row r="279">
      <c r="A279" s="53" t="n"/>
      <c r="B279" s="54">
        <f>IF(A279="","",YEAR(A279)&amp;" Q"&amp;ROUNDUP(MONTH(A279)/3,0))</f>
        <v/>
      </c>
      <c r="C279" s="55" t="n"/>
      <c r="D279" s="55" t="n"/>
      <c r="E279" s="55" t="n"/>
      <c r="F279" s="55" t="n"/>
      <c r="G279" s="56" t="n"/>
      <c r="H279" s="57" t="n"/>
      <c r="I279" s="58">
        <f>IF(G279="","",ROUND(G279*H279,2))</f>
        <v/>
      </c>
      <c r="J279" s="58">
        <f>IF(G279="","",G279+N(I279))</f>
        <v/>
      </c>
      <c r="K279" s="53" t="n"/>
      <c r="L279" s="54">
        <f>IF(G279="","",IF(OR(K279="",K279&gt;TODAY()),"Nog betalen","Betaald"))</f>
        <v/>
      </c>
    </row>
    <row r="280">
      <c r="A280" s="53" t="n"/>
      <c r="B280" s="54">
        <f>IF(A280="","",YEAR(A280)&amp;" Q"&amp;ROUNDUP(MONTH(A280)/3,0))</f>
        <v/>
      </c>
      <c r="C280" s="55" t="n"/>
      <c r="D280" s="55" t="n"/>
      <c r="E280" s="55" t="n"/>
      <c r="F280" s="55" t="n"/>
      <c r="G280" s="56" t="n"/>
      <c r="H280" s="57" t="n"/>
      <c r="I280" s="58">
        <f>IF(G280="","",ROUND(G280*H280,2))</f>
        <v/>
      </c>
      <c r="J280" s="58">
        <f>IF(G280="","",G280+N(I280))</f>
        <v/>
      </c>
      <c r="K280" s="53" t="n"/>
      <c r="L280" s="54">
        <f>IF(G280="","",IF(OR(K280="",K280&gt;TODAY()),"Nog betalen","Betaald"))</f>
        <v/>
      </c>
    </row>
    <row r="281">
      <c r="A281" s="53" t="n"/>
      <c r="B281" s="54">
        <f>IF(A281="","",YEAR(A281)&amp;" Q"&amp;ROUNDUP(MONTH(A281)/3,0))</f>
        <v/>
      </c>
      <c r="C281" s="55" t="n"/>
      <c r="D281" s="55" t="n"/>
      <c r="E281" s="55" t="n"/>
      <c r="F281" s="55" t="n"/>
      <c r="G281" s="56" t="n"/>
      <c r="H281" s="57" t="n"/>
      <c r="I281" s="58">
        <f>IF(G281="","",ROUND(G281*H281,2))</f>
        <v/>
      </c>
      <c r="J281" s="58">
        <f>IF(G281="","",G281+N(I281))</f>
        <v/>
      </c>
      <c r="K281" s="53" t="n"/>
      <c r="L281" s="54">
        <f>IF(G281="","",IF(OR(K281="",K281&gt;TODAY()),"Nog betalen","Betaald"))</f>
        <v/>
      </c>
    </row>
    <row r="282">
      <c r="A282" s="53" t="n"/>
      <c r="B282" s="54">
        <f>IF(A282="","",YEAR(A282)&amp;" Q"&amp;ROUNDUP(MONTH(A282)/3,0))</f>
        <v/>
      </c>
      <c r="C282" s="55" t="n"/>
      <c r="D282" s="55" t="n"/>
      <c r="E282" s="55" t="n"/>
      <c r="F282" s="55" t="n"/>
      <c r="G282" s="56" t="n"/>
      <c r="H282" s="57" t="n"/>
      <c r="I282" s="58">
        <f>IF(G282="","",ROUND(G282*H282,2))</f>
        <v/>
      </c>
      <c r="J282" s="58">
        <f>IF(G282="","",G282+N(I282))</f>
        <v/>
      </c>
      <c r="K282" s="53" t="n"/>
      <c r="L282" s="54">
        <f>IF(G282="","",IF(OR(K282="",K282&gt;TODAY()),"Nog betalen","Betaald"))</f>
        <v/>
      </c>
    </row>
    <row r="283">
      <c r="A283" s="53" t="n"/>
      <c r="B283" s="54">
        <f>IF(A283="","",YEAR(A283)&amp;" Q"&amp;ROUNDUP(MONTH(A283)/3,0))</f>
        <v/>
      </c>
      <c r="C283" s="55" t="n"/>
      <c r="D283" s="55" t="n"/>
      <c r="E283" s="55" t="n"/>
      <c r="F283" s="55" t="n"/>
      <c r="G283" s="56" t="n"/>
      <c r="H283" s="57" t="n"/>
      <c r="I283" s="58">
        <f>IF(G283="","",ROUND(G283*H283,2))</f>
        <v/>
      </c>
      <c r="J283" s="58">
        <f>IF(G283="","",G283+N(I283))</f>
        <v/>
      </c>
      <c r="K283" s="53" t="n"/>
      <c r="L283" s="54">
        <f>IF(G283="","",IF(OR(K283="",K283&gt;TODAY()),"Nog betalen","Betaald"))</f>
        <v/>
      </c>
    </row>
    <row r="284">
      <c r="A284" s="53" t="n"/>
      <c r="B284" s="54">
        <f>IF(A284="","",YEAR(A284)&amp;" Q"&amp;ROUNDUP(MONTH(A284)/3,0))</f>
        <v/>
      </c>
      <c r="C284" s="55" t="n"/>
      <c r="D284" s="55" t="n"/>
      <c r="E284" s="55" t="n"/>
      <c r="F284" s="55" t="n"/>
      <c r="G284" s="56" t="n"/>
      <c r="H284" s="57" t="n"/>
      <c r="I284" s="58">
        <f>IF(G284="","",ROUND(G284*H284,2))</f>
        <v/>
      </c>
      <c r="J284" s="58">
        <f>IF(G284="","",G284+N(I284))</f>
        <v/>
      </c>
      <c r="K284" s="53" t="n"/>
      <c r="L284" s="54">
        <f>IF(G284="","",IF(OR(K284="",K284&gt;TODAY()),"Nog betalen","Betaald"))</f>
        <v/>
      </c>
    </row>
    <row r="285">
      <c r="A285" s="53" t="n"/>
      <c r="B285" s="54">
        <f>IF(A285="","",YEAR(A285)&amp;" Q"&amp;ROUNDUP(MONTH(A285)/3,0))</f>
        <v/>
      </c>
      <c r="C285" s="55" t="n"/>
      <c r="D285" s="55" t="n"/>
      <c r="E285" s="55" t="n"/>
      <c r="F285" s="55" t="n"/>
      <c r="G285" s="56" t="n"/>
      <c r="H285" s="57" t="n"/>
      <c r="I285" s="58">
        <f>IF(G285="","",ROUND(G285*H285,2))</f>
        <v/>
      </c>
      <c r="J285" s="58">
        <f>IF(G285="","",G285+N(I285))</f>
        <v/>
      </c>
      <c r="K285" s="53" t="n"/>
      <c r="L285" s="54">
        <f>IF(G285="","",IF(OR(K285="",K285&gt;TODAY()),"Nog betalen","Betaald"))</f>
        <v/>
      </c>
    </row>
    <row r="286">
      <c r="A286" s="53" t="n"/>
      <c r="B286" s="54">
        <f>IF(A286="","",YEAR(A286)&amp;" Q"&amp;ROUNDUP(MONTH(A286)/3,0))</f>
        <v/>
      </c>
      <c r="C286" s="55" t="n"/>
      <c r="D286" s="55" t="n"/>
      <c r="E286" s="55" t="n"/>
      <c r="F286" s="55" t="n"/>
      <c r="G286" s="56" t="n"/>
      <c r="H286" s="57" t="n"/>
      <c r="I286" s="58">
        <f>IF(G286="","",ROUND(G286*H286,2))</f>
        <v/>
      </c>
      <c r="J286" s="58">
        <f>IF(G286="","",G286+N(I286))</f>
        <v/>
      </c>
      <c r="K286" s="53" t="n"/>
      <c r="L286" s="54">
        <f>IF(G286="","",IF(OR(K286="",K286&gt;TODAY()),"Nog betalen","Betaald"))</f>
        <v/>
      </c>
    </row>
    <row r="287">
      <c r="A287" s="53" t="n"/>
      <c r="B287" s="54">
        <f>IF(A287="","",YEAR(A287)&amp;" Q"&amp;ROUNDUP(MONTH(A287)/3,0))</f>
        <v/>
      </c>
      <c r="C287" s="55" t="n"/>
      <c r="D287" s="55" t="n"/>
      <c r="E287" s="55" t="n"/>
      <c r="F287" s="55" t="n"/>
      <c r="G287" s="56" t="n"/>
      <c r="H287" s="57" t="n"/>
      <c r="I287" s="58">
        <f>IF(G287="","",ROUND(G287*H287,2))</f>
        <v/>
      </c>
      <c r="J287" s="58">
        <f>IF(G287="","",G287+N(I287))</f>
        <v/>
      </c>
      <c r="K287" s="53" t="n"/>
      <c r="L287" s="54">
        <f>IF(G287="","",IF(OR(K287="",K287&gt;TODAY()),"Nog betalen","Betaald"))</f>
        <v/>
      </c>
    </row>
    <row r="288">
      <c r="A288" s="53" t="n"/>
      <c r="B288" s="54">
        <f>IF(A288="","",YEAR(A288)&amp;" Q"&amp;ROUNDUP(MONTH(A288)/3,0))</f>
        <v/>
      </c>
      <c r="C288" s="55" t="n"/>
      <c r="D288" s="55" t="n"/>
      <c r="E288" s="55" t="n"/>
      <c r="F288" s="55" t="n"/>
      <c r="G288" s="56" t="n"/>
      <c r="H288" s="57" t="n"/>
      <c r="I288" s="58">
        <f>IF(G288="","",ROUND(G288*H288,2))</f>
        <v/>
      </c>
      <c r="J288" s="58">
        <f>IF(G288="","",G288+N(I288))</f>
        <v/>
      </c>
      <c r="K288" s="53" t="n"/>
      <c r="L288" s="54">
        <f>IF(G288="","",IF(OR(K288="",K288&gt;TODAY()),"Nog betalen","Betaald"))</f>
        <v/>
      </c>
    </row>
    <row r="289">
      <c r="A289" s="53" t="n"/>
      <c r="B289" s="54">
        <f>IF(A289="","",YEAR(A289)&amp;" Q"&amp;ROUNDUP(MONTH(A289)/3,0))</f>
        <v/>
      </c>
      <c r="C289" s="55" t="n"/>
      <c r="D289" s="55" t="n"/>
      <c r="E289" s="55" t="n"/>
      <c r="F289" s="55" t="n"/>
      <c r="G289" s="56" t="n"/>
      <c r="H289" s="57" t="n"/>
      <c r="I289" s="58">
        <f>IF(G289="","",ROUND(G289*H289,2))</f>
        <v/>
      </c>
      <c r="J289" s="58">
        <f>IF(G289="","",G289+N(I289))</f>
        <v/>
      </c>
      <c r="K289" s="53" t="n"/>
      <c r="L289" s="54">
        <f>IF(G289="","",IF(OR(K289="",K289&gt;TODAY()),"Nog betalen","Betaald"))</f>
        <v/>
      </c>
    </row>
    <row r="290">
      <c r="A290" s="53" t="n"/>
      <c r="B290" s="54">
        <f>IF(A290="","",YEAR(A290)&amp;" Q"&amp;ROUNDUP(MONTH(A290)/3,0))</f>
        <v/>
      </c>
      <c r="C290" s="55" t="n"/>
      <c r="D290" s="55" t="n"/>
      <c r="E290" s="55" t="n"/>
      <c r="F290" s="55" t="n"/>
      <c r="G290" s="56" t="n"/>
      <c r="H290" s="57" t="n"/>
      <c r="I290" s="58">
        <f>IF(G290="","",ROUND(G290*H290,2))</f>
        <v/>
      </c>
      <c r="J290" s="58">
        <f>IF(G290="","",G290+N(I290))</f>
        <v/>
      </c>
      <c r="K290" s="53" t="n"/>
      <c r="L290" s="54">
        <f>IF(G290="","",IF(OR(K290="",K290&gt;TODAY()),"Nog betalen","Betaald"))</f>
        <v/>
      </c>
    </row>
    <row r="291">
      <c r="A291" s="53" t="n"/>
      <c r="B291" s="54">
        <f>IF(A291="","",YEAR(A291)&amp;" Q"&amp;ROUNDUP(MONTH(A291)/3,0))</f>
        <v/>
      </c>
      <c r="C291" s="55" t="n"/>
      <c r="D291" s="55" t="n"/>
      <c r="E291" s="55" t="n"/>
      <c r="F291" s="55" t="n"/>
      <c r="G291" s="56" t="n"/>
      <c r="H291" s="57" t="n"/>
      <c r="I291" s="58">
        <f>IF(G291="","",ROUND(G291*H291,2))</f>
        <v/>
      </c>
      <c r="J291" s="58">
        <f>IF(G291="","",G291+N(I291))</f>
        <v/>
      </c>
      <c r="K291" s="53" t="n"/>
      <c r="L291" s="54">
        <f>IF(G291="","",IF(OR(K291="",K291&gt;TODAY()),"Nog betalen","Betaald"))</f>
        <v/>
      </c>
    </row>
    <row r="292">
      <c r="A292" s="53" t="n"/>
      <c r="B292" s="54">
        <f>IF(A292="","",YEAR(A292)&amp;" Q"&amp;ROUNDUP(MONTH(A292)/3,0))</f>
        <v/>
      </c>
      <c r="C292" s="55" t="n"/>
      <c r="D292" s="55" t="n"/>
      <c r="E292" s="55" t="n"/>
      <c r="F292" s="55" t="n"/>
      <c r="G292" s="56" t="n"/>
      <c r="H292" s="57" t="n"/>
      <c r="I292" s="58">
        <f>IF(G292="","",ROUND(G292*H292,2))</f>
        <v/>
      </c>
      <c r="J292" s="58">
        <f>IF(G292="","",G292+N(I292))</f>
        <v/>
      </c>
      <c r="K292" s="53" t="n"/>
      <c r="L292" s="54">
        <f>IF(G292="","",IF(OR(K292="",K292&gt;TODAY()),"Nog betalen","Betaald"))</f>
        <v/>
      </c>
    </row>
    <row r="293">
      <c r="A293" s="53" t="n"/>
      <c r="B293" s="54">
        <f>IF(A293="","",YEAR(A293)&amp;" Q"&amp;ROUNDUP(MONTH(A293)/3,0))</f>
        <v/>
      </c>
      <c r="C293" s="55" t="n"/>
      <c r="D293" s="55" t="n"/>
      <c r="E293" s="55" t="n"/>
      <c r="F293" s="55" t="n"/>
      <c r="G293" s="56" t="n"/>
      <c r="H293" s="57" t="n"/>
      <c r="I293" s="58">
        <f>IF(G293="","",ROUND(G293*H293,2))</f>
        <v/>
      </c>
      <c r="J293" s="58">
        <f>IF(G293="","",G293+N(I293))</f>
        <v/>
      </c>
      <c r="K293" s="53" t="n"/>
      <c r="L293" s="54">
        <f>IF(G293="","",IF(OR(K293="",K293&gt;TODAY()),"Nog betalen","Betaald"))</f>
        <v/>
      </c>
    </row>
    <row r="294">
      <c r="A294" s="53" t="n"/>
      <c r="B294" s="54">
        <f>IF(A294="","",YEAR(A294)&amp;" Q"&amp;ROUNDUP(MONTH(A294)/3,0))</f>
        <v/>
      </c>
      <c r="C294" s="55" t="n"/>
      <c r="D294" s="55" t="n"/>
      <c r="E294" s="55" t="n"/>
      <c r="F294" s="55" t="n"/>
      <c r="G294" s="56" t="n"/>
      <c r="H294" s="57" t="n"/>
      <c r="I294" s="58">
        <f>IF(G294="","",ROUND(G294*H294,2))</f>
        <v/>
      </c>
      <c r="J294" s="58">
        <f>IF(G294="","",G294+N(I294))</f>
        <v/>
      </c>
      <c r="K294" s="53" t="n"/>
      <c r="L294" s="54">
        <f>IF(G294="","",IF(OR(K294="",K294&gt;TODAY()),"Nog betalen","Betaald"))</f>
        <v/>
      </c>
    </row>
    <row r="295">
      <c r="A295" s="53" t="n"/>
      <c r="B295" s="54">
        <f>IF(A295="","",YEAR(A295)&amp;" Q"&amp;ROUNDUP(MONTH(A295)/3,0))</f>
        <v/>
      </c>
      <c r="C295" s="55" t="n"/>
      <c r="D295" s="55" t="n"/>
      <c r="E295" s="55" t="n"/>
      <c r="F295" s="55" t="n"/>
      <c r="G295" s="56" t="n"/>
      <c r="H295" s="57" t="n"/>
      <c r="I295" s="58">
        <f>IF(G295="","",ROUND(G295*H295,2))</f>
        <v/>
      </c>
      <c r="J295" s="58">
        <f>IF(G295="","",G295+N(I295))</f>
        <v/>
      </c>
      <c r="K295" s="53" t="n"/>
      <c r="L295" s="54">
        <f>IF(G295="","",IF(OR(K295="",K295&gt;TODAY()),"Nog betalen","Betaald"))</f>
        <v/>
      </c>
    </row>
    <row r="296">
      <c r="A296" s="53" t="n"/>
      <c r="B296" s="54">
        <f>IF(A296="","",YEAR(A296)&amp;" Q"&amp;ROUNDUP(MONTH(A296)/3,0))</f>
        <v/>
      </c>
      <c r="C296" s="55" t="n"/>
      <c r="D296" s="55" t="n"/>
      <c r="E296" s="55" t="n"/>
      <c r="F296" s="55" t="n"/>
      <c r="G296" s="56" t="n"/>
      <c r="H296" s="57" t="n"/>
      <c r="I296" s="58">
        <f>IF(G296="","",ROUND(G296*H296,2))</f>
        <v/>
      </c>
      <c r="J296" s="58">
        <f>IF(G296="","",G296+N(I296))</f>
        <v/>
      </c>
      <c r="K296" s="53" t="n"/>
      <c r="L296" s="54">
        <f>IF(G296="","",IF(OR(K296="",K296&gt;TODAY()),"Nog betalen","Betaald"))</f>
        <v/>
      </c>
    </row>
    <row r="297">
      <c r="A297" s="53" t="n"/>
      <c r="B297" s="54">
        <f>IF(A297="","",YEAR(A297)&amp;" Q"&amp;ROUNDUP(MONTH(A297)/3,0))</f>
        <v/>
      </c>
      <c r="C297" s="55" t="n"/>
      <c r="D297" s="55" t="n"/>
      <c r="E297" s="55" t="n"/>
      <c r="F297" s="55" t="n"/>
      <c r="G297" s="56" t="n"/>
      <c r="H297" s="57" t="n"/>
      <c r="I297" s="58">
        <f>IF(G297="","",ROUND(G297*H297,2))</f>
        <v/>
      </c>
      <c r="J297" s="58">
        <f>IF(G297="","",G297+N(I297))</f>
        <v/>
      </c>
      <c r="K297" s="53" t="n"/>
      <c r="L297" s="54">
        <f>IF(G297="","",IF(OR(K297="",K297&gt;TODAY()),"Nog betalen","Betaald"))</f>
        <v/>
      </c>
    </row>
    <row r="298">
      <c r="A298" s="53" t="n"/>
      <c r="B298" s="54">
        <f>IF(A298="","",YEAR(A298)&amp;" Q"&amp;ROUNDUP(MONTH(A298)/3,0))</f>
        <v/>
      </c>
      <c r="C298" s="55" t="n"/>
      <c r="D298" s="55" t="n"/>
      <c r="E298" s="55" t="n"/>
      <c r="F298" s="55" t="n"/>
      <c r="G298" s="56" t="n"/>
      <c r="H298" s="57" t="n"/>
      <c r="I298" s="58">
        <f>IF(G298="","",ROUND(G298*H298,2))</f>
        <v/>
      </c>
      <c r="J298" s="58">
        <f>IF(G298="","",G298+N(I298))</f>
        <v/>
      </c>
      <c r="K298" s="53" t="n"/>
      <c r="L298" s="54">
        <f>IF(G298="","",IF(OR(K298="",K298&gt;TODAY()),"Nog betalen","Betaald"))</f>
        <v/>
      </c>
    </row>
    <row r="299">
      <c r="A299" s="53" t="n"/>
      <c r="B299" s="54">
        <f>IF(A299="","",YEAR(A299)&amp;" Q"&amp;ROUNDUP(MONTH(A299)/3,0))</f>
        <v/>
      </c>
      <c r="C299" s="55" t="n"/>
      <c r="D299" s="55" t="n"/>
      <c r="E299" s="55" t="n"/>
      <c r="F299" s="55" t="n"/>
      <c r="G299" s="56" t="n"/>
      <c r="H299" s="57" t="n"/>
      <c r="I299" s="58">
        <f>IF(G299="","",ROUND(G299*H299,2))</f>
        <v/>
      </c>
      <c r="J299" s="58">
        <f>IF(G299="","",G299+N(I299))</f>
        <v/>
      </c>
      <c r="K299" s="53" t="n"/>
      <c r="L299" s="54">
        <f>IF(G299="","",IF(OR(K299="",K299&gt;TODAY()),"Nog betalen","Betaald"))</f>
        <v/>
      </c>
    </row>
    <row r="300">
      <c r="A300" s="53" t="n"/>
      <c r="B300" s="54">
        <f>IF(A300="","",YEAR(A300)&amp;" Q"&amp;ROUNDUP(MONTH(A300)/3,0))</f>
        <v/>
      </c>
      <c r="C300" s="55" t="n"/>
      <c r="D300" s="55" t="n"/>
      <c r="E300" s="55" t="n"/>
      <c r="F300" s="55" t="n"/>
      <c r="G300" s="56" t="n"/>
      <c r="H300" s="57" t="n"/>
      <c r="I300" s="58">
        <f>IF(G300="","",ROUND(G300*H300,2))</f>
        <v/>
      </c>
      <c r="J300" s="58">
        <f>IF(G300="","",G300+N(I300))</f>
        <v/>
      </c>
      <c r="K300" s="53" t="n"/>
      <c r="L300" s="54">
        <f>IF(G300="","",IF(OR(K300="",K300&gt;TODAY()),"Nog betalen","Betaald"))</f>
        <v/>
      </c>
    </row>
    <row r="301">
      <c r="A301" s="53" t="n"/>
      <c r="B301" s="54">
        <f>IF(A301="","",YEAR(A301)&amp;" Q"&amp;ROUNDUP(MONTH(A301)/3,0))</f>
        <v/>
      </c>
      <c r="C301" s="55" t="n"/>
      <c r="D301" s="55" t="n"/>
      <c r="E301" s="55" t="n"/>
      <c r="F301" s="55" t="n"/>
      <c r="G301" s="56" t="n"/>
      <c r="H301" s="57" t="n"/>
      <c r="I301" s="58">
        <f>IF(G301="","",ROUND(G301*H301,2))</f>
        <v/>
      </c>
      <c r="J301" s="58">
        <f>IF(G301="","",G301+N(I301))</f>
        <v/>
      </c>
      <c r="K301" s="53" t="n"/>
      <c r="L301" s="54">
        <f>IF(G301="","",IF(OR(K301="",K301&gt;TODAY()),"Nog betalen","Betaald"))</f>
        <v/>
      </c>
    </row>
    <row r="302">
      <c r="A302" s="53" t="n"/>
      <c r="B302" s="54">
        <f>IF(A302="","",YEAR(A302)&amp;" Q"&amp;ROUNDUP(MONTH(A302)/3,0))</f>
        <v/>
      </c>
      <c r="C302" s="55" t="n"/>
      <c r="D302" s="55" t="n"/>
      <c r="E302" s="55" t="n"/>
      <c r="F302" s="55" t="n"/>
      <c r="G302" s="56" t="n"/>
      <c r="H302" s="57" t="n"/>
      <c r="I302" s="58">
        <f>IF(G302="","",ROUND(G302*H302,2))</f>
        <v/>
      </c>
      <c r="J302" s="58">
        <f>IF(G302="","",G302+N(I302))</f>
        <v/>
      </c>
      <c r="K302" s="53" t="n"/>
      <c r="L302" s="54">
        <f>IF(G302="","",IF(OR(K302="",K302&gt;TODAY()),"Nog betalen","Betaald"))</f>
        <v/>
      </c>
    </row>
    <row r="303">
      <c r="A303" s="53" t="n"/>
      <c r="B303" s="54">
        <f>IF(A303="","",YEAR(A303)&amp;" Q"&amp;ROUNDUP(MONTH(A303)/3,0))</f>
        <v/>
      </c>
      <c r="C303" s="55" t="n"/>
      <c r="D303" s="55" t="n"/>
      <c r="E303" s="55" t="n"/>
      <c r="F303" s="55" t="n"/>
      <c r="G303" s="56" t="n"/>
      <c r="H303" s="57" t="n"/>
      <c r="I303" s="58">
        <f>IF(G303="","",ROUND(G303*H303,2))</f>
        <v/>
      </c>
      <c r="J303" s="58">
        <f>IF(G303="","",G303+N(I303))</f>
        <v/>
      </c>
      <c r="K303" s="53" t="n"/>
      <c r="L303" s="54">
        <f>IF(G303="","",IF(OR(K303="",K303&gt;TODAY()),"Nog betalen","Betaald"))</f>
        <v/>
      </c>
    </row>
    <row r="304">
      <c r="A304" s="53" t="n"/>
      <c r="B304" s="54">
        <f>IF(A304="","",YEAR(A304)&amp;" Q"&amp;ROUNDUP(MONTH(A304)/3,0))</f>
        <v/>
      </c>
      <c r="C304" s="55" t="n"/>
      <c r="D304" s="55" t="n"/>
      <c r="E304" s="55" t="n"/>
      <c r="F304" s="55" t="n"/>
      <c r="G304" s="56" t="n"/>
      <c r="H304" s="57" t="n"/>
      <c r="I304" s="58">
        <f>IF(G304="","",ROUND(G304*H304,2))</f>
        <v/>
      </c>
      <c r="J304" s="58">
        <f>IF(G304="","",G304+N(I304))</f>
        <v/>
      </c>
      <c r="K304" s="53" t="n"/>
      <c r="L304" s="54">
        <f>IF(G304="","",IF(OR(K304="",K304&gt;TODAY()),"Nog betalen","Betaald"))</f>
        <v/>
      </c>
    </row>
    <row r="305">
      <c r="A305" s="53" t="n"/>
      <c r="B305" s="54">
        <f>IF(A305="","",YEAR(A305)&amp;" Q"&amp;ROUNDUP(MONTH(A305)/3,0))</f>
        <v/>
      </c>
      <c r="C305" s="55" t="n"/>
      <c r="D305" s="55" t="n"/>
      <c r="E305" s="55" t="n"/>
      <c r="F305" s="55" t="n"/>
      <c r="G305" s="56" t="n"/>
      <c r="H305" s="57" t="n"/>
      <c r="I305" s="58">
        <f>IF(G305="","",ROUND(G305*H305,2))</f>
        <v/>
      </c>
      <c r="J305" s="58">
        <f>IF(G305="","",G305+N(I305))</f>
        <v/>
      </c>
      <c r="K305" s="53" t="n"/>
      <c r="L305" s="54">
        <f>IF(G305="","",IF(OR(K305="",K305&gt;TODAY()),"Nog betalen","Betaald"))</f>
        <v/>
      </c>
    </row>
    <row r="306">
      <c r="A306" s="53" t="n"/>
      <c r="B306" s="54">
        <f>IF(A306="","",YEAR(A306)&amp;" Q"&amp;ROUNDUP(MONTH(A306)/3,0))</f>
        <v/>
      </c>
      <c r="C306" s="55" t="n"/>
      <c r="D306" s="55" t="n"/>
      <c r="E306" s="55" t="n"/>
      <c r="F306" s="55" t="n"/>
      <c r="G306" s="56" t="n"/>
      <c r="H306" s="57" t="n"/>
      <c r="I306" s="58">
        <f>IF(G306="","",ROUND(G306*H306,2))</f>
        <v/>
      </c>
      <c r="J306" s="58">
        <f>IF(G306="","",G306+N(I306))</f>
        <v/>
      </c>
      <c r="K306" s="53" t="n"/>
      <c r="L306" s="54">
        <f>IF(G306="","",IF(OR(K306="",K306&gt;TODAY()),"Nog betalen","Betaald"))</f>
        <v/>
      </c>
    </row>
    <row r="307">
      <c r="A307" s="53" t="n"/>
      <c r="B307" s="54">
        <f>IF(A307="","",YEAR(A307)&amp;" Q"&amp;ROUNDUP(MONTH(A307)/3,0))</f>
        <v/>
      </c>
      <c r="C307" s="55" t="n"/>
      <c r="D307" s="55" t="n"/>
      <c r="E307" s="55" t="n"/>
      <c r="F307" s="55" t="n"/>
      <c r="G307" s="56" t="n"/>
      <c r="H307" s="57" t="n"/>
      <c r="I307" s="58">
        <f>IF(G307="","",ROUND(G307*H307,2))</f>
        <v/>
      </c>
      <c r="J307" s="58">
        <f>IF(G307="","",G307+N(I307))</f>
        <v/>
      </c>
      <c r="K307" s="53" t="n"/>
      <c r="L307" s="54">
        <f>IF(G307="","",IF(OR(K307="",K307&gt;TODAY()),"Nog betalen","Betaald"))</f>
        <v/>
      </c>
    </row>
    <row r="308">
      <c r="A308" s="53" t="n"/>
      <c r="B308" s="54">
        <f>IF(A308="","",YEAR(A308)&amp;" Q"&amp;ROUNDUP(MONTH(A308)/3,0))</f>
        <v/>
      </c>
      <c r="C308" s="55" t="n"/>
      <c r="D308" s="55" t="n"/>
      <c r="E308" s="55" t="n"/>
      <c r="F308" s="55" t="n"/>
      <c r="G308" s="56" t="n"/>
      <c r="H308" s="57" t="n"/>
      <c r="I308" s="58">
        <f>IF(G308="","",ROUND(G308*H308,2))</f>
        <v/>
      </c>
      <c r="J308" s="58">
        <f>IF(G308="","",G308+N(I308))</f>
        <v/>
      </c>
      <c r="K308" s="53" t="n"/>
      <c r="L308" s="54">
        <f>IF(G308="","",IF(OR(K308="",K308&gt;TODAY()),"Nog betalen","Betaald"))</f>
        <v/>
      </c>
    </row>
    <row r="309">
      <c r="A309" s="53" t="n"/>
      <c r="B309" s="54">
        <f>IF(A309="","",YEAR(A309)&amp;" Q"&amp;ROUNDUP(MONTH(A309)/3,0))</f>
        <v/>
      </c>
      <c r="C309" s="55" t="n"/>
      <c r="D309" s="55" t="n"/>
      <c r="E309" s="55" t="n"/>
      <c r="F309" s="55" t="n"/>
      <c r="G309" s="56" t="n"/>
      <c r="H309" s="57" t="n"/>
      <c r="I309" s="58">
        <f>IF(G309="","",ROUND(G309*H309,2))</f>
        <v/>
      </c>
      <c r="J309" s="58">
        <f>IF(G309="","",G309+N(I309))</f>
        <v/>
      </c>
      <c r="K309" s="53" t="n"/>
      <c r="L309" s="54">
        <f>IF(G309="","",IF(OR(K309="",K309&gt;TODAY()),"Nog betalen","Betaald"))</f>
        <v/>
      </c>
    </row>
    <row r="310">
      <c r="A310" s="53" t="n"/>
      <c r="B310" s="54">
        <f>IF(A310="","",YEAR(A310)&amp;" Q"&amp;ROUNDUP(MONTH(A310)/3,0))</f>
        <v/>
      </c>
      <c r="C310" s="55" t="n"/>
      <c r="D310" s="55" t="n"/>
      <c r="E310" s="55" t="n"/>
      <c r="F310" s="55" t="n"/>
      <c r="G310" s="56" t="n"/>
      <c r="H310" s="57" t="n"/>
      <c r="I310" s="58">
        <f>IF(G310="","",ROUND(G310*H310,2))</f>
        <v/>
      </c>
      <c r="J310" s="58">
        <f>IF(G310="","",G310+N(I310))</f>
        <v/>
      </c>
      <c r="K310" s="53" t="n"/>
      <c r="L310" s="54">
        <f>IF(G310="","",IF(OR(K310="",K310&gt;TODAY()),"Nog betalen","Betaald"))</f>
        <v/>
      </c>
    </row>
    <row r="311">
      <c r="A311" s="53" t="n"/>
      <c r="B311" s="54">
        <f>IF(A311="","",YEAR(A311)&amp;" Q"&amp;ROUNDUP(MONTH(A311)/3,0))</f>
        <v/>
      </c>
      <c r="C311" s="55" t="n"/>
      <c r="D311" s="55" t="n"/>
      <c r="E311" s="55" t="n"/>
      <c r="F311" s="55" t="n"/>
      <c r="G311" s="56" t="n"/>
      <c r="H311" s="57" t="n"/>
      <c r="I311" s="58">
        <f>IF(G311="","",ROUND(G311*H311,2))</f>
        <v/>
      </c>
      <c r="J311" s="58">
        <f>IF(G311="","",G311+N(I311))</f>
        <v/>
      </c>
      <c r="K311" s="53" t="n"/>
      <c r="L311" s="54">
        <f>IF(G311="","",IF(OR(K311="",K311&gt;TODAY()),"Nog betalen","Betaald"))</f>
        <v/>
      </c>
    </row>
    <row r="312">
      <c r="A312" s="53" t="n"/>
      <c r="B312" s="54">
        <f>IF(A312="","",YEAR(A312)&amp;" Q"&amp;ROUNDUP(MONTH(A312)/3,0))</f>
        <v/>
      </c>
      <c r="C312" s="55" t="n"/>
      <c r="D312" s="55" t="n"/>
      <c r="E312" s="55" t="n"/>
      <c r="F312" s="55" t="n"/>
      <c r="G312" s="56" t="n"/>
      <c r="H312" s="57" t="n"/>
      <c r="I312" s="58">
        <f>IF(G312="","",ROUND(G312*H312,2))</f>
        <v/>
      </c>
      <c r="J312" s="58">
        <f>IF(G312="","",G312+N(I312))</f>
        <v/>
      </c>
      <c r="K312" s="53" t="n"/>
      <c r="L312" s="54">
        <f>IF(G312="","",IF(OR(K312="",K312&gt;TODAY()),"Nog betalen","Betaald"))</f>
        <v/>
      </c>
    </row>
    <row r="313">
      <c r="A313" s="53" t="n"/>
      <c r="B313" s="54">
        <f>IF(A313="","",YEAR(A313)&amp;" Q"&amp;ROUNDUP(MONTH(A313)/3,0))</f>
        <v/>
      </c>
      <c r="C313" s="55" t="n"/>
      <c r="D313" s="55" t="n"/>
      <c r="E313" s="55" t="n"/>
      <c r="F313" s="55" t="n"/>
      <c r="G313" s="56" t="n"/>
      <c r="H313" s="57" t="n"/>
      <c r="I313" s="58">
        <f>IF(G313="","",ROUND(G313*H313,2))</f>
        <v/>
      </c>
      <c r="J313" s="58">
        <f>IF(G313="","",G313+N(I313))</f>
        <v/>
      </c>
      <c r="K313" s="53" t="n"/>
      <c r="L313" s="54">
        <f>IF(G313="","",IF(OR(K313="",K313&gt;TODAY()),"Nog betalen","Betaald"))</f>
        <v/>
      </c>
    </row>
    <row r="314">
      <c r="A314" s="53" t="n"/>
      <c r="B314" s="54">
        <f>IF(A314="","",YEAR(A314)&amp;" Q"&amp;ROUNDUP(MONTH(A314)/3,0))</f>
        <v/>
      </c>
      <c r="C314" s="55" t="n"/>
      <c r="D314" s="55" t="n"/>
      <c r="E314" s="55" t="n"/>
      <c r="F314" s="55" t="n"/>
      <c r="G314" s="56" t="n"/>
      <c r="H314" s="57" t="n"/>
      <c r="I314" s="58">
        <f>IF(G314="","",ROUND(G314*H314,2))</f>
        <v/>
      </c>
      <c r="J314" s="58">
        <f>IF(G314="","",G314+N(I314))</f>
        <v/>
      </c>
      <c r="K314" s="53" t="n"/>
      <c r="L314" s="54">
        <f>IF(G314="","",IF(OR(K314="",K314&gt;TODAY()),"Nog betalen","Betaald"))</f>
        <v/>
      </c>
    </row>
    <row r="315">
      <c r="A315" s="53" t="n"/>
      <c r="B315" s="54">
        <f>IF(A315="","",YEAR(A315)&amp;" Q"&amp;ROUNDUP(MONTH(A315)/3,0))</f>
        <v/>
      </c>
      <c r="C315" s="55" t="n"/>
      <c r="D315" s="55" t="n"/>
      <c r="E315" s="55" t="n"/>
      <c r="F315" s="55" t="n"/>
      <c r="G315" s="56" t="n"/>
      <c r="H315" s="57" t="n"/>
      <c r="I315" s="58">
        <f>IF(G315="","",ROUND(G315*H315,2))</f>
        <v/>
      </c>
      <c r="J315" s="58">
        <f>IF(G315="","",G315+N(I315))</f>
        <v/>
      </c>
      <c r="K315" s="53" t="n"/>
      <c r="L315" s="54">
        <f>IF(G315="","",IF(OR(K315="",K315&gt;TODAY()),"Nog betalen","Betaald"))</f>
        <v/>
      </c>
    </row>
    <row r="316">
      <c r="A316" s="53" t="n"/>
      <c r="B316" s="54">
        <f>IF(A316="","",YEAR(A316)&amp;" Q"&amp;ROUNDUP(MONTH(A316)/3,0))</f>
        <v/>
      </c>
      <c r="C316" s="55" t="n"/>
      <c r="D316" s="55" t="n"/>
      <c r="E316" s="55" t="n"/>
      <c r="F316" s="55" t="n"/>
      <c r="G316" s="56" t="n"/>
      <c r="H316" s="57" t="n"/>
      <c r="I316" s="58">
        <f>IF(G316="","",ROUND(G316*H316,2))</f>
        <v/>
      </c>
      <c r="J316" s="58">
        <f>IF(G316="","",G316+N(I316))</f>
        <v/>
      </c>
      <c r="K316" s="53" t="n"/>
      <c r="L316" s="54">
        <f>IF(G316="","",IF(OR(K316="",K316&gt;TODAY()),"Nog betalen","Betaald"))</f>
        <v/>
      </c>
    </row>
    <row r="317">
      <c r="A317" s="53" t="n"/>
      <c r="B317" s="54">
        <f>IF(A317="","",YEAR(A317)&amp;" Q"&amp;ROUNDUP(MONTH(A317)/3,0))</f>
        <v/>
      </c>
      <c r="C317" s="55" t="n"/>
      <c r="D317" s="55" t="n"/>
      <c r="E317" s="55" t="n"/>
      <c r="F317" s="55" t="n"/>
      <c r="G317" s="56" t="n"/>
      <c r="H317" s="57" t="n"/>
      <c r="I317" s="58">
        <f>IF(G317="","",ROUND(G317*H317,2))</f>
        <v/>
      </c>
      <c r="J317" s="58">
        <f>IF(G317="","",G317+N(I317))</f>
        <v/>
      </c>
      <c r="K317" s="53" t="n"/>
      <c r="L317" s="54">
        <f>IF(G317="","",IF(OR(K317="",K317&gt;TODAY()),"Nog betalen","Betaald"))</f>
        <v/>
      </c>
    </row>
    <row r="318">
      <c r="A318" s="53" t="n"/>
      <c r="B318" s="54">
        <f>IF(A318="","",YEAR(A318)&amp;" Q"&amp;ROUNDUP(MONTH(A318)/3,0))</f>
        <v/>
      </c>
      <c r="C318" s="55" t="n"/>
      <c r="D318" s="55" t="n"/>
      <c r="E318" s="55" t="n"/>
      <c r="F318" s="55" t="n"/>
      <c r="G318" s="56" t="n"/>
      <c r="H318" s="57" t="n"/>
      <c r="I318" s="58">
        <f>IF(G318="","",ROUND(G318*H318,2))</f>
        <v/>
      </c>
      <c r="J318" s="58">
        <f>IF(G318="","",G318+N(I318))</f>
        <v/>
      </c>
      <c r="K318" s="53" t="n"/>
      <c r="L318" s="54">
        <f>IF(G318="","",IF(OR(K318="",K318&gt;TODAY()),"Nog betalen","Betaald"))</f>
        <v/>
      </c>
    </row>
    <row r="319">
      <c r="A319" s="53" t="n"/>
      <c r="B319" s="54">
        <f>IF(A319="","",YEAR(A319)&amp;" Q"&amp;ROUNDUP(MONTH(A319)/3,0))</f>
        <v/>
      </c>
      <c r="C319" s="55" t="n"/>
      <c r="D319" s="55" t="n"/>
      <c r="E319" s="55" t="n"/>
      <c r="F319" s="55" t="n"/>
      <c r="G319" s="56" t="n"/>
      <c r="H319" s="57" t="n"/>
      <c r="I319" s="58">
        <f>IF(G319="","",ROUND(G319*H319,2))</f>
        <v/>
      </c>
      <c r="J319" s="58">
        <f>IF(G319="","",G319+N(I319))</f>
        <v/>
      </c>
      <c r="K319" s="53" t="n"/>
      <c r="L319" s="54">
        <f>IF(G319="","",IF(OR(K319="",K319&gt;TODAY()),"Nog betalen","Betaald"))</f>
        <v/>
      </c>
    </row>
    <row r="320">
      <c r="A320" s="53" t="n"/>
      <c r="B320" s="54">
        <f>IF(A320="","",YEAR(A320)&amp;" Q"&amp;ROUNDUP(MONTH(A320)/3,0))</f>
        <v/>
      </c>
      <c r="C320" s="55" t="n"/>
      <c r="D320" s="55" t="n"/>
      <c r="E320" s="55" t="n"/>
      <c r="F320" s="55" t="n"/>
      <c r="G320" s="56" t="n"/>
      <c r="H320" s="57" t="n"/>
      <c r="I320" s="58">
        <f>IF(G320="","",ROUND(G320*H320,2))</f>
        <v/>
      </c>
      <c r="J320" s="58">
        <f>IF(G320="","",G320+N(I320))</f>
        <v/>
      </c>
      <c r="K320" s="53" t="n"/>
      <c r="L320" s="54">
        <f>IF(G320="","",IF(OR(K320="",K320&gt;TODAY()),"Nog betalen","Betaald"))</f>
        <v/>
      </c>
    </row>
    <row r="321">
      <c r="A321" s="53" t="n"/>
      <c r="B321" s="54">
        <f>IF(A321="","",YEAR(A321)&amp;" Q"&amp;ROUNDUP(MONTH(A321)/3,0))</f>
        <v/>
      </c>
      <c r="C321" s="55" t="n"/>
      <c r="D321" s="55" t="n"/>
      <c r="E321" s="55" t="n"/>
      <c r="F321" s="55" t="n"/>
      <c r="G321" s="56" t="n"/>
      <c r="H321" s="57" t="n"/>
      <c r="I321" s="58">
        <f>IF(G321="","",ROUND(G321*H321,2))</f>
        <v/>
      </c>
      <c r="J321" s="58">
        <f>IF(G321="","",G321+N(I321))</f>
        <v/>
      </c>
      <c r="K321" s="53" t="n"/>
      <c r="L321" s="54">
        <f>IF(G321="","",IF(OR(K321="",K321&gt;TODAY()),"Nog betalen","Betaald"))</f>
        <v/>
      </c>
    </row>
    <row r="322">
      <c r="A322" s="53" t="n"/>
      <c r="B322" s="54">
        <f>IF(A322="","",YEAR(A322)&amp;" Q"&amp;ROUNDUP(MONTH(A322)/3,0))</f>
        <v/>
      </c>
      <c r="C322" s="55" t="n"/>
      <c r="D322" s="55" t="n"/>
      <c r="E322" s="55" t="n"/>
      <c r="F322" s="55" t="n"/>
      <c r="G322" s="56" t="n"/>
      <c r="H322" s="57" t="n"/>
      <c r="I322" s="58">
        <f>IF(G322="","",ROUND(G322*H322,2))</f>
        <v/>
      </c>
      <c r="J322" s="58">
        <f>IF(G322="","",G322+N(I322))</f>
        <v/>
      </c>
      <c r="K322" s="53" t="n"/>
      <c r="L322" s="54">
        <f>IF(G322="","",IF(OR(K322="",K322&gt;TODAY()),"Nog betalen","Betaald"))</f>
        <v/>
      </c>
    </row>
    <row r="323">
      <c r="A323" s="53" t="n"/>
      <c r="B323" s="54">
        <f>IF(A323="","",YEAR(A323)&amp;" Q"&amp;ROUNDUP(MONTH(A323)/3,0))</f>
        <v/>
      </c>
      <c r="C323" s="55" t="n"/>
      <c r="D323" s="55" t="n"/>
      <c r="E323" s="55" t="n"/>
      <c r="F323" s="55" t="n"/>
      <c r="G323" s="56" t="n"/>
      <c r="H323" s="57" t="n"/>
      <c r="I323" s="58">
        <f>IF(G323="","",ROUND(G323*H323,2))</f>
        <v/>
      </c>
      <c r="J323" s="58">
        <f>IF(G323="","",G323+N(I323))</f>
        <v/>
      </c>
      <c r="K323" s="53" t="n"/>
      <c r="L323" s="54">
        <f>IF(G323="","",IF(OR(K323="",K323&gt;TODAY()),"Nog betalen","Betaald"))</f>
        <v/>
      </c>
    </row>
    <row r="324">
      <c r="A324" s="53" t="n"/>
      <c r="B324" s="54">
        <f>IF(A324="","",YEAR(A324)&amp;" Q"&amp;ROUNDUP(MONTH(A324)/3,0))</f>
        <v/>
      </c>
      <c r="C324" s="55" t="n"/>
      <c r="D324" s="55" t="n"/>
      <c r="E324" s="55" t="n"/>
      <c r="F324" s="55" t="n"/>
      <c r="G324" s="56" t="n"/>
      <c r="H324" s="57" t="n"/>
      <c r="I324" s="58">
        <f>IF(G324="","",ROUND(G324*H324,2))</f>
        <v/>
      </c>
      <c r="J324" s="58">
        <f>IF(G324="","",G324+N(I324))</f>
        <v/>
      </c>
      <c r="K324" s="53" t="n"/>
      <c r="L324" s="54">
        <f>IF(G324="","",IF(OR(K324="",K324&gt;TODAY()),"Nog betalen","Betaald"))</f>
        <v/>
      </c>
    </row>
    <row r="325">
      <c r="A325" s="53" t="n"/>
      <c r="B325" s="54">
        <f>IF(A325="","",YEAR(A325)&amp;" Q"&amp;ROUNDUP(MONTH(A325)/3,0))</f>
        <v/>
      </c>
      <c r="C325" s="55" t="n"/>
      <c r="D325" s="55" t="n"/>
      <c r="E325" s="55" t="n"/>
      <c r="F325" s="55" t="n"/>
      <c r="G325" s="56" t="n"/>
      <c r="H325" s="57" t="n"/>
      <c r="I325" s="58">
        <f>IF(G325="","",ROUND(G325*H325,2))</f>
        <v/>
      </c>
      <c r="J325" s="58">
        <f>IF(G325="","",G325+N(I325))</f>
        <v/>
      </c>
      <c r="K325" s="53" t="n"/>
      <c r="L325" s="54">
        <f>IF(G325="","",IF(OR(K325="",K325&gt;TODAY()),"Nog betalen","Betaald"))</f>
        <v/>
      </c>
    </row>
    <row r="326">
      <c r="A326" s="53" t="n"/>
      <c r="B326" s="54">
        <f>IF(A326="","",YEAR(A326)&amp;" Q"&amp;ROUNDUP(MONTH(A326)/3,0))</f>
        <v/>
      </c>
      <c r="C326" s="55" t="n"/>
      <c r="D326" s="55" t="n"/>
      <c r="E326" s="55" t="n"/>
      <c r="F326" s="55" t="n"/>
      <c r="G326" s="56" t="n"/>
      <c r="H326" s="57" t="n"/>
      <c r="I326" s="58">
        <f>IF(G326="","",ROUND(G326*H326,2))</f>
        <v/>
      </c>
      <c r="J326" s="58">
        <f>IF(G326="","",G326+N(I326))</f>
        <v/>
      </c>
      <c r="K326" s="53" t="n"/>
      <c r="L326" s="54">
        <f>IF(G326="","",IF(OR(K326="",K326&gt;TODAY()),"Nog betalen","Betaald"))</f>
        <v/>
      </c>
    </row>
    <row r="327">
      <c r="A327" s="53" t="n"/>
      <c r="B327" s="54">
        <f>IF(A327="","",YEAR(A327)&amp;" Q"&amp;ROUNDUP(MONTH(A327)/3,0))</f>
        <v/>
      </c>
      <c r="C327" s="55" t="n"/>
      <c r="D327" s="55" t="n"/>
      <c r="E327" s="55" t="n"/>
      <c r="F327" s="55" t="n"/>
      <c r="G327" s="56" t="n"/>
      <c r="H327" s="57" t="n"/>
      <c r="I327" s="58">
        <f>IF(G327="","",ROUND(G327*H327,2))</f>
        <v/>
      </c>
      <c r="J327" s="58">
        <f>IF(G327="","",G327+N(I327))</f>
        <v/>
      </c>
      <c r="K327" s="53" t="n"/>
      <c r="L327" s="54">
        <f>IF(G327="","",IF(OR(K327="",K327&gt;TODAY()),"Nog betalen","Betaald"))</f>
        <v/>
      </c>
    </row>
    <row r="328">
      <c r="A328" s="53" t="n"/>
      <c r="B328" s="54">
        <f>IF(A328="","",YEAR(A328)&amp;" Q"&amp;ROUNDUP(MONTH(A328)/3,0))</f>
        <v/>
      </c>
      <c r="C328" s="55" t="n"/>
      <c r="D328" s="55" t="n"/>
      <c r="E328" s="55" t="n"/>
      <c r="F328" s="55" t="n"/>
      <c r="G328" s="56" t="n"/>
      <c r="H328" s="57" t="n"/>
      <c r="I328" s="58">
        <f>IF(G328="","",ROUND(G328*H328,2))</f>
        <v/>
      </c>
      <c r="J328" s="58">
        <f>IF(G328="","",G328+N(I328))</f>
        <v/>
      </c>
      <c r="K328" s="53" t="n"/>
      <c r="L328" s="54">
        <f>IF(G328="","",IF(OR(K328="",K328&gt;TODAY()),"Nog betalen","Betaald"))</f>
        <v/>
      </c>
    </row>
    <row r="329">
      <c r="A329" s="53" t="n"/>
      <c r="B329" s="54">
        <f>IF(A329="","",YEAR(A329)&amp;" Q"&amp;ROUNDUP(MONTH(A329)/3,0))</f>
        <v/>
      </c>
      <c r="C329" s="55" t="n"/>
      <c r="D329" s="55" t="n"/>
      <c r="E329" s="55" t="n"/>
      <c r="F329" s="55" t="n"/>
      <c r="G329" s="56" t="n"/>
      <c r="H329" s="57" t="n"/>
      <c r="I329" s="58">
        <f>IF(G329="","",ROUND(G329*H329,2))</f>
        <v/>
      </c>
      <c r="J329" s="58">
        <f>IF(G329="","",G329+N(I329))</f>
        <v/>
      </c>
      <c r="K329" s="53" t="n"/>
      <c r="L329" s="54">
        <f>IF(G329="","",IF(OR(K329="",K329&gt;TODAY()),"Nog betalen","Betaald"))</f>
        <v/>
      </c>
    </row>
    <row r="330">
      <c r="A330" s="53" t="n"/>
      <c r="B330" s="54">
        <f>IF(A330="","",YEAR(A330)&amp;" Q"&amp;ROUNDUP(MONTH(A330)/3,0))</f>
        <v/>
      </c>
      <c r="C330" s="55" t="n"/>
      <c r="D330" s="55" t="n"/>
      <c r="E330" s="55" t="n"/>
      <c r="F330" s="55" t="n"/>
      <c r="G330" s="56" t="n"/>
      <c r="H330" s="57" t="n"/>
      <c r="I330" s="58">
        <f>IF(G330="","",ROUND(G330*H330,2))</f>
        <v/>
      </c>
      <c r="J330" s="58">
        <f>IF(G330="","",G330+N(I330))</f>
        <v/>
      </c>
      <c r="K330" s="53" t="n"/>
      <c r="L330" s="54">
        <f>IF(G330="","",IF(OR(K330="",K330&gt;TODAY()),"Nog betalen","Betaald"))</f>
        <v/>
      </c>
    </row>
    <row r="331">
      <c r="A331" s="53" t="n"/>
      <c r="B331" s="54">
        <f>IF(A331="","",YEAR(A331)&amp;" Q"&amp;ROUNDUP(MONTH(A331)/3,0))</f>
        <v/>
      </c>
      <c r="C331" s="55" t="n"/>
      <c r="D331" s="55" t="n"/>
      <c r="E331" s="55" t="n"/>
      <c r="F331" s="55" t="n"/>
      <c r="G331" s="56" t="n"/>
      <c r="H331" s="57" t="n"/>
      <c r="I331" s="58">
        <f>IF(G331="","",ROUND(G331*H331,2))</f>
        <v/>
      </c>
      <c r="J331" s="58">
        <f>IF(G331="","",G331+N(I331))</f>
        <v/>
      </c>
      <c r="K331" s="53" t="n"/>
      <c r="L331" s="54">
        <f>IF(G331="","",IF(OR(K331="",K331&gt;TODAY()),"Nog betalen","Betaald"))</f>
        <v/>
      </c>
    </row>
    <row r="332">
      <c r="A332" s="53" t="n"/>
      <c r="B332" s="54">
        <f>IF(A332="","",YEAR(A332)&amp;" Q"&amp;ROUNDUP(MONTH(A332)/3,0))</f>
        <v/>
      </c>
      <c r="C332" s="55" t="n"/>
      <c r="D332" s="55" t="n"/>
      <c r="E332" s="55" t="n"/>
      <c r="F332" s="55" t="n"/>
      <c r="G332" s="56" t="n"/>
      <c r="H332" s="57" t="n"/>
      <c r="I332" s="58">
        <f>IF(G332="","",ROUND(G332*H332,2))</f>
        <v/>
      </c>
      <c r="J332" s="58">
        <f>IF(G332="","",G332+N(I332))</f>
        <v/>
      </c>
      <c r="K332" s="53" t="n"/>
      <c r="L332" s="54">
        <f>IF(G332="","",IF(OR(K332="",K332&gt;TODAY()),"Nog betalen","Betaald"))</f>
        <v/>
      </c>
    </row>
    <row r="333">
      <c r="A333" s="53" t="n"/>
      <c r="B333" s="54">
        <f>IF(A333="","",YEAR(A333)&amp;" Q"&amp;ROUNDUP(MONTH(A333)/3,0))</f>
        <v/>
      </c>
      <c r="C333" s="55" t="n"/>
      <c r="D333" s="55" t="n"/>
      <c r="E333" s="55" t="n"/>
      <c r="F333" s="55" t="n"/>
      <c r="G333" s="56" t="n"/>
      <c r="H333" s="57" t="n"/>
      <c r="I333" s="58">
        <f>IF(G333="","",ROUND(G333*H333,2))</f>
        <v/>
      </c>
      <c r="J333" s="58">
        <f>IF(G333="","",G333+N(I333))</f>
        <v/>
      </c>
      <c r="K333" s="53" t="n"/>
      <c r="L333" s="54">
        <f>IF(G333="","",IF(OR(K333="",K333&gt;TODAY()),"Nog betalen","Betaald"))</f>
        <v/>
      </c>
    </row>
    <row r="334">
      <c r="A334" s="53" t="n"/>
      <c r="B334" s="54">
        <f>IF(A334="","",YEAR(A334)&amp;" Q"&amp;ROUNDUP(MONTH(A334)/3,0))</f>
        <v/>
      </c>
      <c r="C334" s="55" t="n"/>
      <c r="D334" s="55" t="n"/>
      <c r="E334" s="55" t="n"/>
      <c r="F334" s="55" t="n"/>
      <c r="G334" s="56" t="n"/>
      <c r="H334" s="57" t="n"/>
      <c r="I334" s="58">
        <f>IF(G334="","",ROUND(G334*H334,2))</f>
        <v/>
      </c>
      <c r="J334" s="58">
        <f>IF(G334="","",G334+N(I334))</f>
        <v/>
      </c>
      <c r="K334" s="53" t="n"/>
      <c r="L334" s="54">
        <f>IF(G334="","",IF(OR(K334="",K334&gt;TODAY()),"Nog betalen","Betaald"))</f>
        <v/>
      </c>
    </row>
    <row r="335">
      <c r="A335" s="53" t="n"/>
      <c r="B335" s="54">
        <f>IF(A335="","",YEAR(A335)&amp;" Q"&amp;ROUNDUP(MONTH(A335)/3,0))</f>
        <v/>
      </c>
      <c r="C335" s="55" t="n"/>
      <c r="D335" s="55" t="n"/>
      <c r="E335" s="55" t="n"/>
      <c r="F335" s="55" t="n"/>
      <c r="G335" s="56" t="n"/>
      <c r="H335" s="57" t="n"/>
      <c r="I335" s="58">
        <f>IF(G335="","",ROUND(G335*H335,2))</f>
        <v/>
      </c>
      <c r="J335" s="58">
        <f>IF(G335="","",G335+N(I335))</f>
        <v/>
      </c>
      <c r="K335" s="53" t="n"/>
      <c r="L335" s="54">
        <f>IF(G335="","",IF(OR(K335="",K335&gt;TODAY()),"Nog betalen","Betaald"))</f>
        <v/>
      </c>
    </row>
    <row r="336">
      <c r="A336" s="53" t="n"/>
      <c r="B336" s="54">
        <f>IF(A336="","",YEAR(A336)&amp;" Q"&amp;ROUNDUP(MONTH(A336)/3,0))</f>
        <v/>
      </c>
      <c r="C336" s="55" t="n"/>
      <c r="D336" s="55" t="n"/>
      <c r="E336" s="55" t="n"/>
      <c r="F336" s="55" t="n"/>
      <c r="G336" s="56" t="n"/>
      <c r="H336" s="57" t="n"/>
      <c r="I336" s="58">
        <f>IF(G336="","",ROUND(G336*H336,2))</f>
        <v/>
      </c>
      <c r="J336" s="58">
        <f>IF(G336="","",G336+N(I336))</f>
        <v/>
      </c>
      <c r="K336" s="53" t="n"/>
      <c r="L336" s="54">
        <f>IF(G336="","",IF(OR(K336="",K336&gt;TODAY()),"Nog betalen","Betaald"))</f>
        <v/>
      </c>
    </row>
    <row r="337">
      <c r="A337" s="53" t="n"/>
      <c r="B337" s="54">
        <f>IF(A337="","",YEAR(A337)&amp;" Q"&amp;ROUNDUP(MONTH(A337)/3,0))</f>
        <v/>
      </c>
      <c r="C337" s="55" t="n"/>
      <c r="D337" s="55" t="n"/>
      <c r="E337" s="55" t="n"/>
      <c r="F337" s="55" t="n"/>
      <c r="G337" s="56" t="n"/>
      <c r="H337" s="57" t="n"/>
      <c r="I337" s="58">
        <f>IF(G337="","",ROUND(G337*H337,2))</f>
        <v/>
      </c>
      <c r="J337" s="58">
        <f>IF(G337="","",G337+N(I337))</f>
        <v/>
      </c>
      <c r="K337" s="53" t="n"/>
      <c r="L337" s="54">
        <f>IF(G337="","",IF(OR(K337="",K337&gt;TODAY()),"Nog betalen","Betaald"))</f>
        <v/>
      </c>
    </row>
    <row r="338">
      <c r="A338" s="53" t="n"/>
      <c r="B338" s="54">
        <f>IF(A338="","",YEAR(A338)&amp;" Q"&amp;ROUNDUP(MONTH(A338)/3,0))</f>
        <v/>
      </c>
      <c r="C338" s="55" t="n"/>
      <c r="D338" s="55" t="n"/>
      <c r="E338" s="55" t="n"/>
      <c r="F338" s="55" t="n"/>
      <c r="G338" s="56" t="n"/>
      <c r="H338" s="57" t="n"/>
      <c r="I338" s="58">
        <f>IF(G338="","",ROUND(G338*H338,2))</f>
        <v/>
      </c>
      <c r="J338" s="58">
        <f>IF(G338="","",G338+N(I338))</f>
        <v/>
      </c>
      <c r="K338" s="53" t="n"/>
      <c r="L338" s="54">
        <f>IF(G338="","",IF(OR(K338="",K338&gt;TODAY()),"Nog betalen","Betaald"))</f>
        <v/>
      </c>
    </row>
    <row r="339">
      <c r="A339" s="53" t="n"/>
      <c r="B339" s="54">
        <f>IF(A339="","",YEAR(A339)&amp;" Q"&amp;ROUNDUP(MONTH(A339)/3,0))</f>
        <v/>
      </c>
      <c r="C339" s="55" t="n"/>
      <c r="D339" s="55" t="n"/>
      <c r="E339" s="55" t="n"/>
      <c r="F339" s="55" t="n"/>
      <c r="G339" s="56" t="n"/>
      <c r="H339" s="57" t="n"/>
      <c r="I339" s="58">
        <f>IF(G339="","",ROUND(G339*H339,2))</f>
        <v/>
      </c>
      <c r="J339" s="58">
        <f>IF(G339="","",G339+N(I339))</f>
        <v/>
      </c>
      <c r="K339" s="53" t="n"/>
      <c r="L339" s="54">
        <f>IF(G339="","",IF(OR(K339="",K339&gt;TODAY()),"Nog betalen","Betaald"))</f>
        <v/>
      </c>
    </row>
    <row r="340">
      <c r="A340" s="53" t="n"/>
      <c r="B340" s="54">
        <f>IF(A340="","",YEAR(A340)&amp;" Q"&amp;ROUNDUP(MONTH(A340)/3,0))</f>
        <v/>
      </c>
      <c r="C340" s="55" t="n"/>
      <c r="D340" s="55" t="n"/>
      <c r="E340" s="55" t="n"/>
      <c r="F340" s="55" t="n"/>
      <c r="G340" s="56" t="n"/>
      <c r="H340" s="57" t="n"/>
      <c r="I340" s="58">
        <f>IF(G340="","",ROUND(G340*H340,2))</f>
        <v/>
      </c>
      <c r="J340" s="58">
        <f>IF(G340="","",G340+N(I340))</f>
        <v/>
      </c>
      <c r="K340" s="53" t="n"/>
      <c r="L340" s="54">
        <f>IF(G340="","",IF(OR(K340="",K340&gt;TODAY()),"Nog betalen","Betaald"))</f>
        <v/>
      </c>
    </row>
    <row r="341">
      <c r="A341" s="53" t="n"/>
      <c r="B341" s="54">
        <f>IF(A341="","",YEAR(A341)&amp;" Q"&amp;ROUNDUP(MONTH(A341)/3,0))</f>
        <v/>
      </c>
      <c r="C341" s="55" t="n"/>
      <c r="D341" s="55" t="n"/>
      <c r="E341" s="55" t="n"/>
      <c r="F341" s="55" t="n"/>
      <c r="G341" s="56" t="n"/>
      <c r="H341" s="57" t="n"/>
      <c r="I341" s="58">
        <f>IF(G341="","",ROUND(G341*H341,2))</f>
        <v/>
      </c>
      <c r="J341" s="58">
        <f>IF(G341="","",G341+N(I341))</f>
        <v/>
      </c>
      <c r="K341" s="53" t="n"/>
      <c r="L341" s="54">
        <f>IF(G341="","",IF(OR(K341="",K341&gt;TODAY()),"Nog betalen","Betaald"))</f>
        <v/>
      </c>
    </row>
    <row r="342">
      <c r="A342" s="53" t="n"/>
      <c r="B342" s="54">
        <f>IF(A342="","",YEAR(A342)&amp;" Q"&amp;ROUNDUP(MONTH(A342)/3,0))</f>
        <v/>
      </c>
      <c r="C342" s="55" t="n"/>
      <c r="D342" s="55" t="n"/>
      <c r="E342" s="55" t="n"/>
      <c r="F342" s="55" t="n"/>
      <c r="G342" s="56" t="n"/>
      <c r="H342" s="57" t="n"/>
      <c r="I342" s="58">
        <f>IF(G342="","",ROUND(G342*H342,2))</f>
        <v/>
      </c>
      <c r="J342" s="58">
        <f>IF(G342="","",G342+N(I342))</f>
        <v/>
      </c>
      <c r="K342" s="53" t="n"/>
      <c r="L342" s="54">
        <f>IF(G342="","",IF(OR(K342="",K342&gt;TODAY()),"Nog betalen","Betaald"))</f>
        <v/>
      </c>
    </row>
    <row r="343">
      <c r="A343" s="53" t="n"/>
      <c r="B343" s="54">
        <f>IF(A343="","",YEAR(A343)&amp;" Q"&amp;ROUNDUP(MONTH(A343)/3,0))</f>
        <v/>
      </c>
      <c r="C343" s="55" t="n"/>
      <c r="D343" s="55" t="n"/>
      <c r="E343" s="55" t="n"/>
      <c r="F343" s="55" t="n"/>
      <c r="G343" s="56" t="n"/>
      <c r="H343" s="57" t="n"/>
      <c r="I343" s="58">
        <f>IF(G343="","",ROUND(G343*H343,2))</f>
        <v/>
      </c>
      <c r="J343" s="58">
        <f>IF(G343="","",G343+N(I343))</f>
        <v/>
      </c>
      <c r="K343" s="53" t="n"/>
      <c r="L343" s="54">
        <f>IF(G343="","",IF(OR(K343="",K343&gt;TODAY()),"Nog betalen","Betaald"))</f>
        <v/>
      </c>
    </row>
    <row r="344">
      <c r="A344" s="53" t="n"/>
      <c r="B344" s="54">
        <f>IF(A344="","",YEAR(A344)&amp;" Q"&amp;ROUNDUP(MONTH(A344)/3,0))</f>
        <v/>
      </c>
      <c r="C344" s="55" t="n"/>
      <c r="D344" s="55" t="n"/>
      <c r="E344" s="55" t="n"/>
      <c r="F344" s="55" t="n"/>
      <c r="G344" s="56" t="n"/>
      <c r="H344" s="57" t="n"/>
      <c r="I344" s="58">
        <f>IF(G344="","",ROUND(G344*H344,2))</f>
        <v/>
      </c>
      <c r="J344" s="58">
        <f>IF(G344="","",G344+N(I344))</f>
        <v/>
      </c>
      <c r="K344" s="53" t="n"/>
      <c r="L344" s="54">
        <f>IF(G344="","",IF(OR(K344="",K344&gt;TODAY()),"Nog betalen","Betaald"))</f>
        <v/>
      </c>
    </row>
    <row r="345">
      <c r="A345" s="53" t="n"/>
      <c r="B345" s="54">
        <f>IF(A345="","",YEAR(A345)&amp;" Q"&amp;ROUNDUP(MONTH(A345)/3,0))</f>
        <v/>
      </c>
      <c r="C345" s="55" t="n"/>
      <c r="D345" s="55" t="n"/>
      <c r="E345" s="55" t="n"/>
      <c r="F345" s="55" t="n"/>
      <c r="G345" s="56" t="n"/>
      <c r="H345" s="57" t="n"/>
      <c r="I345" s="58">
        <f>IF(G345="","",ROUND(G345*H345,2))</f>
        <v/>
      </c>
      <c r="J345" s="58">
        <f>IF(G345="","",G345+N(I345))</f>
        <v/>
      </c>
      <c r="K345" s="53" t="n"/>
      <c r="L345" s="54">
        <f>IF(G345="","",IF(OR(K345="",K345&gt;TODAY()),"Nog betalen","Betaald"))</f>
        <v/>
      </c>
    </row>
    <row r="346">
      <c r="A346" s="53" t="n"/>
      <c r="B346" s="54">
        <f>IF(A346="","",YEAR(A346)&amp;" Q"&amp;ROUNDUP(MONTH(A346)/3,0))</f>
        <v/>
      </c>
      <c r="C346" s="55" t="n"/>
      <c r="D346" s="55" t="n"/>
      <c r="E346" s="55" t="n"/>
      <c r="F346" s="55" t="n"/>
      <c r="G346" s="56" t="n"/>
      <c r="H346" s="57" t="n"/>
      <c r="I346" s="58">
        <f>IF(G346="","",ROUND(G346*H346,2))</f>
        <v/>
      </c>
      <c r="J346" s="58">
        <f>IF(G346="","",G346+N(I346))</f>
        <v/>
      </c>
      <c r="K346" s="53" t="n"/>
      <c r="L346" s="54">
        <f>IF(G346="","",IF(OR(K346="",K346&gt;TODAY()),"Nog betalen","Betaald"))</f>
        <v/>
      </c>
    </row>
    <row r="347">
      <c r="A347" s="53" t="n"/>
      <c r="B347" s="54">
        <f>IF(A347="","",YEAR(A347)&amp;" Q"&amp;ROUNDUP(MONTH(A347)/3,0))</f>
        <v/>
      </c>
      <c r="C347" s="55" t="n"/>
      <c r="D347" s="55" t="n"/>
      <c r="E347" s="55" t="n"/>
      <c r="F347" s="55" t="n"/>
      <c r="G347" s="56" t="n"/>
      <c r="H347" s="57" t="n"/>
      <c r="I347" s="58">
        <f>IF(G347="","",ROUND(G347*H347,2))</f>
        <v/>
      </c>
      <c r="J347" s="58">
        <f>IF(G347="","",G347+N(I347))</f>
        <v/>
      </c>
      <c r="K347" s="53" t="n"/>
      <c r="L347" s="54">
        <f>IF(G347="","",IF(OR(K347="",K347&gt;TODAY()),"Nog betalen","Betaald"))</f>
        <v/>
      </c>
    </row>
    <row r="348">
      <c r="A348" s="53" t="n"/>
      <c r="B348" s="54">
        <f>IF(A348="","",YEAR(A348)&amp;" Q"&amp;ROUNDUP(MONTH(A348)/3,0))</f>
        <v/>
      </c>
      <c r="C348" s="55" t="n"/>
      <c r="D348" s="55" t="n"/>
      <c r="E348" s="55" t="n"/>
      <c r="F348" s="55" t="n"/>
      <c r="G348" s="56" t="n"/>
      <c r="H348" s="57" t="n"/>
      <c r="I348" s="58">
        <f>IF(G348="","",ROUND(G348*H348,2))</f>
        <v/>
      </c>
      <c r="J348" s="58">
        <f>IF(G348="","",G348+N(I348))</f>
        <v/>
      </c>
      <c r="K348" s="53" t="n"/>
      <c r="L348" s="54">
        <f>IF(G348="","",IF(OR(K348="",K348&gt;TODAY()),"Nog betalen","Betaald"))</f>
        <v/>
      </c>
    </row>
    <row r="349">
      <c r="A349" s="53" t="n"/>
      <c r="B349" s="54">
        <f>IF(A349="","",YEAR(A349)&amp;" Q"&amp;ROUNDUP(MONTH(A349)/3,0))</f>
        <v/>
      </c>
      <c r="C349" s="55" t="n"/>
      <c r="D349" s="55" t="n"/>
      <c r="E349" s="55" t="n"/>
      <c r="F349" s="55" t="n"/>
      <c r="G349" s="56" t="n"/>
      <c r="H349" s="57" t="n"/>
      <c r="I349" s="58">
        <f>IF(G349="","",ROUND(G349*H349,2))</f>
        <v/>
      </c>
      <c r="J349" s="58">
        <f>IF(G349="","",G349+N(I349))</f>
        <v/>
      </c>
      <c r="K349" s="53" t="n"/>
      <c r="L349" s="54">
        <f>IF(G349="","",IF(OR(K349="",K349&gt;TODAY()),"Nog betalen","Betaald"))</f>
        <v/>
      </c>
    </row>
    <row r="350">
      <c r="A350" s="53" t="n"/>
      <c r="B350" s="54">
        <f>IF(A350="","",YEAR(A350)&amp;" Q"&amp;ROUNDUP(MONTH(A350)/3,0))</f>
        <v/>
      </c>
      <c r="C350" s="55" t="n"/>
      <c r="D350" s="55" t="n"/>
      <c r="E350" s="55" t="n"/>
      <c r="F350" s="55" t="n"/>
      <c r="G350" s="56" t="n"/>
      <c r="H350" s="57" t="n"/>
      <c r="I350" s="58">
        <f>IF(G350="","",ROUND(G350*H350,2))</f>
        <v/>
      </c>
      <c r="J350" s="58">
        <f>IF(G350="","",G350+N(I350))</f>
        <v/>
      </c>
      <c r="K350" s="53" t="n"/>
      <c r="L350" s="54">
        <f>IF(G350="","",IF(OR(K350="",K350&gt;TODAY()),"Nog betalen","Betaald"))</f>
        <v/>
      </c>
    </row>
    <row r="351">
      <c r="A351" s="53" t="n"/>
      <c r="B351" s="54">
        <f>IF(A351="","",YEAR(A351)&amp;" Q"&amp;ROUNDUP(MONTH(A351)/3,0))</f>
        <v/>
      </c>
      <c r="C351" s="55" t="n"/>
      <c r="D351" s="55" t="n"/>
      <c r="E351" s="55" t="n"/>
      <c r="F351" s="55" t="n"/>
      <c r="G351" s="56" t="n"/>
      <c r="H351" s="57" t="n"/>
      <c r="I351" s="58">
        <f>IF(G351="","",ROUND(G351*H351,2))</f>
        <v/>
      </c>
      <c r="J351" s="58">
        <f>IF(G351="","",G351+N(I351))</f>
        <v/>
      </c>
      <c r="K351" s="53" t="n"/>
      <c r="L351" s="54">
        <f>IF(G351="","",IF(OR(K351="",K351&gt;TODAY()),"Nog betalen","Betaald"))</f>
        <v/>
      </c>
    </row>
    <row r="352">
      <c r="A352" s="53" t="n"/>
      <c r="B352" s="54">
        <f>IF(A352="","",YEAR(A352)&amp;" Q"&amp;ROUNDUP(MONTH(A352)/3,0))</f>
        <v/>
      </c>
      <c r="C352" s="55" t="n"/>
      <c r="D352" s="55" t="n"/>
      <c r="E352" s="55" t="n"/>
      <c r="F352" s="55" t="n"/>
      <c r="G352" s="56" t="n"/>
      <c r="H352" s="57" t="n"/>
      <c r="I352" s="58">
        <f>IF(G352="","",ROUND(G352*H352,2))</f>
        <v/>
      </c>
      <c r="J352" s="58">
        <f>IF(G352="","",G352+N(I352))</f>
        <v/>
      </c>
      <c r="K352" s="53" t="n"/>
      <c r="L352" s="54">
        <f>IF(G352="","",IF(OR(K352="",K352&gt;TODAY()),"Nog betalen","Betaald"))</f>
        <v/>
      </c>
    </row>
    <row r="353">
      <c r="A353" s="53" t="n"/>
      <c r="B353" s="54">
        <f>IF(A353="","",YEAR(A353)&amp;" Q"&amp;ROUNDUP(MONTH(A353)/3,0))</f>
        <v/>
      </c>
      <c r="C353" s="55" t="n"/>
      <c r="D353" s="55" t="n"/>
      <c r="E353" s="55" t="n"/>
      <c r="F353" s="55" t="n"/>
      <c r="G353" s="56" t="n"/>
      <c r="H353" s="57" t="n"/>
      <c r="I353" s="58">
        <f>IF(G353="","",ROUND(G353*H353,2))</f>
        <v/>
      </c>
      <c r="J353" s="58">
        <f>IF(G353="","",G353+N(I353))</f>
        <v/>
      </c>
      <c r="K353" s="53" t="n"/>
      <c r="L353" s="54">
        <f>IF(G353="","",IF(OR(K353="",K353&gt;TODAY()),"Nog betalen","Betaald"))</f>
        <v/>
      </c>
    </row>
    <row r="354">
      <c r="A354" s="53" t="n"/>
      <c r="B354" s="54">
        <f>IF(A354="","",YEAR(A354)&amp;" Q"&amp;ROUNDUP(MONTH(A354)/3,0))</f>
        <v/>
      </c>
      <c r="C354" s="55" t="n"/>
      <c r="D354" s="55" t="n"/>
      <c r="E354" s="55" t="n"/>
      <c r="F354" s="55" t="n"/>
      <c r="G354" s="56" t="n"/>
      <c r="H354" s="57" t="n"/>
      <c r="I354" s="58">
        <f>IF(G354="","",ROUND(G354*H354,2))</f>
        <v/>
      </c>
      <c r="J354" s="58">
        <f>IF(G354="","",G354+N(I354))</f>
        <v/>
      </c>
      <c r="K354" s="53" t="n"/>
      <c r="L354" s="54">
        <f>IF(G354="","",IF(OR(K354="",K354&gt;TODAY()),"Nog betalen","Betaald"))</f>
        <v/>
      </c>
    </row>
    <row r="355">
      <c r="A355" s="53" t="n"/>
      <c r="B355" s="54">
        <f>IF(A355="","",YEAR(A355)&amp;" Q"&amp;ROUNDUP(MONTH(A355)/3,0))</f>
        <v/>
      </c>
      <c r="C355" s="55" t="n"/>
      <c r="D355" s="55" t="n"/>
      <c r="E355" s="55" t="n"/>
      <c r="F355" s="55" t="n"/>
      <c r="G355" s="56" t="n"/>
      <c r="H355" s="57" t="n"/>
      <c r="I355" s="58">
        <f>IF(G355="","",ROUND(G355*H355,2))</f>
        <v/>
      </c>
      <c r="J355" s="58">
        <f>IF(G355="","",G355+N(I355))</f>
        <v/>
      </c>
      <c r="K355" s="53" t="n"/>
      <c r="L355" s="54">
        <f>IF(G355="","",IF(OR(K355="",K355&gt;TODAY()),"Nog betalen","Betaald"))</f>
        <v/>
      </c>
    </row>
    <row r="356">
      <c r="A356" s="53" t="n"/>
      <c r="B356" s="54">
        <f>IF(A356="","",YEAR(A356)&amp;" Q"&amp;ROUNDUP(MONTH(A356)/3,0))</f>
        <v/>
      </c>
      <c r="C356" s="55" t="n"/>
      <c r="D356" s="55" t="n"/>
      <c r="E356" s="55" t="n"/>
      <c r="F356" s="55" t="n"/>
      <c r="G356" s="56" t="n"/>
      <c r="H356" s="57" t="n"/>
      <c r="I356" s="58">
        <f>IF(G356="","",ROUND(G356*H356,2))</f>
        <v/>
      </c>
      <c r="J356" s="58">
        <f>IF(G356="","",G356+N(I356))</f>
        <v/>
      </c>
      <c r="K356" s="53" t="n"/>
      <c r="L356" s="54">
        <f>IF(G356="","",IF(OR(K356="",K356&gt;TODAY()),"Nog betalen","Betaald"))</f>
        <v/>
      </c>
    </row>
    <row r="357">
      <c r="A357" s="53" t="n"/>
      <c r="B357" s="54">
        <f>IF(A357="","",YEAR(A357)&amp;" Q"&amp;ROUNDUP(MONTH(A357)/3,0))</f>
        <v/>
      </c>
      <c r="C357" s="55" t="n"/>
      <c r="D357" s="55" t="n"/>
      <c r="E357" s="55" t="n"/>
      <c r="F357" s="55" t="n"/>
      <c r="G357" s="56" t="n"/>
      <c r="H357" s="57" t="n"/>
      <c r="I357" s="58">
        <f>IF(G357="","",ROUND(G357*H357,2))</f>
        <v/>
      </c>
      <c r="J357" s="58">
        <f>IF(G357="","",G357+N(I357))</f>
        <v/>
      </c>
      <c r="K357" s="53" t="n"/>
      <c r="L357" s="54">
        <f>IF(G357="","",IF(OR(K357="",K357&gt;TODAY()),"Nog betalen","Betaald"))</f>
        <v/>
      </c>
    </row>
    <row r="358">
      <c r="A358" s="53" t="n"/>
      <c r="B358" s="54">
        <f>IF(A358="","",YEAR(A358)&amp;" Q"&amp;ROUNDUP(MONTH(A358)/3,0))</f>
        <v/>
      </c>
      <c r="C358" s="55" t="n"/>
      <c r="D358" s="55" t="n"/>
      <c r="E358" s="55" t="n"/>
      <c r="F358" s="55" t="n"/>
      <c r="G358" s="56" t="n"/>
      <c r="H358" s="57" t="n"/>
      <c r="I358" s="58">
        <f>IF(G358="","",ROUND(G358*H358,2))</f>
        <v/>
      </c>
      <c r="J358" s="58">
        <f>IF(G358="","",G358+N(I358))</f>
        <v/>
      </c>
      <c r="K358" s="53" t="n"/>
      <c r="L358" s="54">
        <f>IF(G358="","",IF(OR(K358="",K358&gt;TODAY()),"Nog betalen","Betaald"))</f>
        <v/>
      </c>
    </row>
    <row r="359">
      <c r="A359" s="53" t="n"/>
      <c r="B359" s="54">
        <f>IF(A359="","",YEAR(A359)&amp;" Q"&amp;ROUNDUP(MONTH(A359)/3,0))</f>
        <v/>
      </c>
      <c r="C359" s="55" t="n"/>
      <c r="D359" s="55" t="n"/>
      <c r="E359" s="55" t="n"/>
      <c r="F359" s="55" t="n"/>
      <c r="G359" s="56" t="n"/>
      <c r="H359" s="57" t="n"/>
      <c r="I359" s="58">
        <f>IF(G359="","",ROUND(G359*H359,2))</f>
        <v/>
      </c>
      <c r="J359" s="58">
        <f>IF(G359="","",G359+N(I359))</f>
        <v/>
      </c>
      <c r="K359" s="53" t="n"/>
      <c r="L359" s="54">
        <f>IF(G359="","",IF(OR(K359="",K359&gt;TODAY()),"Nog betalen","Betaald"))</f>
        <v/>
      </c>
    </row>
    <row r="360">
      <c r="A360" s="53" t="n"/>
      <c r="B360" s="54">
        <f>IF(A360="","",YEAR(A360)&amp;" Q"&amp;ROUNDUP(MONTH(A360)/3,0))</f>
        <v/>
      </c>
      <c r="C360" s="55" t="n"/>
      <c r="D360" s="55" t="n"/>
      <c r="E360" s="55" t="n"/>
      <c r="F360" s="55" t="n"/>
      <c r="G360" s="56" t="n"/>
      <c r="H360" s="57" t="n"/>
      <c r="I360" s="58">
        <f>IF(G360="","",ROUND(G360*H360,2))</f>
        <v/>
      </c>
      <c r="J360" s="58">
        <f>IF(G360="","",G360+N(I360))</f>
        <v/>
      </c>
      <c r="K360" s="53" t="n"/>
      <c r="L360" s="54">
        <f>IF(G360="","",IF(OR(K360="",K360&gt;TODAY()),"Nog betalen","Betaald"))</f>
        <v/>
      </c>
    </row>
    <row r="361">
      <c r="A361" s="53" t="n"/>
      <c r="B361" s="54">
        <f>IF(A361="","",YEAR(A361)&amp;" Q"&amp;ROUNDUP(MONTH(A361)/3,0))</f>
        <v/>
      </c>
      <c r="C361" s="55" t="n"/>
      <c r="D361" s="55" t="n"/>
      <c r="E361" s="55" t="n"/>
      <c r="F361" s="55" t="n"/>
      <c r="G361" s="56" t="n"/>
      <c r="H361" s="57" t="n"/>
      <c r="I361" s="58">
        <f>IF(G361="","",ROUND(G361*H361,2))</f>
        <v/>
      </c>
      <c r="J361" s="58">
        <f>IF(G361="","",G361+N(I361))</f>
        <v/>
      </c>
      <c r="K361" s="53" t="n"/>
      <c r="L361" s="54">
        <f>IF(G361="","",IF(OR(K361="",K361&gt;TODAY()),"Nog betalen","Betaald"))</f>
        <v/>
      </c>
    </row>
    <row r="362">
      <c r="A362" s="53" t="n"/>
      <c r="B362" s="54">
        <f>IF(A362="","",YEAR(A362)&amp;" Q"&amp;ROUNDUP(MONTH(A362)/3,0))</f>
        <v/>
      </c>
      <c r="C362" s="55" t="n"/>
      <c r="D362" s="55" t="n"/>
      <c r="E362" s="55" t="n"/>
      <c r="F362" s="55" t="n"/>
      <c r="G362" s="56" t="n"/>
      <c r="H362" s="57" t="n"/>
      <c r="I362" s="58">
        <f>IF(G362="","",ROUND(G362*H362,2))</f>
        <v/>
      </c>
      <c r="J362" s="58">
        <f>IF(G362="","",G362+N(I362))</f>
        <v/>
      </c>
      <c r="K362" s="53" t="n"/>
      <c r="L362" s="54">
        <f>IF(G362="","",IF(OR(K362="",K362&gt;TODAY()),"Nog betalen","Betaald"))</f>
        <v/>
      </c>
    </row>
    <row r="363">
      <c r="A363" s="53" t="n"/>
      <c r="B363" s="54">
        <f>IF(A363="","",YEAR(A363)&amp;" Q"&amp;ROUNDUP(MONTH(A363)/3,0))</f>
        <v/>
      </c>
      <c r="C363" s="55" t="n"/>
      <c r="D363" s="55" t="n"/>
      <c r="E363" s="55" t="n"/>
      <c r="F363" s="55" t="n"/>
      <c r="G363" s="56" t="n"/>
      <c r="H363" s="57" t="n"/>
      <c r="I363" s="58">
        <f>IF(G363="","",ROUND(G363*H363,2))</f>
        <v/>
      </c>
      <c r="J363" s="58">
        <f>IF(G363="","",G363+N(I363))</f>
        <v/>
      </c>
      <c r="K363" s="53" t="n"/>
      <c r="L363" s="54">
        <f>IF(G363="","",IF(OR(K363="",K363&gt;TODAY()),"Nog betalen","Betaald"))</f>
        <v/>
      </c>
    </row>
    <row r="364">
      <c r="A364" s="53" t="n"/>
      <c r="B364" s="54">
        <f>IF(A364="","",YEAR(A364)&amp;" Q"&amp;ROUNDUP(MONTH(A364)/3,0))</f>
        <v/>
      </c>
      <c r="C364" s="55" t="n"/>
      <c r="D364" s="55" t="n"/>
      <c r="E364" s="55" t="n"/>
      <c r="F364" s="55" t="n"/>
      <c r="G364" s="56" t="n"/>
      <c r="H364" s="57" t="n"/>
      <c r="I364" s="58">
        <f>IF(G364="","",ROUND(G364*H364,2))</f>
        <v/>
      </c>
      <c r="J364" s="58">
        <f>IF(G364="","",G364+N(I364))</f>
        <v/>
      </c>
      <c r="K364" s="53" t="n"/>
      <c r="L364" s="54">
        <f>IF(G364="","",IF(OR(K364="",K364&gt;TODAY()),"Nog betalen","Betaald"))</f>
        <v/>
      </c>
    </row>
    <row r="365">
      <c r="A365" s="53" t="n"/>
      <c r="B365" s="54">
        <f>IF(A365="","",YEAR(A365)&amp;" Q"&amp;ROUNDUP(MONTH(A365)/3,0))</f>
        <v/>
      </c>
      <c r="C365" s="55" t="n"/>
      <c r="D365" s="55" t="n"/>
      <c r="E365" s="55" t="n"/>
      <c r="F365" s="55" t="n"/>
      <c r="G365" s="56" t="n"/>
      <c r="H365" s="57" t="n"/>
      <c r="I365" s="58">
        <f>IF(G365="","",ROUND(G365*H365,2))</f>
        <v/>
      </c>
      <c r="J365" s="58">
        <f>IF(G365="","",G365+N(I365))</f>
        <v/>
      </c>
      <c r="K365" s="53" t="n"/>
      <c r="L365" s="54">
        <f>IF(G365="","",IF(OR(K365="",K365&gt;TODAY()),"Nog betalen","Betaald"))</f>
        <v/>
      </c>
    </row>
    <row r="366">
      <c r="A366" s="53" t="n"/>
      <c r="B366" s="54">
        <f>IF(A366="","",YEAR(A366)&amp;" Q"&amp;ROUNDUP(MONTH(A366)/3,0))</f>
        <v/>
      </c>
      <c r="C366" s="55" t="n"/>
      <c r="D366" s="55" t="n"/>
      <c r="E366" s="55" t="n"/>
      <c r="F366" s="55" t="n"/>
      <c r="G366" s="56" t="n"/>
      <c r="H366" s="57" t="n"/>
      <c r="I366" s="58">
        <f>IF(G366="","",ROUND(G366*H366,2))</f>
        <v/>
      </c>
      <c r="J366" s="58">
        <f>IF(G366="","",G366+N(I366))</f>
        <v/>
      </c>
      <c r="K366" s="53" t="n"/>
      <c r="L366" s="54">
        <f>IF(G366="","",IF(OR(K366="",K366&gt;TODAY()),"Nog betalen","Betaald"))</f>
        <v/>
      </c>
    </row>
    <row r="367">
      <c r="A367" s="53" t="n"/>
      <c r="B367" s="54">
        <f>IF(A367="","",YEAR(A367)&amp;" Q"&amp;ROUNDUP(MONTH(A367)/3,0))</f>
        <v/>
      </c>
      <c r="C367" s="55" t="n"/>
      <c r="D367" s="55" t="n"/>
      <c r="E367" s="55" t="n"/>
      <c r="F367" s="55" t="n"/>
      <c r="G367" s="56" t="n"/>
      <c r="H367" s="57" t="n"/>
      <c r="I367" s="58">
        <f>IF(G367="","",ROUND(G367*H367,2))</f>
        <v/>
      </c>
      <c r="J367" s="58">
        <f>IF(G367="","",G367+N(I367))</f>
        <v/>
      </c>
      <c r="K367" s="53" t="n"/>
      <c r="L367" s="54">
        <f>IF(G367="","",IF(OR(K367="",K367&gt;TODAY()),"Nog betalen","Betaald"))</f>
        <v/>
      </c>
    </row>
    <row r="368">
      <c r="A368" s="53" t="n"/>
      <c r="B368" s="54">
        <f>IF(A368="","",YEAR(A368)&amp;" Q"&amp;ROUNDUP(MONTH(A368)/3,0))</f>
        <v/>
      </c>
      <c r="C368" s="55" t="n"/>
      <c r="D368" s="55" t="n"/>
      <c r="E368" s="55" t="n"/>
      <c r="F368" s="55" t="n"/>
      <c r="G368" s="56" t="n"/>
      <c r="H368" s="57" t="n"/>
      <c r="I368" s="58">
        <f>IF(G368="","",ROUND(G368*H368,2))</f>
        <v/>
      </c>
      <c r="J368" s="58">
        <f>IF(G368="","",G368+N(I368))</f>
        <v/>
      </c>
      <c r="K368" s="53" t="n"/>
      <c r="L368" s="54">
        <f>IF(G368="","",IF(OR(K368="",K368&gt;TODAY()),"Nog betalen","Betaald"))</f>
        <v/>
      </c>
    </row>
    <row r="369">
      <c r="A369" s="53" t="n"/>
      <c r="B369" s="54">
        <f>IF(A369="","",YEAR(A369)&amp;" Q"&amp;ROUNDUP(MONTH(A369)/3,0))</f>
        <v/>
      </c>
      <c r="C369" s="55" t="n"/>
      <c r="D369" s="55" t="n"/>
      <c r="E369" s="55" t="n"/>
      <c r="F369" s="55" t="n"/>
      <c r="G369" s="56" t="n"/>
      <c r="H369" s="57" t="n"/>
      <c r="I369" s="58">
        <f>IF(G369="","",ROUND(G369*H369,2))</f>
        <v/>
      </c>
      <c r="J369" s="58">
        <f>IF(G369="","",G369+N(I369))</f>
        <v/>
      </c>
      <c r="K369" s="53" t="n"/>
      <c r="L369" s="54">
        <f>IF(G369="","",IF(OR(K369="",K369&gt;TODAY()),"Nog betalen","Betaald"))</f>
        <v/>
      </c>
    </row>
    <row r="370">
      <c r="A370" s="53" t="n"/>
      <c r="B370" s="54">
        <f>IF(A370="","",YEAR(A370)&amp;" Q"&amp;ROUNDUP(MONTH(A370)/3,0))</f>
        <v/>
      </c>
      <c r="C370" s="55" t="n"/>
      <c r="D370" s="55" t="n"/>
      <c r="E370" s="55" t="n"/>
      <c r="F370" s="55" t="n"/>
      <c r="G370" s="56" t="n"/>
      <c r="H370" s="57" t="n"/>
      <c r="I370" s="58">
        <f>IF(G370="","",ROUND(G370*H370,2))</f>
        <v/>
      </c>
      <c r="J370" s="58">
        <f>IF(G370="","",G370+N(I370))</f>
        <v/>
      </c>
      <c r="K370" s="53" t="n"/>
      <c r="L370" s="54">
        <f>IF(G370="","",IF(OR(K370="",K370&gt;TODAY()),"Nog betalen","Betaald"))</f>
        <v/>
      </c>
    </row>
    <row r="371">
      <c r="A371" s="53" t="n"/>
      <c r="B371" s="54">
        <f>IF(A371="","",YEAR(A371)&amp;" Q"&amp;ROUNDUP(MONTH(A371)/3,0))</f>
        <v/>
      </c>
      <c r="C371" s="55" t="n"/>
      <c r="D371" s="55" t="n"/>
      <c r="E371" s="55" t="n"/>
      <c r="F371" s="55" t="n"/>
      <c r="G371" s="56" t="n"/>
      <c r="H371" s="57" t="n"/>
      <c r="I371" s="58">
        <f>IF(G371="","",ROUND(G371*H371,2))</f>
        <v/>
      </c>
      <c r="J371" s="58">
        <f>IF(G371="","",G371+N(I371))</f>
        <v/>
      </c>
      <c r="K371" s="53" t="n"/>
      <c r="L371" s="54">
        <f>IF(G371="","",IF(OR(K371="",K371&gt;TODAY()),"Nog betalen","Betaald"))</f>
        <v/>
      </c>
    </row>
    <row r="372">
      <c r="A372" s="53" t="n"/>
      <c r="B372" s="54">
        <f>IF(A372="","",YEAR(A372)&amp;" Q"&amp;ROUNDUP(MONTH(A372)/3,0))</f>
        <v/>
      </c>
      <c r="C372" s="55" t="n"/>
      <c r="D372" s="55" t="n"/>
      <c r="E372" s="55" t="n"/>
      <c r="F372" s="55" t="n"/>
      <c r="G372" s="56" t="n"/>
      <c r="H372" s="57" t="n"/>
      <c r="I372" s="58">
        <f>IF(G372="","",ROUND(G372*H372,2))</f>
        <v/>
      </c>
      <c r="J372" s="58">
        <f>IF(G372="","",G372+N(I372))</f>
        <v/>
      </c>
      <c r="K372" s="53" t="n"/>
      <c r="L372" s="54">
        <f>IF(G372="","",IF(OR(K372="",K372&gt;TODAY()),"Nog betalen","Betaald"))</f>
        <v/>
      </c>
    </row>
    <row r="373">
      <c r="A373" s="53" t="n"/>
      <c r="B373" s="54">
        <f>IF(A373="","",YEAR(A373)&amp;" Q"&amp;ROUNDUP(MONTH(A373)/3,0))</f>
        <v/>
      </c>
      <c r="C373" s="55" t="n"/>
      <c r="D373" s="55" t="n"/>
      <c r="E373" s="55" t="n"/>
      <c r="F373" s="55" t="n"/>
      <c r="G373" s="56" t="n"/>
      <c r="H373" s="57" t="n"/>
      <c r="I373" s="58">
        <f>IF(G373="","",ROUND(G373*H373,2))</f>
        <v/>
      </c>
      <c r="J373" s="58">
        <f>IF(G373="","",G373+N(I373))</f>
        <v/>
      </c>
      <c r="K373" s="53" t="n"/>
      <c r="L373" s="54">
        <f>IF(G373="","",IF(OR(K373="",K373&gt;TODAY()),"Nog betalen","Betaald"))</f>
        <v/>
      </c>
    </row>
    <row r="374">
      <c r="A374" s="53" t="n"/>
      <c r="B374" s="54">
        <f>IF(A374="","",YEAR(A374)&amp;" Q"&amp;ROUNDUP(MONTH(A374)/3,0))</f>
        <v/>
      </c>
      <c r="C374" s="55" t="n"/>
      <c r="D374" s="55" t="n"/>
      <c r="E374" s="55" t="n"/>
      <c r="F374" s="55" t="n"/>
      <c r="G374" s="56" t="n"/>
      <c r="H374" s="57" t="n"/>
      <c r="I374" s="58">
        <f>IF(G374="","",ROUND(G374*H374,2))</f>
        <v/>
      </c>
      <c r="J374" s="58">
        <f>IF(G374="","",G374+N(I374))</f>
        <v/>
      </c>
      <c r="K374" s="53" t="n"/>
      <c r="L374" s="54">
        <f>IF(G374="","",IF(OR(K374="",K374&gt;TODAY()),"Nog betalen","Betaald"))</f>
        <v/>
      </c>
    </row>
    <row r="375">
      <c r="A375" s="53" t="n"/>
      <c r="B375" s="54">
        <f>IF(A375="","",YEAR(A375)&amp;" Q"&amp;ROUNDUP(MONTH(A375)/3,0))</f>
        <v/>
      </c>
      <c r="C375" s="55" t="n"/>
      <c r="D375" s="55" t="n"/>
      <c r="E375" s="55" t="n"/>
      <c r="F375" s="55" t="n"/>
      <c r="G375" s="56" t="n"/>
      <c r="H375" s="57" t="n"/>
      <c r="I375" s="58">
        <f>IF(G375="","",ROUND(G375*H375,2))</f>
        <v/>
      </c>
      <c r="J375" s="58">
        <f>IF(G375="","",G375+N(I375))</f>
        <v/>
      </c>
      <c r="K375" s="53" t="n"/>
      <c r="L375" s="54">
        <f>IF(G375="","",IF(OR(K375="",K375&gt;TODAY()),"Nog betalen","Betaald"))</f>
        <v/>
      </c>
    </row>
    <row r="376">
      <c r="A376" s="53" t="n"/>
      <c r="B376" s="54">
        <f>IF(A376="","",YEAR(A376)&amp;" Q"&amp;ROUNDUP(MONTH(A376)/3,0))</f>
        <v/>
      </c>
      <c r="C376" s="55" t="n"/>
      <c r="D376" s="55" t="n"/>
      <c r="E376" s="55" t="n"/>
      <c r="F376" s="55" t="n"/>
      <c r="G376" s="56" t="n"/>
      <c r="H376" s="57" t="n"/>
      <c r="I376" s="58">
        <f>IF(G376="","",ROUND(G376*H376,2))</f>
        <v/>
      </c>
      <c r="J376" s="58">
        <f>IF(G376="","",G376+N(I376))</f>
        <v/>
      </c>
      <c r="K376" s="53" t="n"/>
      <c r="L376" s="54">
        <f>IF(G376="","",IF(OR(K376="",K376&gt;TODAY()),"Nog betalen","Betaald"))</f>
        <v/>
      </c>
    </row>
    <row r="377">
      <c r="A377" s="53" t="n"/>
      <c r="B377" s="54">
        <f>IF(A377="","",YEAR(A377)&amp;" Q"&amp;ROUNDUP(MONTH(A377)/3,0))</f>
        <v/>
      </c>
      <c r="C377" s="55" t="n"/>
      <c r="D377" s="55" t="n"/>
      <c r="E377" s="55" t="n"/>
      <c r="F377" s="55" t="n"/>
      <c r="G377" s="56" t="n"/>
      <c r="H377" s="57" t="n"/>
      <c r="I377" s="58">
        <f>IF(G377="","",ROUND(G377*H377,2))</f>
        <v/>
      </c>
      <c r="J377" s="58">
        <f>IF(G377="","",G377+N(I377))</f>
        <v/>
      </c>
      <c r="K377" s="53" t="n"/>
      <c r="L377" s="54">
        <f>IF(G377="","",IF(OR(K377="",K377&gt;TODAY()),"Nog betalen","Betaald"))</f>
        <v/>
      </c>
    </row>
    <row r="378">
      <c r="A378" s="53" t="n"/>
      <c r="B378" s="54">
        <f>IF(A378="","",YEAR(A378)&amp;" Q"&amp;ROUNDUP(MONTH(A378)/3,0))</f>
        <v/>
      </c>
      <c r="C378" s="55" t="n"/>
      <c r="D378" s="55" t="n"/>
      <c r="E378" s="55" t="n"/>
      <c r="F378" s="55" t="n"/>
      <c r="G378" s="56" t="n"/>
      <c r="H378" s="57" t="n"/>
      <c r="I378" s="58">
        <f>IF(G378="","",ROUND(G378*H378,2))</f>
        <v/>
      </c>
      <c r="J378" s="58">
        <f>IF(G378="","",G378+N(I378))</f>
        <v/>
      </c>
      <c r="K378" s="53" t="n"/>
      <c r="L378" s="54">
        <f>IF(G378="","",IF(OR(K378="",K378&gt;TODAY()),"Nog betalen","Betaald"))</f>
        <v/>
      </c>
    </row>
    <row r="379">
      <c r="A379" s="53" t="n"/>
      <c r="B379" s="54">
        <f>IF(A379="","",YEAR(A379)&amp;" Q"&amp;ROUNDUP(MONTH(A379)/3,0))</f>
        <v/>
      </c>
      <c r="C379" s="55" t="n"/>
      <c r="D379" s="55" t="n"/>
      <c r="E379" s="55" t="n"/>
      <c r="F379" s="55" t="n"/>
      <c r="G379" s="56" t="n"/>
      <c r="H379" s="57" t="n"/>
      <c r="I379" s="58">
        <f>IF(G379="","",ROUND(G379*H379,2))</f>
        <v/>
      </c>
      <c r="J379" s="58">
        <f>IF(G379="","",G379+N(I379))</f>
        <v/>
      </c>
      <c r="K379" s="53" t="n"/>
      <c r="L379" s="54">
        <f>IF(G379="","",IF(OR(K379="",K379&gt;TODAY()),"Nog betalen","Betaald"))</f>
        <v/>
      </c>
    </row>
    <row r="380">
      <c r="A380" s="53" t="n"/>
      <c r="B380" s="54">
        <f>IF(A380="","",YEAR(A380)&amp;" Q"&amp;ROUNDUP(MONTH(A380)/3,0))</f>
        <v/>
      </c>
      <c r="C380" s="55" t="n"/>
      <c r="D380" s="55" t="n"/>
      <c r="E380" s="55" t="n"/>
      <c r="F380" s="55" t="n"/>
      <c r="G380" s="56" t="n"/>
      <c r="H380" s="57" t="n"/>
      <c r="I380" s="58">
        <f>IF(G380="","",ROUND(G380*H380,2))</f>
        <v/>
      </c>
      <c r="J380" s="58">
        <f>IF(G380="","",G380+N(I380))</f>
        <v/>
      </c>
      <c r="K380" s="53" t="n"/>
      <c r="L380" s="54">
        <f>IF(G380="","",IF(OR(K380="",K380&gt;TODAY()),"Nog betalen","Betaald"))</f>
        <v/>
      </c>
    </row>
    <row r="381">
      <c r="A381" s="53" t="n"/>
      <c r="B381" s="54">
        <f>IF(A381="","",YEAR(A381)&amp;" Q"&amp;ROUNDUP(MONTH(A381)/3,0))</f>
        <v/>
      </c>
      <c r="C381" s="55" t="n"/>
      <c r="D381" s="55" t="n"/>
      <c r="E381" s="55" t="n"/>
      <c r="F381" s="55" t="n"/>
      <c r="G381" s="56" t="n"/>
      <c r="H381" s="57" t="n"/>
      <c r="I381" s="58">
        <f>IF(G381="","",ROUND(G381*H381,2))</f>
        <v/>
      </c>
      <c r="J381" s="58">
        <f>IF(G381="","",G381+N(I381))</f>
        <v/>
      </c>
      <c r="K381" s="53" t="n"/>
      <c r="L381" s="54">
        <f>IF(G381="","",IF(OR(K381="",K381&gt;TODAY()),"Nog betalen","Betaald"))</f>
        <v/>
      </c>
    </row>
    <row r="382">
      <c r="A382" s="53" t="n"/>
      <c r="B382" s="54">
        <f>IF(A382="","",YEAR(A382)&amp;" Q"&amp;ROUNDUP(MONTH(A382)/3,0))</f>
        <v/>
      </c>
      <c r="C382" s="55" t="n"/>
      <c r="D382" s="55" t="n"/>
      <c r="E382" s="55" t="n"/>
      <c r="F382" s="55" t="n"/>
      <c r="G382" s="56" t="n"/>
      <c r="H382" s="57" t="n"/>
      <c r="I382" s="58">
        <f>IF(G382="","",ROUND(G382*H382,2))</f>
        <v/>
      </c>
      <c r="J382" s="58">
        <f>IF(G382="","",G382+N(I382))</f>
        <v/>
      </c>
      <c r="K382" s="53" t="n"/>
      <c r="L382" s="54">
        <f>IF(G382="","",IF(OR(K382="",K382&gt;TODAY()),"Nog betalen","Betaald"))</f>
        <v/>
      </c>
    </row>
    <row r="383">
      <c r="A383" s="53" t="n"/>
      <c r="B383" s="54">
        <f>IF(A383="","",YEAR(A383)&amp;" Q"&amp;ROUNDUP(MONTH(A383)/3,0))</f>
        <v/>
      </c>
      <c r="C383" s="55" t="n"/>
      <c r="D383" s="55" t="n"/>
      <c r="E383" s="55" t="n"/>
      <c r="F383" s="55" t="n"/>
      <c r="G383" s="56" t="n"/>
      <c r="H383" s="57" t="n"/>
      <c r="I383" s="58">
        <f>IF(G383="","",ROUND(G383*H383,2))</f>
        <v/>
      </c>
      <c r="J383" s="58">
        <f>IF(G383="","",G383+N(I383))</f>
        <v/>
      </c>
      <c r="K383" s="53" t="n"/>
      <c r="L383" s="54">
        <f>IF(G383="","",IF(OR(K383="",K383&gt;TODAY()),"Nog betalen","Betaald"))</f>
        <v/>
      </c>
    </row>
    <row r="384">
      <c r="A384" s="53" t="n"/>
      <c r="B384" s="54">
        <f>IF(A384="","",YEAR(A384)&amp;" Q"&amp;ROUNDUP(MONTH(A384)/3,0))</f>
        <v/>
      </c>
      <c r="C384" s="55" t="n"/>
      <c r="D384" s="55" t="n"/>
      <c r="E384" s="55" t="n"/>
      <c r="F384" s="55" t="n"/>
      <c r="G384" s="56" t="n"/>
      <c r="H384" s="57" t="n"/>
      <c r="I384" s="58">
        <f>IF(G384="","",ROUND(G384*H384,2))</f>
        <v/>
      </c>
      <c r="J384" s="58">
        <f>IF(G384="","",G384+N(I384))</f>
        <v/>
      </c>
      <c r="K384" s="53" t="n"/>
      <c r="L384" s="54">
        <f>IF(G384="","",IF(OR(K384="",K384&gt;TODAY()),"Nog betalen","Betaald"))</f>
        <v/>
      </c>
    </row>
    <row r="385">
      <c r="A385" s="53" t="n"/>
      <c r="B385" s="54">
        <f>IF(A385="","",YEAR(A385)&amp;" Q"&amp;ROUNDUP(MONTH(A385)/3,0))</f>
        <v/>
      </c>
      <c r="C385" s="55" t="n"/>
      <c r="D385" s="55" t="n"/>
      <c r="E385" s="55" t="n"/>
      <c r="F385" s="55" t="n"/>
      <c r="G385" s="56" t="n"/>
      <c r="H385" s="57" t="n"/>
      <c r="I385" s="58">
        <f>IF(G385="","",ROUND(G385*H385,2))</f>
        <v/>
      </c>
      <c r="J385" s="58">
        <f>IF(G385="","",G385+N(I385))</f>
        <v/>
      </c>
      <c r="K385" s="53" t="n"/>
      <c r="L385" s="54">
        <f>IF(G385="","",IF(OR(K385="",K385&gt;TODAY()),"Nog betalen","Betaald"))</f>
        <v/>
      </c>
    </row>
    <row r="386">
      <c r="A386" s="53" t="n"/>
      <c r="B386" s="54">
        <f>IF(A386="","",YEAR(A386)&amp;" Q"&amp;ROUNDUP(MONTH(A386)/3,0))</f>
        <v/>
      </c>
      <c r="C386" s="55" t="n"/>
      <c r="D386" s="55" t="n"/>
      <c r="E386" s="55" t="n"/>
      <c r="F386" s="55" t="n"/>
      <c r="G386" s="56" t="n"/>
      <c r="H386" s="57" t="n"/>
      <c r="I386" s="58">
        <f>IF(G386="","",ROUND(G386*H386,2))</f>
        <v/>
      </c>
      <c r="J386" s="58">
        <f>IF(G386="","",G386+N(I386))</f>
        <v/>
      </c>
      <c r="K386" s="53" t="n"/>
      <c r="L386" s="54">
        <f>IF(G386="","",IF(OR(K386="",K386&gt;TODAY()),"Nog betalen","Betaald"))</f>
        <v/>
      </c>
    </row>
    <row r="387">
      <c r="A387" s="53" t="n"/>
      <c r="B387" s="54">
        <f>IF(A387="","",YEAR(A387)&amp;" Q"&amp;ROUNDUP(MONTH(A387)/3,0))</f>
        <v/>
      </c>
      <c r="C387" s="55" t="n"/>
      <c r="D387" s="55" t="n"/>
      <c r="E387" s="55" t="n"/>
      <c r="F387" s="55" t="n"/>
      <c r="G387" s="56" t="n"/>
      <c r="H387" s="57" t="n"/>
      <c r="I387" s="58">
        <f>IF(G387="","",ROUND(G387*H387,2))</f>
        <v/>
      </c>
      <c r="J387" s="58">
        <f>IF(G387="","",G387+N(I387))</f>
        <v/>
      </c>
      <c r="K387" s="53" t="n"/>
      <c r="L387" s="54">
        <f>IF(G387="","",IF(OR(K387="",K387&gt;TODAY()),"Nog betalen","Betaald"))</f>
        <v/>
      </c>
    </row>
    <row r="388">
      <c r="A388" s="53" t="n"/>
      <c r="B388" s="54">
        <f>IF(A388="","",YEAR(A388)&amp;" Q"&amp;ROUNDUP(MONTH(A388)/3,0))</f>
        <v/>
      </c>
      <c r="C388" s="55" t="n"/>
      <c r="D388" s="55" t="n"/>
      <c r="E388" s="55" t="n"/>
      <c r="F388" s="55" t="n"/>
      <c r="G388" s="56" t="n"/>
      <c r="H388" s="57" t="n"/>
      <c r="I388" s="58">
        <f>IF(G388="","",ROUND(G388*H388,2))</f>
        <v/>
      </c>
      <c r="J388" s="58">
        <f>IF(G388="","",G388+N(I388))</f>
        <v/>
      </c>
      <c r="K388" s="53" t="n"/>
      <c r="L388" s="54">
        <f>IF(G388="","",IF(OR(K388="",K388&gt;TODAY()),"Nog betalen","Betaald"))</f>
        <v/>
      </c>
    </row>
    <row r="389">
      <c r="A389" s="53" t="n"/>
      <c r="B389" s="54">
        <f>IF(A389="","",YEAR(A389)&amp;" Q"&amp;ROUNDUP(MONTH(A389)/3,0))</f>
        <v/>
      </c>
      <c r="C389" s="55" t="n"/>
      <c r="D389" s="55" t="n"/>
      <c r="E389" s="55" t="n"/>
      <c r="F389" s="55" t="n"/>
      <c r="G389" s="56" t="n"/>
      <c r="H389" s="57" t="n"/>
      <c r="I389" s="58">
        <f>IF(G389="","",ROUND(G389*H389,2))</f>
        <v/>
      </c>
      <c r="J389" s="58">
        <f>IF(G389="","",G389+N(I389))</f>
        <v/>
      </c>
      <c r="K389" s="53" t="n"/>
      <c r="L389" s="54">
        <f>IF(G389="","",IF(OR(K389="",K389&gt;TODAY()),"Nog betalen","Betaald"))</f>
        <v/>
      </c>
    </row>
    <row r="390">
      <c r="A390" s="53" t="n"/>
      <c r="B390" s="54">
        <f>IF(A390="","",YEAR(A390)&amp;" Q"&amp;ROUNDUP(MONTH(A390)/3,0))</f>
        <v/>
      </c>
      <c r="C390" s="55" t="n"/>
      <c r="D390" s="55" t="n"/>
      <c r="E390" s="55" t="n"/>
      <c r="F390" s="55" t="n"/>
      <c r="G390" s="56" t="n"/>
      <c r="H390" s="57" t="n"/>
      <c r="I390" s="58">
        <f>IF(G390="","",ROUND(G390*H390,2))</f>
        <v/>
      </c>
      <c r="J390" s="58">
        <f>IF(G390="","",G390+N(I390))</f>
        <v/>
      </c>
      <c r="K390" s="53" t="n"/>
      <c r="L390" s="54">
        <f>IF(G390="","",IF(OR(K390="",K390&gt;TODAY()),"Nog betalen","Betaald"))</f>
        <v/>
      </c>
    </row>
    <row r="391">
      <c r="A391" s="53" t="n"/>
      <c r="B391" s="54">
        <f>IF(A391="","",YEAR(A391)&amp;" Q"&amp;ROUNDUP(MONTH(A391)/3,0))</f>
        <v/>
      </c>
      <c r="C391" s="55" t="n"/>
      <c r="D391" s="55" t="n"/>
      <c r="E391" s="55" t="n"/>
      <c r="F391" s="55" t="n"/>
      <c r="G391" s="56" t="n"/>
      <c r="H391" s="57" t="n"/>
      <c r="I391" s="58">
        <f>IF(G391="","",ROUND(G391*H391,2))</f>
        <v/>
      </c>
      <c r="J391" s="58">
        <f>IF(G391="","",G391+N(I391))</f>
        <v/>
      </c>
      <c r="K391" s="53" t="n"/>
      <c r="L391" s="54">
        <f>IF(G391="","",IF(OR(K391="",K391&gt;TODAY()),"Nog betalen","Betaald"))</f>
        <v/>
      </c>
    </row>
    <row r="392">
      <c r="A392" s="53" t="n"/>
      <c r="B392" s="54">
        <f>IF(A392="","",YEAR(A392)&amp;" Q"&amp;ROUNDUP(MONTH(A392)/3,0))</f>
        <v/>
      </c>
      <c r="C392" s="55" t="n"/>
      <c r="D392" s="55" t="n"/>
      <c r="E392" s="55" t="n"/>
      <c r="F392" s="55" t="n"/>
      <c r="G392" s="56" t="n"/>
      <c r="H392" s="57" t="n"/>
      <c r="I392" s="58">
        <f>IF(G392="","",ROUND(G392*H392,2))</f>
        <v/>
      </c>
      <c r="J392" s="58">
        <f>IF(G392="","",G392+N(I392))</f>
        <v/>
      </c>
      <c r="K392" s="53" t="n"/>
      <c r="L392" s="54">
        <f>IF(G392="","",IF(OR(K392="",K392&gt;TODAY()),"Nog betalen","Betaald"))</f>
        <v/>
      </c>
    </row>
    <row r="393">
      <c r="A393" s="53" t="n"/>
      <c r="B393" s="54">
        <f>IF(A393="","",YEAR(A393)&amp;" Q"&amp;ROUNDUP(MONTH(A393)/3,0))</f>
        <v/>
      </c>
      <c r="C393" s="55" t="n"/>
      <c r="D393" s="55" t="n"/>
      <c r="E393" s="55" t="n"/>
      <c r="F393" s="55" t="n"/>
      <c r="G393" s="56" t="n"/>
      <c r="H393" s="57" t="n"/>
      <c r="I393" s="58">
        <f>IF(G393="","",ROUND(G393*H393,2))</f>
        <v/>
      </c>
      <c r="J393" s="58">
        <f>IF(G393="","",G393+N(I393))</f>
        <v/>
      </c>
      <c r="K393" s="53" t="n"/>
      <c r="L393" s="54">
        <f>IF(G393="","",IF(OR(K393="",K393&gt;TODAY()),"Nog betalen","Betaald"))</f>
        <v/>
      </c>
    </row>
    <row r="394">
      <c r="A394" s="53" t="n"/>
      <c r="B394" s="54">
        <f>IF(A394="","",YEAR(A394)&amp;" Q"&amp;ROUNDUP(MONTH(A394)/3,0))</f>
        <v/>
      </c>
      <c r="C394" s="55" t="n"/>
      <c r="D394" s="55" t="n"/>
      <c r="E394" s="55" t="n"/>
      <c r="F394" s="55" t="n"/>
      <c r="G394" s="56" t="n"/>
      <c r="H394" s="57" t="n"/>
      <c r="I394" s="58">
        <f>IF(G394="","",ROUND(G394*H394,2))</f>
        <v/>
      </c>
      <c r="J394" s="58">
        <f>IF(G394="","",G394+N(I394))</f>
        <v/>
      </c>
      <c r="K394" s="53" t="n"/>
      <c r="L394" s="54">
        <f>IF(G394="","",IF(OR(K394="",K394&gt;TODAY()),"Nog betalen","Betaald"))</f>
        <v/>
      </c>
    </row>
    <row r="395">
      <c r="A395" s="53" t="n"/>
      <c r="B395" s="54">
        <f>IF(A395="","",YEAR(A395)&amp;" Q"&amp;ROUNDUP(MONTH(A395)/3,0))</f>
        <v/>
      </c>
      <c r="C395" s="55" t="n"/>
      <c r="D395" s="55" t="n"/>
      <c r="E395" s="55" t="n"/>
      <c r="F395" s="55" t="n"/>
      <c r="G395" s="56" t="n"/>
      <c r="H395" s="57" t="n"/>
      <c r="I395" s="58">
        <f>IF(G395="","",ROUND(G395*H395,2))</f>
        <v/>
      </c>
      <c r="J395" s="58">
        <f>IF(G395="","",G395+N(I395))</f>
        <v/>
      </c>
      <c r="K395" s="53" t="n"/>
      <c r="L395" s="54">
        <f>IF(G395="","",IF(OR(K395="",K395&gt;TODAY()),"Nog betalen","Betaald"))</f>
        <v/>
      </c>
    </row>
    <row r="396">
      <c r="A396" s="53" t="n"/>
      <c r="B396" s="54">
        <f>IF(A396="","",YEAR(A396)&amp;" Q"&amp;ROUNDUP(MONTH(A396)/3,0))</f>
        <v/>
      </c>
      <c r="C396" s="55" t="n"/>
      <c r="D396" s="55" t="n"/>
      <c r="E396" s="55" t="n"/>
      <c r="F396" s="55" t="n"/>
      <c r="G396" s="56" t="n"/>
      <c r="H396" s="57" t="n"/>
      <c r="I396" s="58">
        <f>IF(G396="","",ROUND(G396*H396,2))</f>
        <v/>
      </c>
      <c r="J396" s="58">
        <f>IF(G396="","",G396+N(I396))</f>
        <v/>
      </c>
      <c r="K396" s="53" t="n"/>
      <c r="L396" s="54">
        <f>IF(G396="","",IF(OR(K396="",K396&gt;TODAY()),"Nog betalen","Betaald"))</f>
        <v/>
      </c>
    </row>
    <row r="397">
      <c r="A397" s="53" t="n"/>
      <c r="B397" s="54">
        <f>IF(A397="","",YEAR(A397)&amp;" Q"&amp;ROUNDUP(MONTH(A397)/3,0))</f>
        <v/>
      </c>
      <c r="C397" s="55" t="n"/>
      <c r="D397" s="55" t="n"/>
      <c r="E397" s="55" t="n"/>
      <c r="F397" s="55" t="n"/>
      <c r="G397" s="56" t="n"/>
      <c r="H397" s="57" t="n"/>
      <c r="I397" s="58">
        <f>IF(G397="","",ROUND(G397*H397,2))</f>
        <v/>
      </c>
      <c r="J397" s="58">
        <f>IF(G397="","",G397+N(I397))</f>
        <v/>
      </c>
      <c r="K397" s="53" t="n"/>
      <c r="L397" s="54">
        <f>IF(G397="","",IF(OR(K397="",K397&gt;TODAY()),"Nog betalen","Betaald"))</f>
        <v/>
      </c>
    </row>
    <row r="398">
      <c r="A398" s="53" t="n"/>
      <c r="B398" s="54">
        <f>IF(A398="","",YEAR(A398)&amp;" Q"&amp;ROUNDUP(MONTH(A398)/3,0))</f>
        <v/>
      </c>
      <c r="C398" s="55" t="n"/>
      <c r="D398" s="55" t="n"/>
      <c r="E398" s="55" t="n"/>
      <c r="F398" s="55" t="n"/>
      <c r="G398" s="56" t="n"/>
      <c r="H398" s="57" t="n"/>
      <c r="I398" s="58">
        <f>IF(G398="","",ROUND(G398*H398,2))</f>
        <v/>
      </c>
      <c r="J398" s="58">
        <f>IF(G398="","",G398+N(I398))</f>
        <v/>
      </c>
      <c r="K398" s="53" t="n"/>
      <c r="L398" s="54">
        <f>IF(G398="","",IF(OR(K398="",K398&gt;TODAY()),"Nog betalen","Betaald"))</f>
        <v/>
      </c>
    </row>
    <row r="399">
      <c r="A399" s="53" t="n"/>
      <c r="B399" s="54">
        <f>IF(A399="","",YEAR(A399)&amp;" Q"&amp;ROUNDUP(MONTH(A399)/3,0))</f>
        <v/>
      </c>
      <c r="C399" s="55" t="n"/>
      <c r="D399" s="55" t="n"/>
      <c r="E399" s="55" t="n"/>
      <c r="F399" s="55" t="n"/>
      <c r="G399" s="56" t="n"/>
      <c r="H399" s="57" t="n"/>
      <c r="I399" s="58">
        <f>IF(G399="","",ROUND(G399*H399,2))</f>
        <v/>
      </c>
      <c r="J399" s="58">
        <f>IF(G399="","",G399+N(I399))</f>
        <v/>
      </c>
      <c r="K399" s="53" t="n"/>
      <c r="L399" s="54">
        <f>IF(G399="","",IF(OR(K399="",K399&gt;TODAY()),"Nog betalen","Betaald"))</f>
        <v/>
      </c>
    </row>
    <row r="400">
      <c r="A400" s="53" t="n"/>
      <c r="B400" s="54">
        <f>IF(A400="","",YEAR(A400)&amp;" Q"&amp;ROUNDUP(MONTH(A400)/3,0))</f>
        <v/>
      </c>
      <c r="C400" s="55" t="n"/>
      <c r="D400" s="55" t="n"/>
      <c r="E400" s="55" t="n"/>
      <c r="F400" s="55" t="n"/>
      <c r="G400" s="56" t="n"/>
      <c r="H400" s="57" t="n"/>
      <c r="I400" s="58">
        <f>IF(G400="","",ROUND(G400*H400,2))</f>
        <v/>
      </c>
      <c r="J400" s="58">
        <f>IF(G400="","",G400+N(I400))</f>
        <v/>
      </c>
      <c r="K400" s="53" t="n"/>
      <c r="L400" s="54">
        <f>IF(G400="","",IF(OR(K400="",K400&gt;TODAY()),"Nog betalen","Betaald"))</f>
        <v/>
      </c>
    </row>
    <row r="401">
      <c r="A401" s="53" t="n"/>
      <c r="B401" s="54">
        <f>IF(A401="","",YEAR(A401)&amp;" Q"&amp;ROUNDUP(MONTH(A401)/3,0))</f>
        <v/>
      </c>
      <c r="C401" s="55" t="n"/>
      <c r="D401" s="55" t="n"/>
      <c r="E401" s="55" t="n"/>
      <c r="F401" s="55" t="n"/>
      <c r="G401" s="56" t="n"/>
      <c r="H401" s="57" t="n"/>
      <c r="I401" s="58">
        <f>IF(G401="","",ROUND(G401*H401,2))</f>
        <v/>
      </c>
      <c r="J401" s="58">
        <f>IF(G401="","",G401+N(I401))</f>
        <v/>
      </c>
      <c r="K401" s="53" t="n"/>
      <c r="L401" s="54">
        <f>IF(G401="","",IF(OR(K401="",K401&gt;TODAY()),"Nog betalen","Betaald"))</f>
        <v/>
      </c>
    </row>
    <row r="402">
      <c r="A402" s="53" t="n"/>
      <c r="B402" s="54">
        <f>IF(A402="","",YEAR(A402)&amp;" Q"&amp;ROUNDUP(MONTH(A402)/3,0))</f>
        <v/>
      </c>
      <c r="C402" s="55" t="n"/>
      <c r="D402" s="55" t="n"/>
      <c r="E402" s="55" t="n"/>
      <c r="F402" s="55" t="n"/>
      <c r="G402" s="56" t="n"/>
      <c r="H402" s="57" t="n"/>
      <c r="I402" s="58">
        <f>IF(G402="","",ROUND(G402*H402,2))</f>
        <v/>
      </c>
      <c r="J402" s="58">
        <f>IF(G402="","",G402+N(I402))</f>
        <v/>
      </c>
      <c r="K402" s="53" t="n"/>
      <c r="L402" s="54">
        <f>IF(G402="","",IF(OR(K402="",K402&gt;TODAY()),"Nog betalen","Betaald"))</f>
        <v/>
      </c>
    </row>
    <row r="403">
      <c r="A403" s="53" t="n"/>
      <c r="B403" s="54">
        <f>IF(A403="","",YEAR(A403)&amp;" Q"&amp;ROUNDUP(MONTH(A403)/3,0))</f>
        <v/>
      </c>
      <c r="C403" s="55" t="n"/>
      <c r="D403" s="55" t="n"/>
      <c r="E403" s="55" t="n"/>
      <c r="F403" s="55" t="n"/>
      <c r="G403" s="56" t="n"/>
      <c r="H403" s="57" t="n"/>
      <c r="I403" s="58">
        <f>IF(G403="","",ROUND(G403*H403,2))</f>
        <v/>
      </c>
      <c r="J403" s="58">
        <f>IF(G403="","",G403+N(I403))</f>
        <v/>
      </c>
      <c r="K403" s="53" t="n"/>
      <c r="L403" s="54">
        <f>IF(G403="","",IF(OR(K403="",K403&gt;TODAY()),"Nog betalen","Betaald"))</f>
        <v/>
      </c>
    </row>
    <row r="404">
      <c r="A404" s="53" t="n"/>
      <c r="B404" s="54">
        <f>IF(A404="","",YEAR(A404)&amp;" Q"&amp;ROUNDUP(MONTH(A404)/3,0))</f>
        <v/>
      </c>
      <c r="C404" s="55" t="n"/>
      <c r="D404" s="55" t="n"/>
      <c r="E404" s="55" t="n"/>
      <c r="F404" s="55" t="n"/>
      <c r="G404" s="56" t="n"/>
      <c r="H404" s="57" t="n"/>
      <c r="I404" s="58">
        <f>IF(G404="","",ROUND(G404*H404,2))</f>
        <v/>
      </c>
      <c r="J404" s="58">
        <f>IF(G404="","",G404+N(I404))</f>
        <v/>
      </c>
      <c r="K404" s="53" t="n"/>
      <c r="L404" s="54">
        <f>IF(G404="","",IF(OR(K404="",K404&gt;TODAY()),"Nog betalen","Betaald"))</f>
        <v/>
      </c>
    </row>
    <row r="405">
      <c r="A405" s="53" t="n"/>
      <c r="B405" s="54">
        <f>IF(A405="","",YEAR(A405)&amp;" Q"&amp;ROUNDUP(MONTH(A405)/3,0))</f>
        <v/>
      </c>
      <c r="C405" s="55" t="n"/>
      <c r="D405" s="55" t="n"/>
      <c r="E405" s="55" t="n"/>
      <c r="F405" s="55" t="n"/>
      <c r="G405" s="56" t="n"/>
      <c r="H405" s="57" t="n"/>
      <c r="I405" s="58">
        <f>IF(G405="","",ROUND(G405*H405,2))</f>
        <v/>
      </c>
      <c r="J405" s="58">
        <f>IF(G405="","",G405+N(I405))</f>
        <v/>
      </c>
      <c r="K405" s="53" t="n"/>
      <c r="L405" s="54">
        <f>IF(G405="","",IF(OR(K405="",K405&gt;TODAY()),"Nog betalen","Betaald"))</f>
        <v/>
      </c>
    </row>
    <row r="406">
      <c r="A406" s="53" t="n"/>
      <c r="B406" s="54">
        <f>IF(A406="","",YEAR(A406)&amp;" Q"&amp;ROUNDUP(MONTH(A406)/3,0))</f>
        <v/>
      </c>
      <c r="C406" s="55" t="n"/>
      <c r="D406" s="55" t="n"/>
      <c r="E406" s="55" t="n"/>
      <c r="F406" s="55" t="n"/>
      <c r="G406" s="56" t="n"/>
      <c r="H406" s="57" t="n"/>
      <c r="I406" s="58">
        <f>IF(G406="","",ROUND(G406*H406,2))</f>
        <v/>
      </c>
      <c r="J406" s="58">
        <f>IF(G406="","",G406+N(I406))</f>
        <v/>
      </c>
      <c r="K406" s="53" t="n"/>
      <c r="L406" s="54">
        <f>IF(G406="","",IF(OR(K406="",K406&gt;TODAY()),"Nog betalen","Betaald"))</f>
        <v/>
      </c>
    </row>
    <row r="407">
      <c r="A407" s="53" t="n"/>
      <c r="B407" s="54">
        <f>IF(A407="","",YEAR(A407)&amp;" Q"&amp;ROUNDUP(MONTH(A407)/3,0))</f>
        <v/>
      </c>
      <c r="C407" s="55" t="n"/>
      <c r="D407" s="55" t="n"/>
      <c r="E407" s="55" t="n"/>
      <c r="F407" s="55" t="n"/>
      <c r="G407" s="56" t="n"/>
      <c r="H407" s="57" t="n"/>
      <c r="I407" s="58">
        <f>IF(G407="","",ROUND(G407*H407,2))</f>
        <v/>
      </c>
      <c r="J407" s="58">
        <f>IF(G407="","",G407+N(I407))</f>
        <v/>
      </c>
      <c r="K407" s="53" t="n"/>
      <c r="L407" s="54">
        <f>IF(G407="","",IF(OR(K407="",K407&gt;TODAY()),"Nog betalen","Betaald"))</f>
        <v/>
      </c>
    </row>
    <row r="408">
      <c r="A408" s="53" t="n"/>
      <c r="B408" s="54">
        <f>IF(A408="","",YEAR(A408)&amp;" Q"&amp;ROUNDUP(MONTH(A408)/3,0))</f>
        <v/>
      </c>
      <c r="C408" s="55" t="n"/>
      <c r="D408" s="55" t="n"/>
      <c r="E408" s="55" t="n"/>
      <c r="F408" s="55" t="n"/>
      <c r="G408" s="56" t="n"/>
      <c r="H408" s="57" t="n"/>
      <c r="I408" s="58">
        <f>IF(G408="","",ROUND(G408*H408,2))</f>
        <v/>
      </c>
      <c r="J408" s="58">
        <f>IF(G408="","",G408+N(I408))</f>
        <v/>
      </c>
      <c r="K408" s="53" t="n"/>
      <c r="L408" s="54">
        <f>IF(G408="","",IF(OR(K408="",K408&gt;TODAY()),"Nog betalen","Betaald"))</f>
        <v/>
      </c>
    </row>
    <row r="409">
      <c r="A409" s="53" t="n"/>
      <c r="B409" s="54">
        <f>IF(A409="","",YEAR(A409)&amp;" Q"&amp;ROUNDUP(MONTH(A409)/3,0))</f>
        <v/>
      </c>
      <c r="C409" s="55" t="n"/>
      <c r="D409" s="55" t="n"/>
      <c r="E409" s="55" t="n"/>
      <c r="F409" s="55" t="n"/>
      <c r="G409" s="56" t="n"/>
      <c r="H409" s="57" t="n"/>
      <c r="I409" s="58">
        <f>IF(G409="","",ROUND(G409*H409,2))</f>
        <v/>
      </c>
      <c r="J409" s="58">
        <f>IF(G409="","",G409+N(I409))</f>
        <v/>
      </c>
      <c r="K409" s="53" t="n"/>
      <c r="L409" s="54">
        <f>IF(G409="","",IF(OR(K409="",K409&gt;TODAY()),"Nog betalen","Betaald"))</f>
        <v/>
      </c>
    </row>
    <row r="410">
      <c r="A410" s="53" t="n"/>
      <c r="B410" s="54">
        <f>IF(A410="","",YEAR(A410)&amp;" Q"&amp;ROUNDUP(MONTH(A410)/3,0))</f>
        <v/>
      </c>
      <c r="C410" s="55" t="n"/>
      <c r="D410" s="55" t="n"/>
      <c r="E410" s="55" t="n"/>
      <c r="F410" s="55" t="n"/>
      <c r="G410" s="56" t="n"/>
      <c r="H410" s="57" t="n"/>
      <c r="I410" s="58">
        <f>IF(G410="","",ROUND(G410*H410,2))</f>
        <v/>
      </c>
      <c r="J410" s="58">
        <f>IF(G410="","",G410+N(I410))</f>
        <v/>
      </c>
      <c r="K410" s="53" t="n"/>
      <c r="L410" s="54">
        <f>IF(G410="","",IF(OR(K410="",K410&gt;TODAY()),"Nog betalen","Betaald"))</f>
        <v/>
      </c>
    </row>
    <row r="411">
      <c r="A411" s="53" t="n"/>
      <c r="B411" s="54">
        <f>IF(A411="","",YEAR(A411)&amp;" Q"&amp;ROUNDUP(MONTH(A411)/3,0))</f>
        <v/>
      </c>
      <c r="C411" s="55" t="n"/>
      <c r="D411" s="55" t="n"/>
      <c r="E411" s="55" t="n"/>
      <c r="F411" s="55" t="n"/>
      <c r="G411" s="56" t="n"/>
      <c r="H411" s="57" t="n"/>
      <c r="I411" s="58">
        <f>IF(G411="","",ROUND(G411*H411,2))</f>
        <v/>
      </c>
      <c r="J411" s="58">
        <f>IF(G411="","",G411+N(I411))</f>
        <v/>
      </c>
      <c r="K411" s="53" t="n"/>
      <c r="L411" s="54">
        <f>IF(G411="","",IF(OR(K411="",K411&gt;TODAY()),"Nog betalen","Betaald"))</f>
        <v/>
      </c>
    </row>
    <row r="412">
      <c r="A412" s="53" t="n"/>
      <c r="B412" s="54">
        <f>IF(A412="","",YEAR(A412)&amp;" Q"&amp;ROUNDUP(MONTH(A412)/3,0))</f>
        <v/>
      </c>
      <c r="C412" s="55" t="n"/>
      <c r="D412" s="55" t="n"/>
      <c r="E412" s="55" t="n"/>
      <c r="F412" s="55" t="n"/>
      <c r="G412" s="56" t="n"/>
      <c r="H412" s="57" t="n"/>
      <c r="I412" s="58">
        <f>IF(G412="","",ROUND(G412*H412,2))</f>
        <v/>
      </c>
      <c r="J412" s="58">
        <f>IF(G412="","",G412+N(I412))</f>
        <v/>
      </c>
      <c r="K412" s="53" t="n"/>
      <c r="L412" s="54">
        <f>IF(G412="","",IF(OR(K412="",K412&gt;TODAY()),"Nog betalen","Betaald"))</f>
        <v/>
      </c>
    </row>
    <row r="413">
      <c r="A413" s="53" t="n"/>
      <c r="B413" s="54">
        <f>IF(A413="","",YEAR(A413)&amp;" Q"&amp;ROUNDUP(MONTH(A413)/3,0))</f>
        <v/>
      </c>
      <c r="C413" s="55" t="n"/>
      <c r="D413" s="55" t="n"/>
      <c r="E413" s="55" t="n"/>
      <c r="F413" s="55" t="n"/>
      <c r="G413" s="56" t="n"/>
      <c r="H413" s="57" t="n"/>
      <c r="I413" s="58">
        <f>IF(G413="","",ROUND(G413*H413,2))</f>
        <v/>
      </c>
      <c r="J413" s="58">
        <f>IF(G413="","",G413+N(I413))</f>
        <v/>
      </c>
      <c r="K413" s="53" t="n"/>
      <c r="L413" s="54">
        <f>IF(G413="","",IF(OR(K413="",K413&gt;TODAY()),"Nog betalen","Betaald"))</f>
        <v/>
      </c>
    </row>
    <row r="414">
      <c r="A414" s="53" t="n"/>
      <c r="B414" s="54">
        <f>IF(A414="","",YEAR(A414)&amp;" Q"&amp;ROUNDUP(MONTH(A414)/3,0))</f>
        <v/>
      </c>
      <c r="C414" s="55" t="n"/>
      <c r="D414" s="55" t="n"/>
      <c r="E414" s="55" t="n"/>
      <c r="F414" s="55" t="n"/>
      <c r="G414" s="56" t="n"/>
      <c r="H414" s="57" t="n"/>
      <c r="I414" s="58">
        <f>IF(G414="","",ROUND(G414*H414,2))</f>
        <v/>
      </c>
      <c r="J414" s="58">
        <f>IF(G414="","",G414+N(I414))</f>
        <v/>
      </c>
      <c r="K414" s="53" t="n"/>
      <c r="L414" s="54">
        <f>IF(G414="","",IF(OR(K414="",K414&gt;TODAY()),"Nog betalen","Betaald"))</f>
        <v/>
      </c>
    </row>
    <row r="415">
      <c r="A415" s="53" t="n"/>
      <c r="B415" s="54">
        <f>IF(A415="","",YEAR(A415)&amp;" Q"&amp;ROUNDUP(MONTH(A415)/3,0))</f>
        <v/>
      </c>
      <c r="C415" s="55" t="n"/>
      <c r="D415" s="55" t="n"/>
      <c r="E415" s="55" t="n"/>
      <c r="F415" s="55" t="n"/>
      <c r="G415" s="56" t="n"/>
      <c r="H415" s="57" t="n"/>
      <c r="I415" s="58">
        <f>IF(G415="","",ROUND(G415*H415,2))</f>
        <v/>
      </c>
      <c r="J415" s="58">
        <f>IF(G415="","",G415+N(I415))</f>
        <v/>
      </c>
      <c r="K415" s="53" t="n"/>
      <c r="L415" s="54">
        <f>IF(G415="","",IF(OR(K415="",K415&gt;TODAY()),"Nog betalen","Betaald"))</f>
        <v/>
      </c>
    </row>
    <row r="416">
      <c r="A416" s="53" t="n"/>
      <c r="B416" s="54">
        <f>IF(A416="","",YEAR(A416)&amp;" Q"&amp;ROUNDUP(MONTH(A416)/3,0))</f>
        <v/>
      </c>
      <c r="C416" s="55" t="n"/>
      <c r="D416" s="55" t="n"/>
      <c r="E416" s="55" t="n"/>
      <c r="F416" s="55" t="n"/>
      <c r="G416" s="56" t="n"/>
      <c r="H416" s="57" t="n"/>
      <c r="I416" s="58">
        <f>IF(G416="","",ROUND(G416*H416,2))</f>
        <v/>
      </c>
      <c r="J416" s="58">
        <f>IF(G416="","",G416+N(I416))</f>
        <v/>
      </c>
      <c r="K416" s="53" t="n"/>
      <c r="L416" s="54">
        <f>IF(G416="","",IF(OR(K416="",K416&gt;TODAY()),"Nog betalen","Betaald"))</f>
        <v/>
      </c>
    </row>
    <row r="417">
      <c r="A417" s="53" t="n"/>
      <c r="B417" s="54">
        <f>IF(A417="","",YEAR(A417)&amp;" Q"&amp;ROUNDUP(MONTH(A417)/3,0))</f>
        <v/>
      </c>
      <c r="C417" s="55" t="n"/>
      <c r="D417" s="55" t="n"/>
      <c r="E417" s="55" t="n"/>
      <c r="F417" s="55" t="n"/>
      <c r="G417" s="56" t="n"/>
      <c r="H417" s="57" t="n"/>
      <c r="I417" s="58">
        <f>IF(G417="","",ROUND(G417*H417,2))</f>
        <v/>
      </c>
      <c r="J417" s="58">
        <f>IF(G417="","",G417+N(I417))</f>
        <v/>
      </c>
      <c r="K417" s="53" t="n"/>
      <c r="L417" s="54">
        <f>IF(G417="","",IF(OR(K417="",K417&gt;TODAY()),"Nog betalen","Betaald"))</f>
        <v/>
      </c>
    </row>
    <row r="418">
      <c r="A418" s="53" t="n"/>
      <c r="B418" s="54">
        <f>IF(A418="","",YEAR(A418)&amp;" Q"&amp;ROUNDUP(MONTH(A418)/3,0))</f>
        <v/>
      </c>
      <c r="C418" s="55" t="n"/>
      <c r="D418" s="55" t="n"/>
      <c r="E418" s="55" t="n"/>
      <c r="F418" s="55" t="n"/>
      <c r="G418" s="56" t="n"/>
      <c r="H418" s="57" t="n"/>
      <c r="I418" s="58">
        <f>IF(G418="","",ROUND(G418*H418,2))</f>
        <v/>
      </c>
      <c r="J418" s="58">
        <f>IF(G418="","",G418+N(I418))</f>
        <v/>
      </c>
      <c r="K418" s="53" t="n"/>
      <c r="L418" s="54">
        <f>IF(G418="","",IF(OR(K418="",K418&gt;TODAY()),"Nog betalen","Betaald"))</f>
        <v/>
      </c>
    </row>
    <row r="419">
      <c r="A419" s="53" t="n"/>
      <c r="B419" s="54">
        <f>IF(A419="","",YEAR(A419)&amp;" Q"&amp;ROUNDUP(MONTH(A419)/3,0))</f>
        <v/>
      </c>
      <c r="C419" s="55" t="n"/>
      <c r="D419" s="55" t="n"/>
      <c r="E419" s="55" t="n"/>
      <c r="F419" s="55" t="n"/>
      <c r="G419" s="56" t="n"/>
      <c r="H419" s="57" t="n"/>
      <c r="I419" s="58">
        <f>IF(G419="","",ROUND(G419*H419,2))</f>
        <v/>
      </c>
      <c r="J419" s="58">
        <f>IF(G419="","",G419+N(I419))</f>
        <v/>
      </c>
      <c r="K419" s="53" t="n"/>
      <c r="L419" s="54">
        <f>IF(G419="","",IF(OR(K419="",K419&gt;TODAY()),"Nog betalen","Betaald"))</f>
        <v/>
      </c>
    </row>
    <row r="420">
      <c r="A420" s="53" t="n"/>
      <c r="B420" s="54">
        <f>IF(A420="","",YEAR(A420)&amp;" Q"&amp;ROUNDUP(MONTH(A420)/3,0))</f>
        <v/>
      </c>
      <c r="C420" s="55" t="n"/>
      <c r="D420" s="55" t="n"/>
      <c r="E420" s="55" t="n"/>
      <c r="F420" s="55" t="n"/>
      <c r="G420" s="56" t="n"/>
      <c r="H420" s="57" t="n"/>
      <c r="I420" s="58">
        <f>IF(G420="","",ROUND(G420*H420,2))</f>
        <v/>
      </c>
      <c r="J420" s="58">
        <f>IF(G420="","",G420+N(I420))</f>
        <v/>
      </c>
      <c r="K420" s="53" t="n"/>
      <c r="L420" s="54">
        <f>IF(G420="","",IF(OR(K420="",K420&gt;TODAY()),"Nog betalen","Betaald"))</f>
        <v/>
      </c>
    </row>
    <row r="421">
      <c r="A421" s="53" t="n"/>
      <c r="B421" s="54">
        <f>IF(A421="","",YEAR(A421)&amp;" Q"&amp;ROUNDUP(MONTH(A421)/3,0))</f>
        <v/>
      </c>
      <c r="C421" s="55" t="n"/>
      <c r="D421" s="55" t="n"/>
      <c r="E421" s="55" t="n"/>
      <c r="F421" s="55" t="n"/>
      <c r="G421" s="56" t="n"/>
      <c r="H421" s="57" t="n"/>
      <c r="I421" s="58">
        <f>IF(G421="","",ROUND(G421*H421,2))</f>
        <v/>
      </c>
      <c r="J421" s="58">
        <f>IF(G421="","",G421+N(I421))</f>
        <v/>
      </c>
      <c r="K421" s="53" t="n"/>
      <c r="L421" s="54">
        <f>IF(G421="","",IF(OR(K421="",K421&gt;TODAY()),"Nog betalen","Betaald"))</f>
        <v/>
      </c>
    </row>
    <row r="422">
      <c r="A422" s="53" t="n"/>
      <c r="B422" s="54">
        <f>IF(A422="","",YEAR(A422)&amp;" Q"&amp;ROUNDUP(MONTH(A422)/3,0))</f>
        <v/>
      </c>
      <c r="C422" s="55" t="n"/>
      <c r="D422" s="55" t="n"/>
      <c r="E422" s="55" t="n"/>
      <c r="F422" s="55" t="n"/>
      <c r="G422" s="56" t="n"/>
      <c r="H422" s="57" t="n"/>
      <c r="I422" s="58">
        <f>IF(G422="","",ROUND(G422*H422,2))</f>
        <v/>
      </c>
      <c r="J422" s="58">
        <f>IF(G422="","",G422+N(I422))</f>
        <v/>
      </c>
      <c r="K422" s="53" t="n"/>
      <c r="L422" s="54">
        <f>IF(G422="","",IF(OR(K422="",K422&gt;TODAY()),"Nog betalen","Betaald"))</f>
        <v/>
      </c>
    </row>
    <row r="423">
      <c r="A423" s="53" t="n"/>
      <c r="B423" s="54">
        <f>IF(A423="","",YEAR(A423)&amp;" Q"&amp;ROUNDUP(MONTH(A423)/3,0))</f>
        <v/>
      </c>
      <c r="C423" s="55" t="n"/>
      <c r="D423" s="55" t="n"/>
      <c r="E423" s="55" t="n"/>
      <c r="F423" s="55" t="n"/>
      <c r="G423" s="56" t="n"/>
      <c r="H423" s="57" t="n"/>
      <c r="I423" s="58">
        <f>IF(G423="","",ROUND(G423*H423,2))</f>
        <v/>
      </c>
      <c r="J423" s="58">
        <f>IF(G423="","",G423+N(I423))</f>
        <v/>
      </c>
      <c r="K423" s="53" t="n"/>
      <c r="L423" s="54">
        <f>IF(G423="","",IF(OR(K423="",K423&gt;TODAY()),"Nog betalen","Betaald"))</f>
        <v/>
      </c>
    </row>
    <row r="424">
      <c r="A424" s="53" t="n"/>
      <c r="B424" s="54">
        <f>IF(A424="","",YEAR(A424)&amp;" Q"&amp;ROUNDUP(MONTH(A424)/3,0))</f>
        <v/>
      </c>
      <c r="C424" s="55" t="n"/>
      <c r="D424" s="55" t="n"/>
      <c r="E424" s="55" t="n"/>
      <c r="F424" s="55" t="n"/>
      <c r="G424" s="56" t="n"/>
      <c r="H424" s="57" t="n"/>
      <c r="I424" s="58">
        <f>IF(G424="","",ROUND(G424*H424,2))</f>
        <v/>
      </c>
      <c r="J424" s="58">
        <f>IF(G424="","",G424+N(I424))</f>
        <v/>
      </c>
      <c r="K424" s="53" t="n"/>
      <c r="L424" s="54">
        <f>IF(G424="","",IF(OR(K424="",K424&gt;TODAY()),"Nog betalen","Betaald"))</f>
        <v/>
      </c>
    </row>
    <row r="425">
      <c r="A425" s="53" t="n"/>
      <c r="B425" s="54">
        <f>IF(A425="","",YEAR(A425)&amp;" Q"&amp;ROUNDUP(MONTH(A425)/3,0))</f>
        <v/>
      </c>
      <c r="C425" s="55" t="n"/>
      <c r="D425" s="55" t="n"/>
      <c r="E425" s="55" t="n"/>
      <c r="F425" s="55" t="n"/>
      <c r="G425" s="56" t="n"/>
      <c r="H425" s="57" t="n"/>
      <c r="I425" s="58">
        <f>IF(G425="","",ROUND(G425*H425,2))</f>
        <v/>
      </c>
      <c r="J425" s="58">
        <f>IF(G425="","",G425+N(I425))</f>
        <v/>
      </c>
      <c r="K425" s="53" t="n"/>
      <c r="L425" s="54">
        <f>IF(G425="","",IF(OR(K425="",K425&gt;TODAY()),"Nog betalen","Betaald"))</f>
        <v/>
      </c>
    </row>
    <row r="426">
      <c r="A426" s="53" t="n"/>
      <c r="B426" s="54">
        <f>IF(A426="","",YEAR(A426)&amp;" Q"&amp;ROUNDUP(MONTH(A426)/3,0))</f>
        <v/>
      </c>
      <c r="C426" s="55" t="n"/>
      <c r="D426" s="55" t="n"/>
      <c r="E426" s="55" t="n"/>
      <c r="F426" s="55" t="n"/>
      <c r="G426" s="56" t="n"/>
      <c r="H426" s="57" t="n"/>
      <c r="I426" s="58">
        <f>IF(G426="","",ROUND(G426*H426,2))</f>
        <v/>
      </c>
      <c r="J426" s="58">
        <f>IF(G426="","",G426+N(I426))</f>
        <v/>
      </c>
      <c r="K426" s="53" t="n"/>
      <c r="L426" s="54">
        <f>IF(G426="","",IF(OR(K426="",K426&gt;TODAY()),"Nog betalen","Betaald"))</f>
        <v/>
      </c>
    </row>
    <row r="427">
      <c r="A427" s="53" t="n"/>
      <c r="B427" s="54">
        <f>IF(A427="","",YEAR(A427)&amp;" Q"&amp;ROUNDUP(MONTH(A427)/3,0))</f>
        <v/>
      </c>
      <c r="C427" s="55" t="n"/>
      <c r="D427" s="55" t="n"/>
      <c r="E427" s="55" t="n"/>
      <c r="F427" s="55" t="n"/>
      <c r="G427" s="56" t="n"/>
      <c r="H427" s="57" t="n"/>
      <c r="I427" s="58">
        <f>IF(G427="","",ROUND(G427*H427,2))</f>
        <v/>
      </c>
      <c r="J427" s="58">
        <f>IF(G427="","",G427+N(I427))</f>
        <v/>
      </c>
      <c r="K427" s="53" t="n"/>
      <c r="L427" s="54">
        <f>IF(G427="","",IF(OR(K427="",K427&gt;TODAY()),"Nog betalen","Betaald"))</f>
        <v/>
      </c>
    </row>
    <row r="428">
      <c r="A428" s="53" t="n"/>
      <c r="B428" s="54">
        <f>IF(A428="","",YEAR(A428)&amp;" Q"&amp;ROUNDUP(MONTH(A428)/3,0))</f>
        <v/>
      </c>
      <c r="C428" s="55" t="n"/>
      <c r="D428" s="55" t="n"/>
      <c r="E428" s="55" t="n"/>
      <c r="F428" s="55" t="n"/>
      <c r="G428" s="56" t="n"/>
      <c r="H428" s="57" t="n"/>
      <c r="I428" s="58">
        <f>IF(G428="","",ROUND(G428*H428,2))</f>
        <v/>
      </c>
      <c r="J428" s="58">
        <f>IF(G428="","",G428+N(I428))</f>
        <v/>
      </c>
      <c r="K428" s="53" t="n"/>
      <c r="L428" s="54">
        <f>IF(G428="","",IF(OR(K428="",K428&gt;TODAY()),"Nog betalen","Betaald"))</f>
        <v/>
      </c>
    </row>
    <row r="429">
      <c r="A429" s="53" t="n"/>
      <c r="B429" s="54">
        <f>IF(A429="","",YEAR(A429)&amp;" Q"&amp;ROUNDUP(MONTH(A429)/3,0))</f>
        <v/>
      </c>
      <c r="C429" s="55" t="n"/>
      <c r="D429" s="55" t="n"/>
      <c r="E429" s="55" t="n"/>
      <c r="F429" s="55" t="n"/>
      <c r="G429" s="56" t="n"/>
      <c r="H429" s="57" t="n"/>
      <c r="I429" s="58">
        <f>IF(G429="","",ROUND(G429*H429,2))</f>
        <v/>
      </c>
      <c r="J429" s="58">
        <f>IF(G429="","",G429+N(I429))</f>
        <v/>
      </c>
      <c r="K429" s="53" t="n"/>
      <c r="L429" s="54">
        <f>IF(G429="","",IF(OR(K429="",K429&gt;TODAY()),"Nog betalen","Betaald"))</f>
        <v/>
      </c>
    </row>
    <row r="430">
      <c r="A430" s="53" t="n"/>
      <c r="B430" s="54">
        <f>IF(A430="","",YEAR(A430)&amp;" Q"&amp;ROUNDUP(MONTH(A430)/3,0))</f>
        <v/>
      </c>
      <c r="C430" s="55" t="n"/>
      <c r="D430" s="55" t="n"/>
      <c r="E430" s="55" t="n"/>
      <c r="F430" s="55" t="n"/>
      <c r="G430" s="56" t="n"/>
      <c r="H430" s="57" t="n"/>
      <c r="I430" s="58">
        <f>IF(G430="","",ROUND(G430*H430,2))</f>
        <v/>
      </c>
      <c r="J430" s="58">
        <f>IF(G430="","",G430+N(I430))</f>
        <v/>
      </c>
      <c r="K430" s="53" t="n"/>
      <c r="L430" s="54">
        <f>IF(G430="","",IF(OR(K430="",K430&gt;TODAY()),"Nog betalen","Betaald"))</f>
        <v/>
      </c>
    </row>
    <row r="431">
      <c r="A431" s="53" t="n"/>
      <c r="B431" s="54">
        <f>IF(A431="","",YEAR(A431)&amp;" Q"&amp;ROUNDUP(MONTH(A431)/3,0))</f>
        <v/>
      </c>
      <c r="C431" s="55" t="n"/>
      <c r="D431" s="55" t="n"/>
      <c r="E431" s="55" t="n"/>
      <c r="F431" s="55" t="n"/>
      <c r="G431" s="56" t="n"/>
      <c r="H431" s="57" t="n"/>
      <c r="I431" s="58">
        <f>IF(G431="","",ROUND(G431*H431,2))</f>
        <v/>
      </c>
      <c r="J431" s="58">
        <f>IF(G431="","",G431+N(I431))</f>
        <v/>
      </c>
      <c r="K431" s="53" t="n"/>
      <c r="L431" s="54">
        <f>IF(G431="","",IF(OR(K431="",K431&gt;TODAY()),"Nog betalen","Betaald"))</f>
        <v/>
      </c>
    </row>
    <row r="432">
      <c r="A432" s="53" t="n"/>
      <c r="B432" s="54">
        <f>IF(A432="","",YEAR(A432)&amp;" Q"&amp;ROUNDUP(MONTH(A432)/3,0))</f>
        <v/>
      </c>
      <c r="C432" s="55" t="n"/>
      <c r="D432" s="55" t="n"/>
      <c r="E432" s="55" t="n"/>
      <c r="F432" s="55" t="n"/>
      <c r="G432" s="56" t="n"/>
      <c r="H432" s="57" t="n"/>
      <c r="I432" s="58">
        <f>IF(G432="","",ROUND(G432*H432,2))</f>
        <v/>
      </c>
      <c r="J432" s="58">
        <f>IF(G432="","",G432+N(I432))</f>
        <v/>
      </c>
      <c r="K432" s="53" t="n"/>
      <c r="L432" s="54">
        <f>IF(G432="","",IF(OR(K432="",K432&gt;TODAY()),"Nog betalen","Betaald"))</f>
        <v/>
      </c>
    </row>
    <row r="433">
      <c r="A433" s="53" t="n"/>
      <c r="B433" s="54">
        <f>IF(A433="","",YEAR(A433)&amp;" Q"&amp;ROUNDUP(MONTH(A433)/3,0))</f>
        <v/>
      </c>
      <c r="C433" s="55" t="n"/>
      <c r="D433" s="55" t="n"/>
      <c r="E433" s="55" t="n"/>
      <c r="F433" s="55" t="n"/>
      <c r="G433" s="56" t="n"/>
      <c r="H433" s="57" t="n"/>
      <c r="I433" s="58">
        <f>IF(G433="","",ROUND(G433*H433,2))</f>
        <v/>
      </c>
      <c r="J433" s="58">
        <f>IF(G433="","",G433+N(I433))</f>
        <v/>
      </c>
      <c r="K433" s="53" t="n"/>
      <c r="L433" s="54">
        <f>IF(G433="","",IF(OR(K433="",K433&gt;TODAY()),"Nog betalen","Betaald"))</f>
        <v/>
      </c>
    </row>
    <row r="434">
      <c r="A434" s="53" t="n"/>
      <c r="B434" s="54">
        <f>IF(A434="","",YEAR(A434)&amp;" Q"&amp;ROUNDUP(MONTH(A434)/3,0))</f>
        <v/>
      </c>
      <c r="C434" s="55" t="n"/>
      <c r="D434" s="55" t="n"/>
      <c r="E434" s="55" t="n"/>
      <c r="F434" s="55" t="n"/>
      <c r="G434" s="56" t="n"/>
      <c r="H434" s="57" t="n"/>
      <c r="I434" s="58">
        <f>IF(G434="","",ROUND(G434*H434,2))</f>
        <v/>
      </c>
      <c r="J434" s="58">
        <f>IF(G434="","",G434+N(I434))</f>
        <v/>
      </c>
      <c r="K434" s="53" t="n"/>
      <c r="L434" s="54">
        <f>IF(G434="","",IF(OR(K434="",K434&gt;TODAY()),"Nog betalen","Betaald"))</f>
        <v/>
      </c>
    </row>
    <row r="435">
      <c r="A435" s="53" t="n"/>
      <c r="B435" s="54">
        <f>IF(A435="","",YEAR(A435)&amp;" Q"&amp;ROUNDUP(MONTH(A435)/3,0))</f>
        <v/>
      </c>
      <c r="C435" s="55" t="n"/>
      <c r="D435" s="55" t="n"/>
      <c r="E435" s="55" t="n"/>
      <c r="F435" s="55" t="n"/>
      <c r="G435" s="56" t="n"/>
      <c r="H435" s="57" t="n"/>
      <c r="I435" s="58">
        <f>IF(G435="","",ROUND(G435*H435,2))</f>
        <v/>
      </c>
      <c r="J435" s="58">
        <f>IF(G435="","",G435+N(I435))</f>
        <v/>
      </c>
      <c r="K435" s="53" t="n"/>
      <c r="L435" s="54">
        <f>IF(G435="","",IF(OR(K435="",K435&gt;TODAY()),"Nog betalen","Betaald"))</f>
        <v/>
      </c>
    </row>
    <row r="436">
      <c r="A436" s="53" t="n"/>
      <c r="B436" s="54">
        <f>IF(A436="","",YEAR(A436)&amp;" Q"&amp;ROUNDUP(MONTH(A436)/3,0))</f>
        <v/>
      </c>
      <c r="C436" s="55" t="n"/>
      <c r="D436" s="55" t="n"/>
      <c r="E436" s="55" t="n"/>
      <c r="F436" s="55" t="n"/>
      <c r="G436" s="56" t="n"/>
      <c r="H436" s="57" t="n"/>
      <c r="I436" s="58">
        <f>IF(G436="","",ROUND(G436*H436,2))</f>
        <v/>
      </c>
      <c r="J436" s="58">
        <f>IF(G436="","",G436+N(I436))</f>
        <v/>
      </c>
      <c r="K436" s="53" t="n"/>
      <c r="L436" s="54">
        <f>IF(G436="","",IF(OR(K436="",K436&gt;TODAY()),"Nog betalen","Betaald"))</f>
        <v/>
      </c>
    </row>
    <row r="437">
      <c r="A437" s="53" t="n"/>
      <c r="B437" s="54">
        <f>IF(A437="","",YEAR(A437)&amp;" Q"&amp;ROUNDUP(MONTH(A437)/3,0))</f>
        <v/>
      </c>
      <c r="C437" s="55" t="n"/>
      <c r="D437" s="55" t="n"/>
      <c r="E437" s="55" t="n"/>
      <c r="F437" s="55" t="n"/>
      <c r="G437" s="56" t="n"/>
      <c r="H437" s="57" t="n"/>
      <c r="I437" s="58">
        <f>IF(G437="","",ROUND(G437*H437,2))</f>
        <v/>
      </c>
      <c r="J437" s="58">
        <f>IF(G437="","",G437+N(I437))</f>
        <v/>
      </c>
      <c r="K437" s="53" t="n"/>
      <c r="L437" s="54">
        <f>IF(G437="","",IF(OR(K437="",K437&gt;TODAY()),"Nog betalen","Betaald"))</f>
        <v/>
      </c>
    </row>
    <row r="438">
      <c r="A438" s="53" t="n"/>
      <c r="B438" s="54">
        <f>IF(A438="","",YEAR(A438)&amp;" Q"&amp;ROUNDUP(MONTH(A438)/3,0))</f>
        <v/>
      </c>
      <c r="C438" s="55" t="n"/>
      <c r="D438" s="55" t="n"/>
      <c r="E438" s="55" t="n"/>
      <c r="F438" s="55" t="n"/>
      <c r="G438" s="56" t="n"/>
      <c r="H438" s="57" t="n"/>
      <c r="I438" s="58">
        <f>IF(G438="","",ROUND(G438*H438,2))</f>
        <v/>
      </c>
      <c r="J438" s="58">
        <f>IF(G438="","",G438+N(I438))</f>
        <v/>
      </c>
      <c r="K438" s="53" t="n"/>
      <c r="L438" s="54">
        <f>IF(G438="","",IF(OR(K438="",K438&gt;TODAY()),"Nog betalen","Betaald"))</f>
        <v/>
      </c>
    </row>
    <row r="439">
      <c r="A439" s="53" t="n"/>
      <c r="B439" s="54">
        <f>IF(A439="","",YEAR(A439)&amp;" Q"&amp;ROUNDUP(MONTH(A439)/3,0))</f>
        <v/>
      </c>
      <c r="C439" s="55" t="n"/>
      <c r="D439" s="55" t="n"/>
      <c r="E439" s="55" t="n"/>
      <c r="F439" s="55" t="n"/>
      <c r="G439" s="56" t="n"/>
      <c r="H439" s="57" t="n"/>
      <c r="I439" s="58">
        <f>IF(G439="","",ROUND(G439*H439,2))</f>
        <v/>
      </c>
      <c r="J439" s="58">
        <f>IF(G439="","",G439+N(I439))</f>
        <v/>
      </c>
      <c r="K439" s="53" t="n"/>
      <c r="L439" s="54">
        <f>IF(G439="","",IF(OR(K439="",K439&gt;TODAY()),"Nog betalen","Betaald"))</f>
        <v/>
      </c>
    </row>
    <row r="440">
      <c r="A440" s="53" t="n"/>
      <c r="B440" s="54">
        <f>IF(A440="","",YEAR(A440)&amp;" Q"&amp;ROUNDUP(MONTH(A440)/3,0))</f>
        <v/>
      </c>
      <c r="C440" s="55" t="n"/>
      <c r="D440" s="55" t="n"/>
      <c r="E440" s="55" t="n"/>
      <c r="F440" s="55" t="n"/>
      <c r="G440" s="56" t="n"/>
      <c r="H440" s="57" t="n"/>
      <c r="I440" s="58">
        <f>IF(G440="","",ROUND(G440*H440,2))</f>
        <v/>
      </c>
      <c r="J440" s="58">
        <f>IF(G440="","",G440+N(I440))</f>
        <v/>
      </c>
      <c r="K440" s="53" t="n"/>
      <c r="L440" s="54">
        <f>IF(G440="","",IF(OR(K440="",K440&gt;TODAY()),"Nog betalen","Betaald"))</f>
        <v/>
      </c>
    </row>
    <row r="441">
      <c r="A441" s="53" t="n"/>
      <c r="B441" s="54">
        <f>IF(A441="","",YEAR(A441)&amp;" Q"&amp;ROUNDUP(MONTH(A441)/3,0))</f>
        <v/>
      </c>
      <c r="C441" s="55" t="n"/>
      <c r="D441" s="55" t="n"/>
      <c r="E441" s="55" t="n"/>
      <c r="F441" s="55" t="n"/>
      <c r="G441" s="56" t="n"/>
      <c r="H441" s="57" t="n"/>
      <c r="I441" s="58">
        <f>IF(G441="","",ROUND(G441*H441,2))</f>
        <v/>
      </c>
      <c r="J441" s="58">
        <f>IF(G441="","",G441+N(I441))</f>
        <v/>
      </c>
      <c r="K441" s="53" t="n"/>
      <c r="L441" s="54">
        <f>IF(G441="","",IF(OR(K441="",K441&gt;TODAY()),"Nog betalen","Betaald"))</f>
        <v/>
      </c>
    </row>
    <row r="442">
      <c r="A442" s="53" t="n"/>
      <c r="B442" s="54">
        <f>IF(A442="","",YEAR(A442)&amp;" Q"&amp;ROUNDUP(MONTH(A442)/3,0))</f>
        <v/>
      </c>
      <c r="C442" s="55" t="n"/>
      <c r="D442" s="55" t="n"/>
      <c r="E442" s="55" t="n"/>
      <c r="F442" s="55" t="n"/>
      <c r="G442" s="56" t="n"/>
      <c r="H442" s="57" t="n"/>
      <c r="I442" s="58">
        <f>IF(G442="","",ROUND(G442*H442,2))</f>
        <v/>
      </c>
      <c r="J442" s="58">
        <f>IF(G442="","",G442+N(I442))</f>
        <v/>
      </c>
      <c r="K442" s="53" t="n"/>
      <c r="L442" s="54">
        <f>IF(G442="","",IF(OR(K442="",K442&gt;TODAY()),"Nog betalen","Betaald"))</f>
        <v/>
      </c>
    </row>
    <row r="443">
      <c r="A443" s="53" t="n"/>
      <c r="B443" s="54">
        <f>IF(A443="","",YEAR(A443)&amp;" Q"&amp;ROUNDUP(MONTH(A443)/3,0))</f>
        <v/>
      </c>
      <c r="C443" s="55" t="n"/>
      <c r="D443" s="55" t="n"/>
      <c r="E443" s="55" t="n"/>
      <c r="F443" s="55" t="n"/>
      <c r="G443" s="56" t="n"/>
      <c r="H443" s="57" t="n"/>
      <c r="I443" s="58">
        <f>IF(G443="","",ROUND(G443*H443,2))</f>
        <v/>
      </c>
      <c r="J443" s="58">
        <f>IF(G443="","",G443+N(I443))</f>
        <v/>
      </c>
      <c r="K443" s="53" t="n"/>
      <c r="L443" s="54">
        <f>IF(G443="","",IF(OR(K443="",K443&gt;TODAY()),"Nog betalen","Betaald"))</f>
        <v/>
      </c>
    </row>
    <row r="444">
      <c r="A444" s="53" t="n"/>
      <c r="B444" s="54">
        <f>IF(A444="","",YEAR(A444)&amp;" Q"&amp;ROUNDUP(MONTH(A444)/3,0))</f>
        <v/>
      </c>
      <c r="C444" s="55" t="n"/>
      <c r="D444" s="55" t="n"/>
      <c r="E444" s="55" t="n"/>
      <c r="F444" s="55" t="n"/>
      <c r="G444" s="56" t="n"/>
      <c r="H444" s="57" t="n"/>
      <c r="I444" s="58">
        <f>IF(G444="","",ROUND(G444*H444,2))</f>
        <v/>
      </c>
      <c r="J444" s="58">
        <f>IF(G444="","",G444+N(I444))</f>
        <v/>
      </c>
      <c r="K444" s="53" t="n"/>
      <c r="L444" s="54">
        <f>IF(G444="","",IF(OR(K444="",K444&gt;TODAY()),"Nog betalen","Betaald"))</f>
        <v/>
      </c>
    </row>
    <row r="445">
      <c r="A445" s="53" t="n"/>
      <c r="B445" s="54">
        <f>IF(A445="","",YEAR(A445)&amp;" Q"&amp;ROUNDUP(MONTH(A445)/3,0))</f>
        <v/>
      </c>
      <c r="C445" s="55" t="n"/>
      <c r="D445" s="55" t="n"/>
      <c r="E445" s="55" t="n"/>
      <c r="F445" s="55" t="n"/>
      <c r="G445" s="56" t="n"/>
      <c r="H445" s="57" t="n"/>
      <c r="I445" s="58">
        <f>IF(G445="","",ROUND(G445*H445,2))</f>
        <v/>
      </c>
      <c r="J445" s="58">
        <f>IF(G445="","",G445+N(I445))</f>
        <v/>
      </c>
      <c r="K445" s="53" t="n"/>
      <c r="L445" s="54">
        <f>IF(G445="","",IF(OR(K445="",K445&gt;TODAY()),"Nog betalen","Betaald"))</f>
        <v/>
      </c>
    </row>
    <row r="446">
      <c r="A446" s="53" t="n"/>
      <c r="B446" s="54">
        <f>IF(A446="","",YEAR(A446)&amp;" Q"&amp;ROUNDUP(MONTH(A446)/3,0))</f>
        <v/>
      </c>
      <c r="C446" s="55" t="n"/>
      <c r="D446" s="55" t="n"/>
      <c r="E446" s="55" t="n"/>
      <c r="F446" s="55" t="n"/>
      <c r="G446" s="56" t="n"/>
      <c r="H446" s="57" t="n"/>
      <c r="I446" s="58">
        <f>IF(G446="","",ROUND(G446*H446,2))</f>
        <v/>
      </c>
      <c r="J446" s="58">
        <f>IF(G446="","",G446+N(I446))</f>
        <v/>
      </c>
      <c r="K446" s="53" t="n"/>
      <c r="L446" s="54">
        <f>IF(G446="","",IF(OR(K446="",K446&gt;TODAY()),"Nog betalen","Betaald"))</f>
        <v/>
      </c>
    </row>
    <row r="447">
      <c r="A447" s="53" t="n"/>
      <c r="B447" s="54">
        <f>IF(A447="","",YEAR(A447)&amp;" Q"&amp;ROUNDUP(MONTH(A447)/3,0))</f>
        <v/>
      </c>
      <c r="C447" s="55" t="n"/>
      <c r="D447" s="55" t="n"/>
      <c r="E447" s="55" t="n"/>
      <c r="F447" s="55" t="n"/>
      <c r="G447" s="56" t="n"/>
      <c r="H447" s="57" t="n"/>
      <c r="I447" s="58">
        <f>IF(G447="","",ROUND(G447*H447,2))</f>
        <v/>
      </c>
      <c r="J447" s="58">
        <f>IF(G447="","",G447+N(I447))</f>
        <v/>
      </c>
      <c r="K447" s="53" t="n"/>
      <c r="L447" s="54">
        <f>IF(G447="","",IF(OR(K447="",K447&gt;TODAY()),"Nog betalen","Betaald"))</f>
        <v/>
      </c>
    </row>
    <row r="448">
      <c r="A448" s="53" t="n"/>
      <c r="B448" s="54">
        <f>IF(A448="","",YEAR(A448)&amp;" Q"&amp;ROUNDUP(MONTH(A448)/3,0))</f>
        <v/>
      </c>
      <c r="C448" s="55" t="n"/>
      <c r="D448" s="55" t="n"/>
      <c r="E448" s="55" t="n"/>
      <c r="F448" s="55" t="n"/>
      <c r="G448" s="56" t="n"/>
      <c r="H448" s="57" t="n"/>
      <c r="I448" s="58">
        <f>IF(G448="","",ROUND(G448*H448,2))</f>
        <v/>
      </c>
      <c r="J448" s="58">
        <f>IF(G448="","",G448+N(I448))</f>
        <v/>
      </c>
      <c r="K448" s="53" t="n"/>
      <c r="L448" s="54">
        <f>IF(G448="","",IF(OR(K448="",K448&gt;TODAY()),"Nog betalen","Betaald"))</f>
        <v/>
      </c>
    </row>
    <row r="449">
      <c r="A449" s="53" t="n"/>
      <c r="B449" s="54">
        <f>IF(A449="","",YEAR(A449)&amp;" Q"&amp;ROUNDUP(MONTH(A449)/3,0))</f>
        <v/>
      </c>
      <c r="C449" s="55" t="n"/>
      <c r="D449" s="55" t="n"/>
      <c r="E449" s="55" t="n"/>
      <c r="F449" s="55" t="n"/>
      <c r="G449" s="56" t="n"/>
      <c r="H449" s="57" t="n"/>
      <c r="I449" s="58">
        <f>IF(G449="","",ROUND(G449*H449,2))</f>
        <v/>
      </c>
      <c r="J449" s="58">
        <f>IF(G449="","",G449+N(I449))</f>
        <v/>
      </c>
      <c r="K449" s="53" t="n"/>
      <c r="L449" s="54">
        <f>IF(G449="","",IF(OR(K449="",K449&gt;TODAY()),"Nog betalen","Betaald"))</f>
        <v/>
      </c>
    </row>
    <row r="450">
      <c r="A450" s="53" t="n"/>
      <c r="B450" s="54">
        <f>IF(A450="","",YEAR(A450)&amp;" Q"&amp;ROUNDUP(MONTH(A450)/3,0))</f>
        <v/>
      </c>
      <c r="C450" s="55" t="n"/>
      <c r="D450" s="55" t="n"/>
      <c r="E450" s="55" t="n"/>
      <c r="F450" s="55" t="n"/>
      <c r="G450" s="56" t="n"/>
      <c r="H450" s="57" t="n"/>
      <c r="I450" s="58">
        <f>IF(G450="","",ROUND(G450*H450,2))</f>
        <v/>
      </c>
      <c r="J450" s="58">
        <f>IF(G450="","",G450+N(I450))</f>
        <v/>
      </c>
      <c r="K450" s="53" t="n"/>
      <c r="L450" s="54">
        <f>IF(G450="","",IF(OR(K450="",K450&gt;TODAY()),"Nog betalen","Betaald"))</f>
        <v/>
      </c>
    </row>
    <row r="451">
      <c r="A451" s="53" t="n"/>
      <c r="B451" s="54">
        <f>IF(A451="","",YEAR(A451)&amp;" Q"&amp;ROUNDUP(MONTH(A451)/3,0))</f>
        <v/>
      </c>
      <c r="C451" s="55" t="n"/>
      <c r="D451" s="55" t="n"/>
      <c r="E451" s="55" t="n"/>
      <c r="F451" s="55" t="n"/>
      <c r="G451" s="56" t="n"/>
      <c r="H451" s="57" t="n"/>
      <c r="I451" s="58">
        <f>IF(G451="","",ROUND(G451*H451,2))</f>
        <v/>
      </c>
      <c r="J451" s="58">
        <f>IF(G451="","",G451+N(I451))</f>
        <v/>
      </c>
      <c r="K451" s="53" t="n"/>
      <c r="L451" s="54">
        <f>IF(G451="","",IF(OR(K451="",K451&gt;TODAY()),"Nog betalen","Betaald"))</f>
        <v/>
      </c>
    </row>
    <row r="452">
      <c r="A452" s="53" t="n"/>
      <c r="B452" s="54">
        <f>IF(A452="","",YEAR(A452)&amp;" Q"&amp;ROUNDUP(MONTH(A452)/3,0))</f>
        <v/>
      </c>
      <c r="C452" s="55" t="n"/>
      <c r="D452" s="55" t="n"/>
      <c r="E452" s="55" t="n"/>
      <c r="F452" s="55" t="n"/>
      <c r="G452" s="56" t="n"/>
      <c r="H452" s="57" t="n"/>
      <c r="I452" s="58">
        <f>IF(G452="","",ROUND(G452*H452,2))</f>
        <v/>
      </c>
      <c r="J452" s="58">
        <f>IF(G452="","",G452+N(I452))</f>
        <v/>
      </c>
      <c r="K452" s="53" t="n"/>
      <c r="L452" s="54">
        <f>IF(G452="","",IF(OR(K452="",K452&gt;TODAY()),"Nog betalen","Betaald"))</f>
        <v/>
      </c>
    </row>
    <row r="453">
      <c r="A453" s="53" t="n"/>
      <c r="B453" s="54">
        <f>IF(A453="","",YEAR(A453)&amp;" Q"&amp;ROUNDUP(MONTH(A453)/3,0))</f>
        <v/>
      </c>
      <c r="C453" s="55" t="n"/>
      <c r="D453" s="55" t="n"/>
      <c r="E453" s="55" t="n"/>
      <c r="F453" s="55" t="n"/>
      <c r="G453" s="56" t="n"/>
      <c r="H453" s="57" t="n"/>
      <c r="I453" s="58">
        <f>IF(G453="","",ROUND(G453*H453,2))</f>
        <v/>
      </c>
      <c r="J453" s="58">
        <f>IF(G453="","",G453+N(I453))</f>
        <v/>
      </c>
      <c r="K453" s="53" t="n"/>
      <c r="L453" s="54">
        <f>IF(G453="","",IF(OR(K453="",K453&gt;TODAY()),"Nog betalen","Betaald"))</f>
        <v/>
      </c>
    </row>
    <row r="454">
      <c r="A454" s="53" t="n"/>
      <c r="B454" s="54">
        <f>IF(A454="","",YEAR(A454)&amp;" Q"&amp;ROUNDUP(MONTH(A454)/3,0))</f>
        <v/>
      </c>
      <c r="C454" s="55" t="n"/>
      <c r="D454" s="55" t="n"/>
      <c r="E454" s="55" t="n"/>
      <c r="F454" s="55" t="n"/>
      <c r="G454" s="56" t="n"/>
      <c r="H454" s="57" t="n"/>
      <c r="I454" s="58">
        <f>IF(G454="","",ROUND(G454*H454,2))</f>
        <v/>
      </c>
      <c r="J454" s="58">
        <f>IF(G454="","",G454+N(I454))</f>
        <v/>
      </c>
      <c r="K454" s="53" t="n"/>
      <c r="L454" s="54">
        <f>IF(G454="","",IF(OR(K454="",K454&gt;TODAY()),"Nog betalen","Betaald"))</f>
        <v/>
      </c>
    </row>
    <row r="455">
      <c r="A455" s="53" t="n"/>
      <c r="B455" s="54">
        <f>IF(A455="","",YEAR(A455)&amp;" Q"&amp;ROUNDUP(MONTH(A455)/3,0))</f>
        <v/>
      </c>
      <c r="C455" s="55" t="n"/>
      <c r="D455" s="55" t="n"/>
      <c r="E455" s="55" t="n"/>
      <c r="F455" s="55" t="n"/>
      <c r="G455" s="56" t="n"/>
      <c r="H455" s="57" t="n"/>
      <c r="I455" s="58">
        <f>IF(G455="","",ROUND(G455*H455,2))</f>
        <v/>
      </c>
      <c r="J455" s="58">
        <f>IF(G455="","",G455+N(I455))</f>
        <v/>
      </c>
      <c r="K455" s="53" t="n"/>
      <c r="L455" s="54">
        <f>IF(G455="","",IF(OR(K455="",K455&gt;TODAY()),"Nog betalen","Betaald"))</f>
        <v/>
      </c>
    </row>
    <row r="456">
      <c r="A456" s="53" t="n"/>
      <c r="B456" s="54">
        <f>IF(A456="","",YEAR(A456)&amp;" Q"&amp;ROUNDUP(MONTH(A456)/3,0))</f>
        <v/>
      </c>
      <c r="C456" s="55" t="n"/>
      <c r="D456" s="55" t="n"/>
      <c r="E456" s="55" t="n"/>
      <c r="F456" s="55" t="n"/>
      <c r="G456" s="56" t="n"/>
      <c r="H456" s="57" t="n"/>
      <c r="I456" s="58">
        <f>IF(G456="","",ROUND(G456*H456,2))</f>
        <v/>
      </c>
      <c r="J456" s="58">
        <f>IF(G456="","",G456+N(I456))</f>
        <v/>
      </c>
      <c r="K456" s="53" t="n"/>
      <c r="L456" s="54">
        <f>IF(G456="","",IF(OR(K456="",K456&gt;TODAY()),"Nog betalen","Betaald"))</f>
        <v/>
      </c>
    </row>
    <row r="457">
      <c r="A457" s="53" t="n"/>
      <c r="B457" s="54">
        <f>IF(A457="","",YEAR(A457)&amp;" Q"&amp;ROUNDUP(MONTH(A457)/3,0))</f>
        <v/>
      </c>
      <c r="C457" s="55" t="n"/>
      <c r="D457" s="55" t="n"/>
      <c r="E457" s="55" t="n"/>
      <c r="F457" s="55" t="n"/>
      <c r="G457" s="56" t="n"/>
      <c r="H457" s="57" t="n"/>
      <c r="I457" s="58">
        <f>IF(G457="","",ROUND(G457*H457,2))</f>
        <v/>
      </c>
      <c r="J457" s="58">
        <f>IF(G457="","",G457+N(I457))</f>
        <v/>
      </c>
      <c r="K457" s="53" t="n"/>
      <c r="L457" s="54">
        <f>IF(G457="","",IF(OR(K457="",K457&gt;TODAY()),"Nog betalen","Betaald"))</f>
        <v/>
      </c>
    </row>
    <row r="458">
      <c r="A458" s="53" t="n"/>
      <c r="B458" s="54">
        <f>IF(A458="","",YEAR(A458)&amp;" Q"&amp;ROUNDUP(MONTH(A458)/3,0))</f>
        <v/>
      </c>
      <c r="C458" s="55" t="n"/>
      <c r="D458" s="55" t="n"/>
      <c r="E458" s="55" t="n"/>
      <c r="F458" s="55" t="n"/>
      <c r="G458" s="56" t="n"/>
      <c r="H458" s="57" t="n"/>
      <c r="I458" s="58">
        <f>IF(G458="","",ROUND(G458*H458,2))</f>
        <v/>
      </c>
      <c r="J458" s="58">
        <f>IF(G458="","",G458+N(I458))</f>
        <v/>
      </c>
      <c r="K458" s="53" t="n"/>
      <c r="L458" s="54">
        <f>IF(G458="","",IF(OR(K458="",K458&gt;TODAY()),"Nog betalen","Betaald"))</f>
        <v/>
      </c>
    </row>
    <row r="459">
      <c r="A459" s="53" t="n"/>
      <c r="B459" s="54">
        <f>IF(A459="","",YEAR(A459)&amp;" Q"&amp;ROUNDUP(MONTH(A459)/3,0))</f>
        <v/>
      </c>
      <c r="C459" s="55" t="n"/>
      <c r="D459" s="55" t="n"/>
      <c r="E459" s="55" t="n"/>
      <c r="F459" s="55" t="n"/>
      <c r="G459" s="56" t="n"/>
      <c r="H459" s="57" t="n"/>
      <c r="I459" s="58">
        <f>IF(G459="","",ROUND(G459*H459,2))</f>
        <v/>
      </c>
      <c r="J459" s="58">
        <f>IF(G459="","",G459+N(I459))</f>
        <v/>
      </c>
      <c r="K459" s="53" t="n"/>
      <c r="L459" s="54">
        <f>IF(G459="","",IF(OR(K459="",K459&gt;TODAY()),"Nog betalen","Betaald"))</f>
        <v/>
      </c>
    </row>
    <row r="460">
      <c r="A460" s="53" t="n"/>
      <c r="B460" s="54">
        <f>IF(A460="","",YEAR(A460)&amp;" Q"&amp;ROUNDUP(MONTH(A460)/3,0))</f>
        <v/>
      </c>
      <c r="C460" s="55" t="n"/>
      <c r="D460" s="55" t="n"/>
      <c r="E460" s="55" t="n"/>
      <c r="F460" s="55" t="n"/>
      <c r="G460" s="56" t="n"/>
      <c r="H460" s="57" t="n"/>
      <c r="I460" s="58">
        <f>IF(G460="","",ROUND(G460*H460,2))</f>
        <v/>
      </c>
      <c r="J460" s="58">
        <f>IF(G460="","",G460+N(I460))</f>
        <v/>
      </c>
      <c r="K460" s="53" t="n"/>
      <c r="L460" s="54">
        <f>IF(G460="","",IF(OR(K460="",K460&gt;TODAY()),"Nog betalen","Betaald"))</f>
        <v/>
      </c>
    </row>
    <row r="461">
      <c r="A461" s="53" t="n"/>
      <c r="B461" s="54">
        <f>IF(A461="","",YEAR(A461)&amp;" Q"&amp;ROUNDUP(MONTH(A461)/3,0))</f>
        <v/>
      </c>
      <c r="C461" s="55" t="n"/>
      <c r="D461" s="55" t="n"/>
      <c r="E461" s="55" t="n"/>
      <c r="F461" s="55" t="n"/>
      <c r="G461" s="56" t="n"/>
      <c r="H461" s="57" t="n"/>
      <c r="I461" s="58">
        <f>IF(G461="","",ROUND(G461*H461,2))</f>
        <v/>
      </c>
      <c r="J461" s="58">
        <f>IF(G461="","",G461+N(I461))</f>
        <v/>
      </c>
      <c r="K461" s="53" t="n"/>
      <c r="L461" s="54">
        <f>IF(G461="","",IF(OR(K461="",K461&gt;TODAY()),"Nog betalen","Betaald"))</f>
        <v/>
      </c>
    </row>
    <row r="462">
      <c r="A462" s="53" t="n"/>
      <c r="B462" s="54">
        <f>IF(A462="","",YEAR(A462)&amp;" Q"&amp;ROUNDUP(MONTH(A462)/3,0))</f>
        <v/>
      </c>
      <c r="C462" s="55" t="n"/>
      <c r="D462" s="55" t="n"/>
      <c r="E462" s="55" t="n"/>
      <c r="F462" s="55" t="n"/>
      <c r="G462" s="56" t="n"/>
      <c r="H462" s="57" t="n"/>
      <c r="I462" s="58">
        <f>IF(G462="","",ROUND(G462*H462,2))</f>
        <v/>
      </c>
      <c r="J462" s="58">
        <f>IF(G462="","",G462+N(I462))</f>
        <v/>
      </c>
      <c r="K462" s="53" t="n"/>
      <c r="L462" s="54">
        <f>IF(G462="","",IF(OR(K462="",K462&gt;TODAY()),"Nog betalen","Betaald"))</f>
        <v/>
      </c>
    </row>
    <row r="463">
      <c r="A463" s="53" t="n"/>
      <c r="B463" s="54">
        <f>IF(A463="","",YEAR(A463)&amp;" Q"&amp;ROUNDUP(MONTH(A463)/3,0))</f>
        <v/>
      </c>
      <c r="C463" s="55" t="n"/>
      <c r="D463" s="55" t="n"/>
      <c r="E463" s="55" t="n"/>
      <c r="F463" s="55" t="n"/>
      <c r="G463" s="56" t="n"/>
      <c r="H463" s="57" t="n"/>
      <c r="I463" s="58">
        <f>IF(G463="","",ROUND(G463*H463,2))</f>
        <v/>
      </c>
      <c r="J463" s="58">
        <f>IF(G463="","",G463+N(I463))</f>
        <v/>
      </c>
      <c r="K463" s="53" t="n"/>
      <c r="L463" s="54">
        <f>IF(G463="","",IF(OR(K463="",K463&gt;TODAY()),"Nog betalen","Betaald"))</f>
        <v/>
      </c>
    </row>
    <row r="464">
      <c r="A464" s="53" t="n"/>
      <c r="B464" s="54">
        <f>IF(A464="","",YEAR(A464)&amp;" Q"&amp;ROUNDUP(MONTH(A464)/3,0))</f>
        <v/>
      </c>
      <c r="C464" s="55" t="n"/>
      <c r="D464" s="55" t="n"/>
      <c r="E464" s="55" t="n"/>
      <c r="F464" s="55" t="n"/>
      <c r="G464" s="56" t="n"/>
      <c r="H464" s="57" t="n"/>
      <c r="I464" s="58">
        <f>IF(G464="","",ROUND(G464*H464,2))</f>
        <v/>
      </c>
      <c r="J464" s="58">
        <f>IF(G464="","",G464+N(I464))</f>
        <v/>
      </c>
      <c r="K464" s="53" t="n"/>
      <c r="L464" s="54">
        <f>IF(G464="","",IF(OR(K464="",K464&gt;TODAY()),"Nog betalen","Betaald"))</f>
        <v/>
      </c>
    </row>
    <row r="465">
      <c r="A465" s="53" t="n"/>
      <c r="B465" s="54">
        <f>IF(A465="","",YEAR(A465)&amp;" Q"&amp;ROUNDUP(MONTH(A465)/3,0))</f>
        <v/>
      </c>
      <c r="C465" s="55" t="n"/>
      <c r="D465" s="55" t="n"/>
      <c r="E465" s="55" t="n"/>
      <c r="F465" s="55" t="n"/>
      <c r="G465" s="56" t="n"/>
      <c r="H465" s="57" t="n"/>
      <c r="I465" s="58">
        <f>IF(G465="","",ROUND(G465*H465,2))</f>
        <v/>
      </c>
      <c r="J465" s="58">
        <f>IF(G465="","",G465+N(I465))</f>
        <v/>
      </c>
      <c r="K465" s="53" t="n"/>
      <c r="L465" s="54">
        <f>IF(G465="","",IF(OR(K465="",K465&gt;TODAY()),"Nog betalen","Betaald"))</f>
        <v/>
      </c>
    </row>
    <row r="466">
      <c r="A466" s="53" t="n"/>
      <c r="B466" s="54">
        <f>IF(A466="","",YEAR(A466)&amp;" Q"&amp;ROUNDUP(MONTH(A466)/3,0))</f>
        <v/>
      </c>
      <c r="C466" s="55" t="n"/>
      <c r="D466" s="55" t="n"/>
      <c r="E466" s="55" t="n"/>
      <c r="F466" s="55" t="n"/>
      <c r="G466" s="56" t="n"/>
      <c r="H466" s="57" t="n"/>
      <c r="I466" s="58">
        <f>IF(G466="","",ROUND(G466*H466,2))</f>
        <v/>
      </c>
      <c r="J466" s="58">
        <f>IF(G466="","",G466+N(I466))</f>
        <v/>
      </c>
      <c r="K466" s="53" t="n"/>
      <c r="L466" s="54">
        <f>IF(G466="","",IF(OR(K466="",K466&gt;TODAY()),"Nog betalen","Betaald"))</f>
        <v/>
      </c>
    </row>
    <row r="467">
      <c r="A467" s="53" t="n"/>
      <c r="B467" s="54">
        <f>IF(A467="","",YEAR(A467)&amp;" Q"&amp;ROUNDUP(MONTH(A467)/3,0))</f>
        <v/>
      </c>
      <c r="C467" s="55" t="n"/>
      <c r="D467" s="55" t="n"/>
      <c r="E467" s="55" t="n"/>
      <c r="F467" s="55" t="n"/>
      <c r="G467" s="56" t="n"/>
      <c r="H467" s="57" t="n"/>
      <c r="I467" s="58">
        <f>IF(G467="","",ROUND(G467*H467,2))</f>
        <v/>
      </c>
      <c r="J467" s="58">
        <f>IF(G467="","",G467+N(I467))</f>
        <v/>
      </c>
      <c r="K467" s="53" t="n"/>
      <c r="L467" s="54">
        <f>IF(G467="","",IF(OR(K467="",K467&gt;TODAY()),"Nog betalen","Betaald"))</f>
        <v/>
      </c>
    </row>
    <row r="468">
      <c r="A468" s="53" t="n"/>
      <c r="B468" s="54">
        <f>IF(A468="","",YEAR(A468)&amp;" Q"&amp;ROUNDUP(MONTH(A468)/3,0))</f>
        <v/>
      </c>
      <c r="C468" s="55" t="n"/>
      <c r="D468" s="55" t="n"/>
      <c r="E468" s="55" t="n"/>
      <c r="F468" s="55" t="n"/>
      <c r="G468" s="56" t="n"/>
      <c r="H468" s="57" t="n"/>
      <c r="I468" s="58">
        <f>IF(G468="","",ROUND(G468*H468,2))</f>
        <v/>
      </c>
      <c r="J468" s="58">
        <f>IF(G468="","",G468+N(I468))</f>
        <v/>
      </c>
      <c r="K468" s="53" t="n"/>
      <c r="L468" s="54">
        <f>IF(G468="","",IF(OR(K468="",K468&gt;TODAY()),"Nog betalen","Betaald"))</f>
        <v/>
      </c>
    </row>
    <row r="469">
      <c r="A469" s="53" t="n"/>
      <c r="B469" s="54">
        <f>IF(A469="","",YEAR(A469)&amp;" Q"&amp;ROUNDUP(MONTH(A469)/3,0))</f>
        <v/>
      </c>
      <c r="C469" s="55" t="n"/>
      <c r="D469" s="55" t="n"/>
      <c r="E469" s="55" t="n"/>
      <c r="F469" s="55" t="n"/>
      <c r="G469" s="56" t="n"/>
      <c r="H469" s="57" t="n"/>
      <c r="I469" s="58">
        <f>IF(G469="","",ROUND(G469*H469,2))</f>
        <v/>
      </c>
      <c r="J469" s="58">
        <f>IF(G469="","",G469+N(I469))</f>
        <v/>
      </c>
      <c r="K469" s="53" t="n"/>
      <c r="L469" s="54">
        <f>IF(G469="","",IF(OR(K469="",K469&gt;TODAY()),"Nog betalen","Betaald"))</f>
        <v/>
      </c>
    </row>
    <row r="470">
      <c r="A470" s="53" t="n"/>
      <c r="B470" s="54">
        <f>IF(A470="","",YEAR(A470)&amp;" Q"&amp;ROUNDUP(MONTH(A470)/3,0))</f>
        <v/>
      </c>
      <c r="C470" s="55" t="n"/>
      <c r="D470" s="55" t="n"/>
      <c r="E470" s="55" t="n"/>
      <c r="F470" s="55" t="n"/>
      <c r="G470" s="56" t="n"/>
      <c r="H470" s="57" t="n"/>
      <c r="I470" s="58">
        <f>IF(G470="","",ROUND(G470*H470,2))</f>
        <v/>
      </c>
      <c r="J470" s="58">
        <f>IF(G470="","",G470+N(I470))</f>
        <v/>
      </c>
      <c r="K470" s="53" t="n"/>
      <c r="L470" s="54">
        <f>IF(G470="","",IF(OR(K470="",K470&gt;TODAY()),"Nog betalen","Betaald"))</f>
        <v/>
      </c>
    </row>
    <row r="471">
      <c r="A471" s="53" t="n"/>
      <c r="B471" s="54">
        <f>IF(A471="","",YEAR(A471)&amp;" Q"&amp;ROUNDUP(MONTH(A471)/3,0))</f>
        <v/>
      </c>
      <c r="C471" s="55" t="n"/>
      <c r="D471" s="55" t="n"/>
      <c r="E471" s="55" t="n"/>
      <c r="F471" s="55" t="n"/>
      <c r="G471" s="56" t="n"/>
      <c r="H471" s="57" t="n"/>
      <c r="I471" s="58">
        <f>IF(G471="","",ROUND(G471*H471,2))</f>
        <v/>
      </c>
      <c r="J471" s="58">
        <f>IF(G471="","",G471+N(I471))</f>
        <v/>
      </c>
      <c r="K471" s="53" t="n"/>
      <c r="L471" s="54">
        <f>IF(G471="","",IF(OR(K471="",K471&gt;TODAY()),"Nog betalen","Betaald"))</f>
        <v/>
      </c>
    </row>
    <row r="472">
      <c r="A472" s="53" t="n"/>
      <c r="B472" s="54">
        <f>IF(A472="","",YEAR(A472)&amp;" Q"&amp;ROUNDUP(MONTH(A472)/3,0))</f>
        <v/>
      </c>
      <c r="C472" s="55" t="n"/>
      <c r="D472" s="55" t="n"/>
      <c r="E472" s="55" t="n"/>
      <c r="F472" s="55" t="n"/>
      <c r="G472" s="56" t="n"/>
      <c r="H472" s="57" t="n"/>
      <c r="I472" s="58">
        <f>IF(G472="","",ROUND(G472*H472,2))</f>
        <v/>
      </c>
      <c r="J472" s="58">
        <f>IF(G472="","",G472+N(I472))</f>
        <v/>
      </c>
      <c r="K472" s="53" t="n"/>
      <c r="L472" s="54">
        <f>IF(G472="","",IF(OR(K472="",K472&gt;TODAY()),"Nog betalen","Betaald"))</f>
        <v/>
      </c>
    </row>
    <row r="473">
      <c r="A473" s="53" t="n"/>
      <c r="B473" s="54">
        <f>IF(A473="","",YEAR(A473)&amp;" Q"&amp;ROUNDUP(MONTH(A473)/3,0))</f>
        <v/>
      </c>
      <c r="C473" s="55" t="n"/>
      <c r="D473" s="55" t="n"/>
      <c r="E473" s="55" t="n"/>
      <c r="F473" s="55" t="n"/>
      <c r="G473" s="56" t="n"/>
      <c r="H473" s="57" t="n"/>
      <c r="I473" s="58">
        <f>IF(G473="","",ROUND(G473*H473,2))</f>
        <v/>
      </c>
      <c r="J473" s="58">
        <f>IF(G473="","",G473+N(I473))</f>
        <v/>
      </c>
      <c r="K473" s="53" t="n"/>
      <c r="L473" s="54">
        <f>IF(G473="","",IF(OR(K473="",K473&gt;TODAY()),"Nog betalen","Betaald"))</f>
        <v/>
      </c>
    </row>
    <row r="474">
      <c r="A474" s="53" t="n"/>
      <c r="B474" s="54">
        <f>IF(A474="","",YEAR(A474)&amp;" Q"&amp;ROUNDUP(MONTH(A474)/3,0))</f>
        <v/>
      </c>
      <c r="C474" s="55" t="n"/>
      <c r="D474" s="55" t="n"/>
      <c r="E474" s="55" t="n"/>
      <c r="F474" s="55" t="n"/>
      <c r="G474" s="56" t="n"/>
      <c r="H474" s="57" t="n"/>
      <c r="I474" s="58">
        <f>IF(G474="","",ROUND(G474*H474,2))</f>
        <v/>
      </c>
      <c r="J474" s="58">
        <f>IF(G474="","",G474+N(I474))</f>
        <v/>
      </c>
      <c r="K474" s="53" t="n"/>
      <c r="L474" s="54">
        <f>IF(G474="","",IF(OR(K474="",K474&gt;TODAY()),"Nog betalen","Betaald"))</f>
        <v/>
      </c>
    </row>
    <row r="475">
      <c r="A475" s="53" t="n"/>
      <c r="B475" s="54">
        <f>IF(A475="","",YEAR(A475)&amp;" Q"&amp;ROUNDUP(MONTH(A475)/3,0))</f>
        <v/>
      </c>
      <c r="C475" s="55" t="n"/>
      <c r="D475" s="55" t="n"/>
      <c r="E475" s="55" t="n"/>
      <c r="F475" s="55" t="n"/>
      <c r="G475" s="56" t="n"/>
      <c r="H475" s="57" t="n"/>
      <c r="I475" s="58">
        <f>IF(G475="","",ROUND(G475*H475,2))</f>
        <v/>
      </c>
      <c r="J475" s="58">
        <f>IF(G475="","",G475+N(I475))</f>
        <v/>
      </c>
      <c r="K475" s="53" t="n"/>
      <c r="L475" s="54">
        <f>IF(G475="","",IF(OR(K475="",K475&gt;TODAY()),"Nog betalen","Betaald"))</f>
        <v/>
      </c>
    </row>
    <row r="476">
      <c r="A476" s="53" t="n"/>
      <c r="B476" s="54">
        <f>IF(A476="","",YEAR(A476)&amp;" Q"&amp;ROUNDUP(MONTH(A476)/3,0))</f>
        <v/>
      </c>
      <c r="C476" s="55" t="n"/>
      <c r="D476" s="55" t="n"/>
      <c r="E476" s="55" t="n"/>
      <c r="F476" s="55" t="n"/>
      <c r="G476" s="56" t="n"/>
      <c r="H476" s="57" t="n"/>
      <c r="I476" s="58">
        <f>IF(G476="","",ROUND(G476*H476,2))</f>
        <v/>
      </c>
      <c r="J476" s="58">
        <f>IF(G476="","",G476+N(I476))</f>
        <v/>
      </c>
      <c r="K476" s="53" t="n"/>
      <c r="L476" s="54">
        <f>IF(G476="","",IF(OR(K476="",K476&gt;TODAY()),"Nog betalen","Betaald"))</f>
        <v/>
      </c>
    </row>
    <row r="477">
      <c r="A477" s="53" t="n"/>
      <c r="B477" s="54">
        <f>IF(A477="","",YEAR(A477)&amp;" Q"&amp;ROUNDUP(MONTH(A477)/3,0))</f>
        <v/>
      </c>
      <c r="C477" s="55" t="n"/>
      <c r="D477" s="55" t="n"/>
      <c r="E477" s="55" t="n"/>
      <c r="F477" s="55" t="n"/>
      <c r="G477" s="56" t="n"/>
      <c r="H477" s="57" t="n"/>
      <c r="I477" s="58">
        <f>IF(G477="","",ROUND(G477*H477,2))</f>
        <v/>
      </c>
      <c r="J477" s="58">
        <f>IF(G477="","",G477+N(I477))</f>
        <v/>
      </c>
      <c r="K477" s="53" t="n"/>
      <c r="L477" s="54">
        <f>IF(G477="","",IF(OR(K477="",K477&gt;TODAY()),"Nog betalen","Betaald"))</f>
        <v/>
      </c>
    </row>
    <row r="478">
      <c r="A478" s="53" t="n"/>
      <c r="B478" s="54">
        <f>IF(A478="","",YEAR(A478)&amp;" Q"&amp;ROUNDUP(MONTH(A478)/3,0))</f>
        <v/>
      </c>
      <c r="C478" s="55" t="n"/>
      <c r="D478" s="55" t="n"/>
      <c r="E478" s="55" t="n"/>
      <c r="F478" s="55" t="n"/>
      <c r="G478" s="56" t="n"/>
      <c r="H478" s="57" t="n"/>
      <c r="I478" s="58">
        <f>IF(G478="","",ROUND(G478*H478,2))</f>
        <v/>
      </c>
      <c r="J478" s="58">
        <f>IF(G478="","",G478+N(I478))</f>
        <v/>
      </c>
      <c r="K478" s="53" t="n"/>
      <c r="L478" s="54">
        <f>IF(G478="","",IF(OR(K478="",K478&gt;TODAY()),"Nog betalen","Betaald"))</f>
        <v/>
      </c>
    </row>
    <row r="479">
      <c r="A479" s="53" t="n"/>
      <c r="B479" s="54">
        <f>IF(A479="","",YEAR(A479)&amp;" Q"&amp;ROUNDUP(MONTH(A479)/3,0))</f>
        <v/>
      </c>
      <c r="C479" s="55" t="n"/>
      <c r="D479" s="55" t="n"/>
      <c r="E479" s="55" t="n"/>
      <c r="F479" s="55" t="n"/>
      <c r="G479" s="56" t="n"/>
      <c r="H479" s="57" t="n"/>
      <c r="I479" s="58">
        <f>IF(G479="","",ROUND(G479*H479,2))</f>
        <v/>
      </c>
      <c r="J479" s="58">
        <f>IF(G479="","",G479+N(I479))</f>
        <v/>
      </c>
      <c r="K479" s="53" t="n"/>
      <c r="L479" s="54">
        <f>IF(G479="","",IF(OR(K479="",K479&gt;TODAY()),"Nog betalen","Betaald"))</f>
        <v/>
      </c>
    </row>
    <row r="480">
      <c r="A480" s="53" t="n"/>
      <c r="B480" s="54">
        <f>IF(A480="","",YEAR(A480)&amp;" Q"&amp;ROUNDUP(MONTH(A480)/3,0))</f>
        <v/>
      </c>
      <c r="C480" s="55" t="n"/>
      <c r="D480" s="55" t="n"/>
      <c r="E480" s="55" t="n"/>
      <c r="F480" s="55" t="n"/>
      <c r="G480" s="56" t="n"/>
      <c r="H480" s="57" t="n"/>
      <c r="I480" s="58">
        <f>IF(G480="","",ROUND(G480*H480,2))</f>
        <v/>
      </c>
      <c r="J480" s="58">
        <f>IF(G480="","",G480+N(I480))</f>
        <v/>
      </c>
      <c r="K480" s="53" t="n"/>
      <c r="L480" s="54">
        <f>IF(G480="","",IF(OR(K480="",K480&gt;TODAY()),"Nog betalen","Betaald"))</f>
        <v/>
      </c>
    </row>
    <row r="481">
      <c r="A481" s="53" t="n"/>
      <c r="B481" s="54">
        <f>IF(A481="","",YEAR(A481)&amp;" Q"&amp;ROUNDUP(MONTH(A481)/3,0))</f>
        <v/>
      </c>
      <c r="C481" s="55" t="n"/>
      <c r="D481" s="55" t="n"/>
      <c r="E481" s="55" t="n"/>
      <c r="F481" s="55" t="n"/>
      <c r="G481" s="56" t="n"/>
      <c r="H481" s="57" t="n"/>
      <c r="I481" s="58">
        <f>IF(G481="","",ROUND(G481*H481,2))</f>
        <v/>
      </c>
      <c r="J481" s="58">
        <f>IF(G481="","",G481+N(I481))</f>
        <v/>
      </c>
      <c r="K481" s="53" t="n"/>
      <c r="L481" s="54">
        <f>IF(G481="","",IF(OR(K481="",K481&gt;TODAY()),"Nog betalen","Betaald"))</f>
        <v/>
      </c>
    </row>
    <row r="482">
      <c r="A482" s="53" t="n"/>
      <c r="B482" s="54">
        <f>IF(A482="","",YEAR(A482)&amp;" Q"&amp;ROUNDUP(MONTH(A482)/3,0))</f>
        <v/>
      </c>
      <c r="C482" s="55" t="n"/>
      <c r="D482" s="55" t="n"/>
      <c r="E482" s="55" t="n"/>
      <c r="F482" s="55" t="n"/>
      <c r="G482" s="56" t="n"/>
      <c r="H482" s="57" t="n"/>
      <c r="I482" s="58">
        <f>IF(G482="","",ROUND(G482*H482,2))</f>
        <v/>
      </c>
      <c r="J482" s="58">
        <f>IF(G482="","",G482+N(I482))</f>
        <v/>
      </c>
      <c r="K482" s="53" t="n"/>
      <c r="L482" s="54">
        <f>IF(G482="","",IF(OR(K482="",K482&gt;TODAY()),"Nog betalen","Betaald"))</f>
        <v/>
      </c>
    </row>
    <row r="483">
      <c r="A483" s="53" t="n"/>
      <c r="B483" s="54">
        <f>IF(A483="","",YEAR(A483)&amp;" Q"&amp;ROUNDUP(MONTH(A483)/3,0))</f>
        <v/>
      </c>
      <c r="C483" s="55" t="n"/>
      <c r="D483" s="55" t="n"/>
      <c r="E483" s="55" t="n"/>
      <c r="F483" s="55" t="n"/>
      <c r="G483" s="56" t="n"/>
      <c r="H483" s="57" t="n"/>
      <c r="I483" s="58">
        <f>IF(G483="","",ROUND(G483*H483,2))</f>
        <v/>
      </c>
      <c r="J483" s="58">
        <f>IF(G483="","",G483+N(I483))</f>
        <v/>
      </c>
      <c r="K483" s="53" t="n"/>
      <c r="L483" s="54">
        <f>IF(G483="","",IF(OR(K483="",K483&gt;TODAY()),"Nog betalen","Betaald"))</f>
        <v/>
      </c>
    </row>
    <row r="484">
      <c r="A484" s="53" t="n"/>
      <c r="B484" s="54">
        <f>IF(A484="","",YEAR(A484)&amp;" Q"&amp;ROUNDUP(MONTH(A484)/3,0))</f>
        <v/>
      </c>
      <c r="C484" s="55" t="n"/>
      <c r="D484" s="55" t="n"/>
      <c r="E484" s="55" t="n"/>
      <c r="F484" s="55" t="n"/>
      <c r="G484" s="56" t="n"/>
      <c r="H484" s="57" t="n"/>
      <c r="I484" s="58">
        <f>IF(G484="","",ROUND(G484*H484,2))</f>
        <v/>
      </c>
      <c r="J484" s="58">
        <f>IF(G484="","",G484+N(I484))</f>
        <v/>
      </c>
      <c r="K484" s="53" t="n"/>
      <c r="L484" s="54">
        <f>IF(G484="","",IF(OR(K484="",K484&gt;TODAY()),"Nog betalen","Betaald"))</f>
        <v/>
      </c>
    </row>
    <row r="485">
      <c r="A485" s="53" t="n"/>
      <c r="B485" s="54">
        <f>IF(A485="","",YEAR(A485)&amp;" Q"&amp;ROUNDUP(MONTH(A485)/3,0))</f>
        <v/>
      </c>
      <c r="C485" s="55" t="n"/>
      <c r="D485" s="55" t="n"/>
      <c r="E485" s="55" t="n"/>
      <c r="F485" s="55" t="n"/>
      <c r="G485" s="56" t="n"/>
      <c r="H485" s="57" t="n"/>
      <c r="I485" s="58">
        <f>IF(G485="","",ROUND(G485*H485,2))</f>
        <v/>
      </c>
      <c r="J485" s="58">
        <f>IF(G485="","",G485+N(I485))</f>
        <v/>
      </c>
      <c r="K485" s="53" t="n"/>
      <c r="L485" s="54">
        <f>IF(G485="","",IF(OR(K485="",K485&gt;TODAY()),"Nog betalen","Betaald"))</f>
        <v/>
      </c>
    </row>
    <row r="486">
      <c r="A486" s="53" t="n"/>
      <c r="B486" s="54">
        <f>IF(A486="","",YEAR(A486)&amp;" Q"&amp;ROUNDUP(MONTH(A486)/3,0))</f>
        <v/>
      </c>
      <c r="C486" s="55" t="n"/>
      <c r="D486" s="55" t="n"/>
      <c r="E486" s="55" t="n"/>
      <c r="F486" s="55" t="n"/>
      <c r="G486" s="56" t="n"/>
      <c r="H486" s="57" t="n"/>
      <c r="I486" s="58">
        <f>IF(G486="","",ROUND(G486*H486,2))</f>
        <v/>
      </c>
      <c r="J486" s="58">
        <f>IF(G486="","",G486+N(I486))</f>
        <v/>
      </c>
      <c r="K486" s="53" t="n"/>
      <c r="L486" s="54">
        <f>IF(G486="","",IF(OR(K486="",K486&gt;TODAY()),"Nog betalen","Betaald"))</f>
        <v/>
      </c>
    </row>
    <row r="487">
      <c r="A487" s="53" t="n"/>
      <c r="B487" s="54">
        <f>IF(A487="","",YEAR(A487)&amp;" Q"&amp;ROUNDUP(MONTH(A487)/3,0))</f>
        <v/>
      </c>
      <c r="C487" s="55" t="n"/>
      <c r="D487" s="55" t="n"/>
      <c r="E487" s="55" t="n"/>
      <c r="F487" s="55" t="n"/>
      <c r="G487" s="56" t="n"/>
      <c r="H487" s="57" t="n"/>
      <c r="I487" s="58">
        <f>IF(G487="","",ROUND(G487*H487,2))</f>
        <v/>
      </c>
      <c r="J487" s="58">
        <f>IF(G487="","",G487+N(I487))</f>
        <v/>
      </c>
      <c r="K487" s="53" t="n"/>
      <c r="L487" s="54">
        <f>IF(G487="","",IF(OR(K487="",K487&gt;TODAY()),"Nog betalen","Betaald"))</f>
        <v/>
      </c>
    </row>
    <row r="488">
      <c r="A488" s="53" t="n"/>
      <c r="B488" s="54">
        <f>IF(A488="","",YEAR(A488)&amp;" Q"&amp;ROUNDUP(MONTH(A488)/3,0))</f>
        <v/>
      </c>
      <c r="C488" s="55" t="n"/>
      <c r="D488" s="55" t="n"/>
      <c r="E488" s="55" t="n"/>
      <c r="F488" s="55" t="n"/>
      <c r="G488" s="56" t="n"/>
      <c r="H488" s="57" t="n"/>
      <c r="I488" s="58">
        <f>IF(G488="","",ROUND(G488*H488,2))</f>
        <v/>
      </c>
      <c r="J488" s="58">
        <f>IF(G488="","",G488+N(I488))</f>
        <v/>
      </c>
      <c r="K488" s="53" t="n"/>
      <c r="L488" s="54">
        <f>IF(G488="","",IF(OR(K488="",K488&gt;TODAY()),"Nog betalen","Betaald"))</f>
        <v/>
      </c>
    </row>
    <row r="489">
      <c r="A489" s="53" t="n"/>
      <c r="B489" s="54">
        <f>IF(A489="","",YEAR(A489)&amp;" Q"&amp;ROUNDUP(MONTH(A489)/3,0))</f>
        <v/>
      </c>
      <c r="C489" s="55" t="n"/>
      <c r="D489" s="55" t="n"/>
      <c r="E489" s="55" t="n"/>
      <c r="F489" s="55" t="n"/>
      <c r="G489" s="56" t="n"/>
      <c r="H489" s="57" t="n"/>
      <c r="I489" s="58">
        <f>IF(G489="","",ROUND(G489*H489,2))</f>
        <v/>
      </c>
      <c r="J489" s="58">
        <f>IF(G489="","",G489+N(I489))</f>
        <v/>
      </c>
      <c r="K489" s="53" t="n"/>
      <c r="L489" s="54">
        <f>IF(G489="","",IF(OR(K489="",K489&gt;TODAY()),"Nog betalen","Betaald"))</f>
        <v/>
      </c>
    </row>
    <row r="490">
      <c r="A490" s="53" t="n"/>
      <c r="B490" s="54">
        <f>IF(A490="","",YEAR(A490)&amp;" Q"&amp;ROUNDUP(MONTH(A490)/3,0))</f>
        <v/>
      </c>
      <c r="C490" s="55" t="n"/>
      <c r="D490" s="55" t="n"/>
      <c r="E490" s="55" t="n"/>
      <c r="F490" s="55" t="n"/>
      <c r="G490" s="56" t="n"/>
      <c r="H490" s="57" t="n"/>
      <c r="I490" s="58">
        <f>IF(G490="","",ROUND(G490*H490,2))</f>
        <v/>
      </c>
      <c r="J490" s="58">
        <f>IF(G490="","",G490+N(I490))</f>
        <v/>
      </c>
      <c r="K490" s="53" t="n"/>
      <c r="L490" s="54">
        <f>IF(G490="","",IF(OR(K490="",K490&gt;TODAY()),"Nog betalen","Betaald"))</f>
        <v/>
      </c>
    </row>
    <row r="491">
      <c r="A491" s="53" t="n"/>
      <c r="B491" s="54">
        <f>IF(A491="","",YEAR(A491)&amp;" Q"&amp;ROUNDUP(MONTH(A491)/3,0))</f>
        <v/>
      </c>
      <c r="C491" s="55" t="n"/>
      <c r="D491" s="55" t="n"/>
      <c r="E491" s="55" t="n"/>
      <c r="F491" s="55" t="n"/>
      <c r="G491" s="56" t="n"/>
      <c r="H491" s="57" t="n"/>
      <c r="I491" s="58">
        <f>IF(G491="","",ROUND(G491*H491,2))</f>
        <v/>
      </c>
      <c r="J491" s="58">
        <f>IF(G491="","",G491+N(I491))</f>
        <v/>
      </c>
      <c r="K491" s="53" t="n"/>
      <c r="L491" s="54">
        <f>IF(G491="","",IF(OR(K491="",K491&gt;TODAY()),"Nog betalen","Betaald"))</f>
        <v/>
      </c>
    </row>
    <row r="492">
      <c r="A492" s="53" t="n"/>
      <c r="B492" s="54">
        <f>IF(A492="","",YEAR(A492)&amp;" Q"&amp;ROUNDUP(MONTH(A492)/3,0))</f>
        <v/>
      </c>
      <c r="C492" s="55" t="n"/>
      <c r="D492" s="55" t="n"/>
      <c r="E492" s="55" t="n"/>
      <c r="F492" s="55" t="n"/>
      <c r="G492" s="56" t="n"/>
      <c r="H492" s="57" t="n"/>
      <c r="I492" s="58">
        <f>IF(G492="","",ROUND(G492*H492,2))</f>
        <v/>
      </c>
      <c r="J492" s="58">
        <f>IF(G492="","",G492+N(I492))</f>
        <v/>
      </c>
      <c r="K492" s="53" t="n"/>
      <c r="L492" s="54">
        <f>IF(G492="","",IF(OR(K492="",K492&gt;TODAY()),"Nog betalen","Betaald"))</f>
        <v/>
      </c>
    </row>
    <row r="493">
      <c r="A493" s="53" t="n"/>
      <c r="B493" s="54">
        <f>IF(A493="","",YEAR(A493)&amp;" Q"&amp;ROUNDUP(MONTH(A493)/3,0))</f>
        <v/>
      </c>
      <c r="C493" s="55" t="n"/>
      <c r="D493" s="55" t="n"/>
      <c r="E493" s="55" t="n"/>
      <c r="F493" s="55" t="n"/>
      <c r="G493" s="56" t="n"/>
      <c r="H493" s="57" t="n"/>
      <c r="I493" s="58">
        <f>IF(G493="","",ROUND(G493*H493,2))</f>
        <v/>
      </c>
      <c r="J493" s="58">
        <f>IF(G493="","",G493+N(I493))</f>
        <v/>
      </c>
      <c r="K493" s="53" t="n"/>
      <c r="L493" s="54">
        <f>IF(G493="","",IF(OR(K493="",K493&gt;TODAY()),"Nog betalen","Betaald"))</f>
        <v/>
      </c>
    </row>
    <row r="494">
      <c r="A494" s="53" t="n"/>
      <c r="B494" s="54">
        <f>IF(A494="","",YEAR(A494)&amp;" Q"&amp;ROUNDUP(MONTH(A494)/3,0))</f>
        <v/>
      </c>
      <c r="C494" s="55" t="n"/>
      <c r="D494" s="55" t="n"/>
      <c r="E494" s="55" t="n"/>
      <c r="F494" s="55" t="n"/>
      <c r="G494" s="56" t="n"/>
      <c r="H494" s="57" t="n"/>
      <c r="I494" s="58">
        <f>IF(G494="","",ROUND(G494*H494,2))</f>
        <v/>
      </c>
      <c r="J494" s="58">
        <f>IF(G494="","",G494+N(I494))</f>
        <v/>
      </c>
      <c r="K494" s="53" t="n"/>
      <c r="L494" s="54">
        <f>IF(G494="","",IF(OR(K494="",K494&gt;TODAY()),"Nog betalen","Betaald"))</f>
        <v/>
      </c>
    </row>
    <row r="495">
      <c r="A495" s="53" t="n"/>
      <c r="B495" s="54">
        <f>IF(A495="","",YEAR(A495)&amp;" Q"&amp;ROUNDUP(MONTH(A495)/3,0))</f>
        <v/>
      </c>
      <c r="C495" s="55" t="n"/>
      <c r="D495" s="55" t="n"/>
      <c r="E495" s="55" t="n"/>
      <c r="F495" s="55" t="n"/>
      <c r="G495" s="56" t="n"/>
      <c r="H495" s="57" t="n"/>
      <c r="I495" s="58">
        <f>IF(G495="","",ROUND(G495*H495,2))</f>
        <v/>
      </c>
      <c r="J495" s="58">
        <f>IF(G495="","",G495+N(I495))</f>
        <v/>
      </c>
      <c r="K495" s="53" t="n"/>
      <c r="L495" s="54">
        <f>IF(G495="","",IF(OR(K495="",K495&gt;TODAY()),"Nog betalen","Betaald"))</f>
        <v/>
      </c>
    </row>
    <row r="496">
      <c r="A496" s="53" t="n"/>
      <c r="B496" s="54">
        <f>IF(A496="","",YEAR(A496)&amp;" Q"&amp;ROUNDUP(MONTH(A496)/3,0))</f>
        <v/>
      </c>
      <c r="C496" s="55" t="n"/>
      <c r="D496" s="55" t="n"/>
      <c r="E496" s="55" t="n"/>
      <c r="F496" s="55" t="n"/>
      <c r="G496" s="56" t="n"/>
      <c r="H496" s="57" t="n"/>
      <c r="I496" s="58">
        <f>IF(G496="","",ROUND(G496*H496,2))</f>
        <v/>
      </c>
      <c r="J496" s="58">
        <f>IF(G496="","",G496+N(I496))</f>
        <v/>
      </c>
      <c r="K496" s="53" t="n"/>
      <c r="L496" s="54">
        <f>IF(G496="","",IF(OR(K496="",K496&gt;TODAY()),"Nog betalen","Betaald"))</f>
        <v/>
      </c>
    </row>
    <row r="497">
      <c r="A497" s="53" t="n"/>
      <c r="B497" s="54">
        <f>IF(A497="","",YEAR(A497)&amp;" Q"&amp;ROUNDUP(MONTH(A497)/3,0))</f>
        <v/>
      </c>
      <c r="C497" s="55" t="n"/>
      <c r="D497" s="55" t="n"/>
      <c r="E497" s="55" t="n"/>
      <c r="F497" s="55" t="n"/>
      <c r="G497" s="56" t="n"/>
      <c r="H497" s="57" t="n"/>
      <c r="I497" s="58">
        <f>IF(G497="","",ROUND(G497*H497,2))</f>
        <v/>
      </c>
      <c r="J497" s="58">
        <f>IF(G497="","",G497+N(I497))</f>
        <v/>
      </c>
      <c r="K497" s="53" t="n"/>
      <c r="L497" s="54">
        <f>IF(G497="","",IF(OR(K497="",K497&gt;TODAY()),"Nog betalen","Betaald"))</f>
        <v/>
      </c>
    </row>
    <row r="498">
      <c r="A498" s="53" t="n"/>
      <c r="B498" s="54">
        <f>IF(A498="","",YEAR(A498)&amp;" Q"&amp;ROUNDUP(MONTH(A498)/3,0))</f>
        <v/>
      </c>
      <c r="C498" s="55" t="n"/>
      <c r="D498" s="55" t="n"/>
      <c r="E498" s="55" t="n"/>
      <c r="F498" s="55" t="n"/>
      <c r="G498" s="56" t="n"/>
      <c r="H498" s="57" t="n"/>
      <c r="I498" s="58">
        <f>IF(G498="","",ROUND(G498*H498,2))</f>
        <v/>
      </c>
      <c r="J498" s="58">
        <f>IF(G498="","",G498+N(I498))</f>
        <v/>
      </c>
      <c r="K498" s="53" t="n"/>
      <c r="L498" s="54">
        <f>IF(G498="","",IF(OR(K498="",K498&gt;TODAY()),"Nog betalen","Betaald"))</f>
        <v/>
      </c>
    </row>
    <row r="499">
      <c r="A499" s="53" t="n"/>
      <c r="B499" s="54">
        <f>IF(A499="","",YEAR(A499)&amp;" Q"&amp;ROUNDUP(MONTH(A499)/3,0))</f>
        <v/>
      </c>
      <c r="C499" s="55" t="n"/>
      <c r="D499" s="55" t="n"/>
      <c r="E499" s="55" t="n"/>
      <c r="F499" s="55" t="n"/>
      <c r="G499" s="56" t="n"/>
      <c r="H499" s="57" t="n"/>
      <c r="I499" s="58">
        <f>IF(G499="","",ROUND(G499*H499,2))</f>
        <v/>
      </c>
      <c r="J499" s="58">
        <f>IF(G499="","",G499+N(I499))</f>
        <v/>
      </c>
      <c r="K499" s="53" t="n"/>
      <c r="L499" s="54">
        <f>IF(G499="","",IF(OR(K499="",K499&gt;TODAY()),"Nog betalen","Betaald"))</f>
        <v/>
      </c>
    </row>
    <row r="500">
      <c r="A500" s="53" t="n"/>
      <c r="B500" s="54">
        <f>IF(A500="","",YEAR(A500)&amp;" Q"&amp;ROUNDUP(MONTH(A500)/3,0))</f>
        <v/>
      </c>
      <c r="C500" s="55" t="n"/>
      <c r="D500" s="55" t="n"/>
      <c r="E500" s="55" t="n"/>
      <c r="F500" s="55" t="n"/>
      <c r="G500" s="56" t="n"/>
      <c r="H500" s="57" t="n"/>
      <c r="I500" s="58">
        <f>IF(G500="","",ROUND(G500*H500,2))</f>
        <v/>
      </c>
      <c r="J500" s="58">
        <f>IF(G500="","",G500+N(I500))</f>
        <v/>
      </c>
      <c r="K500" s="53" t="n"/>
      <c r="L500" s="54">
        <f>IF(G500="","",IF(OR(K500="",K500&gt;TODAY()),"Nog betalen","Betaald"))</f>
        <v/>
      </c>
    </row>
    <row r="501">
      <c r="A501" s="53" t="n"/>
      <c r="B501" s="54">
        <f>IF(A501="","",YEAR(A501)&amp;" Q"&amp;ROUNDUP(MONTH(A501)/3,0))</f>
        <v/>
      </c>
      <c r="C501" s="55" t="n"/>
      <c r="D501" s="55" t="n"/>
      <c r="E501" s="55" t="n"/>
      <c r="F501" s="55" t="n"/>
      <c r="G501" s="56" t="n"/>
      <c r="H501" s="57" t="n"/>
      <c r="I501" s="58">
        <f>IF(G501="","",ROUND(G501*H501,2))</f>
        <v/>
      </c>
      <c r="J501" s="58">
        <f>IF(G501="","",G501+N(I501))</f>
        <v/>
      </c>
      <c r="K501" s="53" t="n"/>
      <c r="L501" s="54">
        <f>IF(G501="","",IF(OR(K501="",K501&gt;TODAY()),"Nog betalen","Betaald"))</f>
        <v/>
      </c>
    </row>
    <row r="502">
      <c r="A502" s="53" t="n"/>
      <c r="B502" s="54">
        <f>IF(A502="","",YEAR(A502)&amp;" Q"&amp;ROUNDUP(MONTH(A502)/3,0))</f>
        <v/>
      </c>
      <c r="C502" s="55" t="n"/>
      <c r="D502" s="55" t="n"/>
      <c r="E502" s="55" t="n"/>
      <c r="F502" s="55" t="n"/>
      <c r="G502" s="56" t="n"/>
      <c r="H502" s="57" t="n"/>
      <c r="I502" s="58">
        <f>IF(G502="","",ROUND(G502*H502,2))</f>
        <v/>
      </c>
      <c r="J502" s="58">
        <f>IF(G502="","",G502+N(I502))</f>
        <v/>
      </c>
      <c r="K502" s="53" t="n"/>
      <c r="L502" s="54">
        <f>IF(G502="","",IF(OR(K502="",K502&gt;TODAY()),"Nog betalen","Betaald"))</f>
        <v/>
      </c>
    </row>
    <row r="503">
      <c r="A503" s="53" t="n"/>
      <c r="B503" s="54">
        <f>IF(A503="","",YEAR(A503)&amp;" Q"&amp;ROUNDUP(MONTH(A503)/3,0))</f>
        <v/>
      </c>
      <c r="C503" s="55" t="n"/>
      <c r="D503" s="55" t="n"/>
      <c r="E503" s="55" t="n"/>
      <c r="F503" s="55" t="n"/>
      <c r="G503" s="56" t="n"/>
      <c r="H503" s="57" t="n"/>
      <c r="I503" s="58">
        <f>IF(G503="","",ROUND(G503*H503,2))</f>
        <v/>
      </c>
      <c r="J503" s="58">
        <f>IF(G503="","",G503+N(I503))</f>
        <v/>
      </c>
      <c r="K503" s="53" t="n"/>
      <c r="L503" s="54">
        <f>IF(G503="","",IF(OR(K503="",K503&gt;TODAY()),"Nog betalen","Betaald"))</f>
        <v/>
      </c>
    </row>
    <row r="504">
      <c r="A504" s="53" t="n"/>
      <c r="B504" s="54">
        <f>IF(A504="","",YEAR(A504)&amp;" Q"&amp;ROUNDUP(MONTH(A504)/3,0))</f>
        <v/>
      </c>
      <c r="C504" s="55" t="n"/>
      <c r="D504" s="55" t="n"/>
      <c r="E504" s="55" t="n"/>
      <c r="F504" s="55" t="n"/>
      <c r="G504" s="56" t="n"/>
      <c r="H504" s="57" t="n"/>
      <c r="I504" s="58">
        <f>IF(G504="","",ROUND(G504*H504,2))</f>
        <v/>
      </c>
      <c r="J504" s="58">
        <f>IF(G504="","",G504+N(I504))</f>
        <v/>
      </c>
      <c r="K504" s="53" t="n"/>
      <c r="L504" s="54">
        <f>IF(G504="","",IF(OR(K504="",K504&gt;TODAY()),"Nog betalen","Betaald"))</f>
        <v/>
      </c>
    </row>
    <row r="505">
      <c r="A505" s="53" t="n"/>
      <c r="B505" s="54">
        <f>IF(A505="","",YEAR(A505)&amp;" Q"&amp;ROUNDUP(MONTH(A505)/3,0))</f>
        <v/>
      </c>
      <c r="C505" s="55" t="n"/>
      <c r="D505" s="55" t="n"/>
      <c r="E505" s="55" t="n"/>
      <c r="F505" s="55" t="n"/>
      <c r="G505" s="56" t="n"/>
      <c r="H505" s="57" t="n"/>
      <c r="I505" s="58">
        <f>IF(G505="","",ROUND(G505*H505,2))</f>
        <v/>
      </c>
      <c r="J505" s="58">
        <f>IF(G505="","",G505+N(I505))</f>
        <v/>
      </c>
      <c r="K505" s="53" t="n"/>
      <c r="L505" s="54">
        <f>IF(G505="","",IF(OR(K505="",K505&gt;TODAY()),"Nog betalen","Betaald"))</f>
        <v/>
      </c>
    </row>
    <row r="506">
      <c r="A506" s="53" t="n"/>
      <c r="B506" s="54">
        <f>IF(A506="","",YEAR(A506)&amp;" Q"&amp;ROUNDUP(MONTH(A506)/3,0))</f>
        <v/>
      </c>
      <c r="C506" s="55" t="n"/>
      <c r="D506" s="55" t="n"/>
      <c r="E506" s="55" t="n"/>
      <c r="F506" s="55" t="n"/>
      <c r="G506" s="56" t="n"/>
      <c r="H506" s="57" t="n"/>
      <c r="I506" s="58">
        <f>IF(G506="","",ROUND(G506*H506,2))</f>
        <v/>
      </c>
      <c r="J506" s="58">
        <f>IF(G506="","",G506+N(I506))</f>
        <v/>
      </c>
      <c r="K506" s="53" t="n"/>
      <c r="L506" s="54">
        <f>IF(G506="","",IF(OR(K506="",K506&gt;TODAY()),"Nog betalen","Betaald"))</f>
        <v/>
      </c>
    </row>
    <row r="507">
      <c r="A507" s="53" t="n"/>
      <c r="B507" s="54">
        <f>IF(A507="","",YEAR(A507)&amp;" Q"&amp;ROUNDUP(MONTH(A507)/3,0))</f>
        <v/>
      </c>
      <c r="C507" s="55" t="n"/>
      <c r="D507" s="55" t="n"/>
      <c r="E507" s="55" t="n"/>
      <c r="F507" s="55" t="n"/>
      <c r="G507" s="56" t="n"/>
      <c r="H507" s="57" t="n"/>
      <c r="I507" s="58">
        <f>IF(G507="","",ROUND(G507*H507,2))</f>
        <v/>
      </c>
      <c r="J507" s="58">
        <f>IF(G507="","",G507+N(I507))</f>
        <v/>
      </c>
      <c r="K507" s="53" t="n"/>
      <c r="L507" s="54">
        <f>IF(G507="","",IF(OR(K507="",K507&gt;TODAY()),"Nog betalen","Betaald"))</f>
        <v/>
      </c>
    </row>
    <row r="508">
      <c r="A508" s="53" t="n"/>
      <c r="B508" s="54">
        <f>IF(A508="","",YEAR(A508)&amp;" Q"&amp;ROUNDUP(MONTH(A508)/3,0))</f>
        <v/>
      </c>
      <c r="C508" s="55" t="n"/>
      <c r="D508" s="55" t="n"/>
      <c r="E508" s="55" t="n"/>
      <c r="F508" s="55" t="n"/>
      <c r="G508" s="56" t="n"/>
      <c r="H508" s="57" t="n"/>
      <c r="I508" s="58">
        <f>IF(G508="","",ROUND(G508*H508,2))</f>
        <v/>
      </c>
      <c r="J508" s="58">
        <f>IF(G508="","",G508+N(I508))</f>
        <v/>
      </c>
      <c r="K508" s="53" t="n"/>
      <c r="L508" s="54">
        <f>IF(G508="","",IF(OR(K508="",K508&gt;TODAY()),"Nog betalen","Betaald"))</f>
        <v/>
      </c>
    </row>
    <row r="509">
      <c r="A509" s="53" t="n"/>
      <c r="B509" s="54">
        <f>IF(A509="","",YEAR(A509)&amp;" Q"&amp;ROUNDUP(MONTH(A509)/3,0))</f>
        <v/>
      </c>
      <c r="C509" s="55" t="n"/>
      <c r="D509" s="55" t="n"/>
      <c r="E509" s="55" t="n"/>
      <c r="F509" s="55" t="n"/>
      <c r="G509" s="56" t="n"/>
      <c r="H509" s="57" t="n"/>
      <c r="I509" s="58">
        <f>IF(G509="","",ROUND(G509*H509,2))</f>
        <v/>
      </c>
      <c r="J509" s="58">
        <f>IF(G509="","",G509+N(I509))</f>
        <v/>
      </c>
      <c r="K509" s="53" t="n"/>
      <c r="L509" s="54">
        <f>IF(G509="","",IF(OR(K509="",K509&gt;TODAY()),"Nog betalen","Betaald"))</f>
        <v/>
      </c>
    </row>
    <row r="510">
      <c r="A510" s="53" t="n"/>
      <c r="B510" s="54">
        <f>IF(A510="","",YEAR(A510)&amp;" Q"&amp;ROUNDUP(MONTH(A510)/3,0))</f>
        <v/>
      </c>
      <c r="C510" s="55" t="n"/>
      <c r="D510" s="55" t="n"/>
      <c r="E510" s="55" t="n"/>
      <c r="F510" s="55" t="n"/>
      <c r="G510" s="56" t="n"/>
      <c r="H510" s="57" t="n"/>
      <c r="I510" s="58">
        <f>IF(G510="","",ROUND(G510*H510,2))</f>
        <v/>
      </c>
      <c r="J510" s="58">
        <f>IF(G510="","",G510+N(I510))</f>
        <v/>
      </c>
      <c r="K510" s="53" t="n"/>
      <c r="L510" s="54">
        <f>IF(G510="","",IF(OR(K510="",K510&gt;TODAY()),"Nog betalen","Betaald"))</f>
        <v/>
      </c>
    </row>
    <row r="511">
      <c r="A511" s="53" t="n"/>
      <c r="B511" s="54">
        <f>IF(A511="","",YEAR(A511)&amp;" Q"&amp;ROUNDUP(MONTH(A511)/3,0))</f>
        <v/>
      </c>
      <c r="C511" s="55" t="n"/>
      <c r="D511" s="55" t="n"/>
      <c r="E511" s="55" t="n"/>
      <c r="F511" s="55" t="n"/>
      <c r="G511" s="56" t="n"/>
      <c r="H511" s="57" t="n"/>
      <c r="I511" s="58">
        <f>IF(G511="","",ROUND(G511*H511,2))</f>
        <v/>
      </c>
      <c r="J511" s="58">
        <f>IF(G511="","",G511+N(I511))</f>
        <v/>
      </c>
      <c r="K511" s="53" t="n"/>
      <c r="L511" s="54">
        <f>IF(G511="","",IF(OR(K511="",K511&gt;TODAY()),"Nog betalen","Betaald"))</f>
        <v/>
      </c>
    </row>
    <row r="512">
      <c r="A512" s="53" t="n"/>
      <c r="B512" s="54">
        <f>IF(A512="","",YEAR(A512)&amp;" Q"&amp;ROUNDUP(MONTH(A512)/3,0))</f>
        <v/>
      </c>
      <c r="C512" s="55" t="n"/>
      <c r="D512" s="55" t="n"/>
      <c r="E512" s="55" t="n"/>
      <c r="F512" s="55" t="n"/>
      <c r="G512" s="56" t="n"/>
      <c r="H512" s="57" t="n"/>
      <c r="I512" s="58">
        <f>IF(G512="","",ROUND(G512*H512,2))</f>
        <v/>
      </c>
      <c r="J512" s="58">
        <f>IF(G512="","",G512+N(I512))</f>
        <v/>
      </c>
      <c r="K512" s="53" t="n"/>
      <c r="L512" s="54">
        <f>IF(G512="","",IF(OR(K512="",K512&gt;TODAY()),"Nog betalen","Betaald"))</f>
        <v/>
      </c>
    </row>
    <row r="513">
      <c r="A513" s="53" t="n"/>
      <c r="B513" s="54">
        <f>IF(A513="","",YEAR(A513)&amp;" Q"&amp;ROUNDUP(MONTH(A513)/3,0))</f>
        <v/>
      </c>
      <c r="C513" s="55" t="n"/>
      <c r="D513" s="55" t="n"/>
      <c r="E513" s="55" t="n"/>
      <c r="F513" s="55" t="n"/>
      <c r="G513" s="56" t="n"/>
      <c r="H513" s="57" t="n"/>
      <c r="I513" s="58">
        <f>IF(G513="","",ROUND(G513*H513,2))</f>
        <v/>
      </c>
      <c r="J513" s="58">
        <f>IF(G513="","",G513+N(I513))</f>
        <v/>
      </c>
      <c r="K513" s="53" t="n"/>
      <c r="L513" s="54">
        <f>IF(G513="","",IF(OR(K513="",K513&gt;TODAY()),"Nog betalen","Betaald"))</f>
        <v/>
      </c>
    </row>
    <row r="514">
      <c r="A514" s="53" t="n"/>
      <c r="B514" s="54">
        <f>IF(A514="","",YEAR(A514)&amp;" Q"&amp;ROUNDUP(MONTH(A514)/3,0))</f>
        <v/>
      </c>
      <c r="C514" s="55" t="n"/>
      <c r="D514" s="55" t="n"/>
      <c r="E514" s="55" t="n"/>
      <c r="F514" s="55" t="n"/>
      <c r="G514" s="56" t="n"/>
      <c r="H514" s="57" t="n"/>
      <c r="I514" s="58">
        <f>IF(G514="","",ROUND(G514*H514,2))</f>
        <v/>
      </c>
      <c r="J514" s="58">
        <f>IF(G514="","",G514+N(I514))</f>
        <v/>
      </c>
      <c r="K514" s="53" t="n"/>
      <c r="L514" s="54">
        <f>IF(G514="","",IF(OR(K514="",K514&gt;TODAY()),"Nog betalen","Betaald"))</f>
        <v/>
      </c>
    </row>
    <row r="515">
      <c r="A515" s="53" t="n"/>
      <c r="B515" s="54">
        <f>IF(A515="","",YEAR(A515)&amp;" Q"&amp;ROUNDUP(MONTH(A515)/3,0))</f>
        <v/>
      </c>
      <c r="C515" s="55" t="n"/>
      <c r="D515" s="55" t="n"/>
      <c r="E515" s="55" t="n"/>
      <c r="F515" s="55" t="n"/>
      <c r="G515" s="56" t="n"/>
      <c r="H515" s="57" t="n"/>
      <c r="I515" s="58">
        <f>IF(G515="","",ROUND(G515*H515,2))</f>
        <v/>
      </c>
      <c r="J515" s="58">
        <f>IF(G515="","",G515+N(I515))</f>
        <v/>
      </c>
      <c r="K515" s="53" t="n"/>
      <c r="L515" s="54">
        <f>IF(G515="","",IF(OR(K515="",K515&gt;TODAY()),"Nog betalen","Betaald"))</f>
        <v/>
      </c>
    </row>
    <row r="516">
      <c r="A516" s="53" t="n"/>
      <c r="B516" s="54">
        <f>IF(A516="","",YEAR(A516)&amp;" Q"&amp;ROUNDUP(MONTH(A516)/3,0))</f>
        <v/>
      </c>
      <c r="C516" s="55" t="n"/>
      <c r="D516" s="55" t="n"/>
      <c r="E516" s="55" t="n"/>
      <c r="F516" s="55" t="n"/>
      <c r="G516" s="56" t="n"/>
      <c r="H516" s="57" t="n"/>
      <c r="I516" s="58">
        <f>IF(G516="","",ROUND(G516*H516,2))</f>
        <v/>
      </c>
      <c r="J516" s="58">
        <f>IF(G516="","",G516+N(I516))</f>
        <v/>
      </c>
      <c r="K516" s="53" t="n"/>
      <c r="L516" s="54">
        <f>IF(G516="","",IF(OR(K516="",K516&gt;TODAY()),"Nog betalen","Betaald"))</f>
        <v/>
      </c>
    </row>
    <row r="517">
      <c r="A517" s="53" t="n"/>
      <c r="B517" s="54">
        <f>IF(A517="","",YEAR(A517)&amp;" Q"&amp;ROUNDUP(MONTH(A517)/3,0))</f>
        <v/>
      </c>
      <c r="C517" s="55" t="n"/>
      <c r="D517" s="55" t="n"/>
      <c r="E517" s="55" t="n"/>
      <c r="F517" s="55" t="n"/>
      <c r="G517" s="56" t="n"/>
      <c r="H517" s="57" t="n"/>
      <c r="I517" s="58">
        <f>IF(G517="","",ROUND(G517*H517,2))</f>
        <v/>
      </c>
      <c r="J517" s="58">
        <f>IF(G517="","",G517+N(I517))</f>
        <v/>
      </c>
      <c r="K517" s="53" t="n"/>
      <c r="L517" s="54">
        <f>IF(G517="","",IF(OR(K517="",K517&gt;TODAY()),"Nog betalen","Betaald"))</f>
        <v/>
      </c>
    </row>
    <row r="518">
      <c r="A518" s="53" t="n"/>
      <c r="B518" s="54">
        <f>IF(A518="","",YEAR(A518)&amp;" Q"&amp;ROUNDUP(MONTH(A518)/3,0))</f>
        <v/>
      </c>
      <c r="C518" s="55" t="n"/>
      <c r="D518" s="55" t="n"/>
      <c r="E518" s="55" t="n"/>
      <c r="F518" s="55" t="n"/>
      <c r="G518" s="56" t="n"/>
      <c r="H518" s="57" t="n"/>
      <c r="I518" s="58">
        <f>IF(G518="","",ROUND(G518*H518,2))</f>
        <v/>
      </c>
      <c r="J518" s="58">
        <f>IF(G518="","",G518+N(I518))</f>
        <v/>
      </c>
      <c r="K518" s="53" t="n"/>
      <c r="L518" s="54">
        <f>IF(G518="","",IF(OR(K518="",K518&gt;TODAY()),"Nog betalen","Betaald"))</f>
        <v/>
      </c>
    </row>
    <row r="519">
      <c r="A519" s="53" t="n"/>
      <c r="B519" s="54">
        <f>IF(A519="","",YEAR(A519)&amp;" Q"&amp;ROUNDUP(MONTH(A519)/3,0))</f>
        <v/>
      </c>
      <c r="C519" s="55" t="n"/>
      <c r="D519" s="55" t="n"/>
      <c r="E519" s="55" t="n"/>
      <c r="F519" s="55" t="n"/>
      <c r="G519" s="56" t="n"/>
      <c r="H519" s="57" t="n"/>
      <c r="I519" s="58">
        <f>IF(G519="","",ROUND(G519*H519,2))</f>
        <v/>
      </c>
      <c r="J519" s="58">
        <f>IF(G519="","",G519+N(I519))</f>
        <v/>
      </c>
      <c r="K519" s="53" t="n"/>
      <c r="L519" s="54">
        <f>IF(G519="","",IF(OR(K519="",K519&gt;TODAY()),"Nog betalen","Betaald"))</f>
        <v/>
      </c>
    </row>
    <row r="520">
      <c r="A520" s="53" t="n"/>
      <c r="B520" s="54">
        <f>IF(A520="","",YEAR(A520)&amp;" Q"&amp;ROUNDUP(MONTH(A520)/3,0))</f>
        <v/>
      </c>
      <c r="C520" s="55" t="n"/>
      <c r="D520" s="55" t="n"/>
      <c r="E520" s="55" t="n"/>
      <c r="F520" s="55" t="n"/>
      <c r="G520" s="56" t="n"/>
      <c r="H520" s="57" t="n"/>
      <c r="I520" s="58">
        <f>IF(G520="","",ROUND(G520*H520,2))</f>
        <v/>
      </c>
      <c r="J520" s="58">
        <f>IF(G520="","",G520+N(I520))</f>
        <v/>
      </c>
      <c r="K520" s="53" t="n"/>
      <c r="L520" s="54">
        <f>IF(G520="","",IF(OR(K520="",K520&gt;TODAY()),"Nog betalen","Betaald"))</f>
        <v/>
      </c>
    </row>
    <row r="521">
      <c r="A521" s="53" t="n"/>
      <c r="B521" s="54">
        <f>IF(A521="","",YEAR(A521)&amp;" Q"&amp;ROUNDUP(MONTH(A521)/3,0))</f>
        <v/>
      </c>
      <c r="C521" s="55" t="n"/>
      <c r="D521" s="55" t="n"/>
      <c r="E521" s="55" t="n"/>
      <c r="F521" s="55" t="n"/>
      <c r="G521" s="56" t="n"/>
      <c r="H521" s="57" t="n"/>
      <c r="I521" s="58">
        <f>IF(G521="","",ROUND(G521*H521,2))</f>
        <v/>
      </c>
      <c r="J521" s="58">
        <f>IF(G521="","",G521+N(I521))</f>
        <v/>
      </c>
      <c r="K521" s="53" t="n"/>
      <c r="L521" s="54">
        <f>IF(G521="","",IF(OR(K521="",K521&gt;TODAY()),"Nog betalen","Betaald"))</f>
        <v/>
      </c>
    </row>
    <row r="522">
      <c r="A522" s="53" t="n"/>
      <c r="B522" s="54">
        <f>IF(A522="","",YEAR(A522)&amp;" Q"&amp;ROUNDUP(MONTH(A522)/3,0))</f>
        <v/>
      </c>
      <c r="C522" s="55" t="n"/>
      <c r="D522" s="55" t="n"/>
      <c r="E522" s="55" t="n"/>
      <c r="F522" s="55" t="n"/>
      <c r="G522" s="56" t="n"/>
      <c r="H522" s="57" t="n"/>
      <c r="I522" s="58">
        <f>IF(G522="","",ROUND(G522*H522,2))</f>
        <v/>
      </c>
      <c r="J522" s="58">
        <f>IF(G522="","",G522+N(I522))</f>
        <v/>
      </c>
      <c r="K522" s="53" t="n"/>
      <c r="L522" s="54">
        <f>IF(G522="","",IF(OR(K522="",K522&gt;TODAY()),"Nog betalen","Betaald"))</f>
        <v/>
      </c>
    </row>
    <row r="523">
      <c r="A523" s="53" t="n"/>
      <c r="B523" s="54">
        <f>IF(A523="","",YEAR(A523)&amp;" Q"&amp;ROUNDUP(MONTH(A523)/3,0))</f>
        <v/>
      </c>
      <c r="C523" s="55" t="n"/>
      <c r="D523" s="55" t="n"/>
      <c r="E523" s="55" t="n"/>
      <c r="F523" s="55" t="n"/>
      <c r="G523" s="56" t="n"/>
      <c r="H523" s="57" t="n"/>
      <c r="I523" s="58">
        <f>IF(G523="","",ROUND(G523*H523,2))</f>
        <v/>
      </c>
      <c r="J523" s="58">
        <f>IF(G523="","",G523+N(I523))</f>
        <v/>
      </c>
      <c r="K523" s="53" t="n"/>
      <c r="L523" s="54">
        <f>IF(G523="","",IF(OR(K523="",K523&gt;TODAY()),"Nog betalen","Betaald"))</f>
        <v/>
      </c>
    </row>
    <row r="524">
      <c r="A524" s="53" t="n"/>
      <c r="B524" s="54">
        <f>IF(A524="","",YEAR(A524)&amp;" Q"&amp;ROUNDUP(MONTH(A524)/3,0))</f>
        <v/>
      </c>
      <c r="C524" s="55" t="n"/>
      <c r="D524" s="55" t="n"/>
      <c r="E524" s="55" t="n"/>
      <c r="F524" s="55" t="n"/>
      <c r="G524" s="56" t="n"/>
      <c r="H524" s="57" t="n"/>
      <c r="I524" s="58">
        <f>IF(G524="","",ROUND(G524*H524,2))</f>
        <v/>
      </c>
      <c r="J524" s="58">
        <f>IF(G524="","",G524+N(I524))</f>
        <v/>
      </c>
      <c r="K524" s="53" t="n"/>
      <c r="L524" s="54">
        <f>IF(G524="","",IF(OR(K524="",K524&gt;TODAY()),"Nog betalen","Betaald"))</f>
        <v/>
      </c>
    </row>
    <row r="525">
      <c r="A525" s="53" t="n"/>
      <c r="B525" s="54">
        <f>IF(A525="","",YEAR(A525)&amp;" Q"&amp;ROUNDUP(MONTH(A525)/3,0))</f>
        <v/>
      </c>
      <c r="C525" s="55" t="n"/>
      <c r="D525" s="55" t="n"/>
      <c r="E525" s="55" t="n"/>
      <c r="F525" s="55" t="n"/>
      <c r="G525" s="56" t="n"/>
      <c r="H525" s="57" t="n"/>
      <c r="I525" s="58">
        <f>IF(G525="","",ROUND(G525*H525,2))</f>
        <v/>
      </c>
      <c r="J525" s="58">
        <f>IF(G525="","",G525+N(I525))</f>
        <v/>
      </c>
      <c r="K525" s="53" t="n"/>
      <c r="L525" s="54">
        <f>IF(G525="","",IF(OR(K525="",K525&gt;TODAY()),"Nog betalen","Betaald"))</f>
        <v/>
      </c>
    </row>
    <row r="526">
      <c r="A526" s="53" t="n"/>
      <c r="B526" s="54">
        <f>IF(A526="","",YEAR(A526)&amp;" Q"&amp;ROUNDUP(MONTH(A526)/3,0))</f>
        <v/>
      </c>
      <c r="C526" s="55" t="n"/>
      <c r="D526" s="55" t="n"/>
      <c r="E526" s="55" t="n"/>
      <c r="F526" s="55" t="n"/>
      <c r="G526" s="56" t="n"/>
      <c r="H526" s="57" t="n"/>
      <c r="I526" s="58">
        <f>IF(G526="","",ROUND(G526*H526,2))</f>
        <v/>
      </c>
      <c r="J526" s="58">
        <f>IF(G526="","",G526+N(I526))</f>
        <v/>
      </c>
      <c r="K526" s="53" t="n"/>
      <c r="L526" s="54">
        <f>IF(G526="","",IF(OR(K526="",K526&gt;TODAY()),"Nog betalen","Betaald"))</f>
        <v/>
      </c>
    </row>
    <row r="527">
      <c r="A527" s="53" t="n"/>
      <c r="B527" s="54">
        <f>IF(A527="","",YEAR(A527)&amp;" Q"&amp;ROUNDUP(MONTH(A527)/3,0))</f>
        <v/>
      </c>
      <c r="C527" s="55" t="n"/>
      <c r="D527" s="55" t="n"/>
      <c r="E527" s="55" t="n"/>
      <c r="F527" s="55" t="n"/>
      <c r="G527" s="56" t="n"/>
      <c r="H527" s="57" t="n"/>
      <c r="I527" s="58">
        <f>IF(G527="","",ROUND(G527*H527,2))</f>
        <v/>
      </c>
      <c r="J527" s="58">
        <f>IF(G527="","",G527+N(I527))</f>
        <v/>
      </c>
      <c r="K527" s="53" t="n"/>
      <c r="L527" s="54">
        <f>IF(G527="","",IF(OR(K527="",K527&gt;TODAY()),"Nog betalen","Betaald"))</f>
        <v/>
      </c>
    </row>
    <row r="528">
      <c r="A528" s="53" t="n"/>
      <c r="B528" s="54">
        <f>IF(A528="","",YEAR(A528)&amp;" Q"&amp;ROUNDUP(MONTH(A528)/3,0))</f>
        <v/>
      </c>
      <c r="C528" s="55" t="n"/>
      <c r="D528" s="55" t="n"/>
      <c r="E528" s="55" t="n"/>
      <c r="F528" s="55" t="n"/>
      <c r="G528" s="56" t="n"/>
      <c r="H528" s="57" t="n"/>
      <c r="I528" s="58">
        <f>IF(G528="","",ROUND(G528*H528,2))</f>
        <v/>
      </c>
      <c r="J528" s="58">
        <f>IF(G528="","",G528+N(I528))</f>
        <v/>
      </c>
      <c r="K528" s="53" t="n"/>
      <c r="L528" s="54">
        <f>IF(G528="","",IF(OR(K528="",K528&gt;TODAY()),"Nog betalen","Betaald"))</f>
        <v/>
      </c>
    </row>
    <row r="529">
      <c r="A529" s="53" t="n"/>
      <c r="B529" s="54">
        <f>IF(A529="","",YEAR(A529)&amp;" Q"&amp;ROUNDUP(MONTH(A529)/3,0))</f>
        <v/>
      </c>
      <c r="C529" s="55" t="n"/>
      <c r="D529" s="55" t="n"/>
      <c r="E529" s="55" t="n"/>
      <c r="F529" s="55" t="n"/>
      <c r="G529" s="56" t="n"/>
      <c r="H529" s="57" t="n"/>
      <c r="I529" s="58">
        <f>IF(G529="","",ROUND(G529*H529,2))</f>
        <v/>
      </c>
      <c r="J529" s="58">
        <f>IF(G529="","",G529+N(I529))</f>
        <v/>
      </c>
      <c r="K529" s="53" t="n"/>
      <c r="L529" s="54">
        <f>IF(G529="","",IF(OR(K529="",K529&gt;TODAY()),"Nog betalen","Betaald"))</f>
        <v/>
      </c>
    </row>
    <row r="530">
      <c r="A530" s="53" t="n"/>
      <c r="B530" s="54">
        <f>IF(A530="","",YEAR(A530)&amp;" Q"&amp;ROUNDUP(MONTH(A530)/3,0))</f>
        <v/>
      </c>
      <c r="C530" s="55" t="n"/>
      <c r="D530" s="55" t="n"/>
      <c r="E530" s="55" t="n"/>
      <c r="F530" s="55" t="n"/>
      <c r="G530" s="56" t="n"/>
      <c r="H530" s="57" t="n"/>
      <c r="I530" s="58">
        <f>IF(G530="","",ROUND(G530*H530,2))</f>
        <v/>
      </c>
      <c r="J530" s="58">
        <f>IF(G530="","",G530+N(I530))</f>
        <v/>
      </c>
      <c r="K530" s="53" t="n"/>
      <c r="L530" s="54">
        <f>IF(G530="","",IF(OR(K530="",K530&gt;TODAY()),"Nog betalen","Betaald"))</f>
        <v/>
      </c>
    </row>
    <row r="531">
      <c r="A531" s="53" t="n"/>
      <c r="B531" s="54">
        <f>IF(A531="","",YEAR(A531)&amp;" Q"&amp;ROUNDUP(MONTH(A531)/3,0))</f>
        <v/>
      </c>
      <c r="C531" s="55" t="n"/>
      <c r="D531" s="55" t="n"/>
      <c r="E531" s="55" t="n"/>
      <c r="F531" s="55" t="n"/>
      <c r="G531" s="56" t="n"/>
      <c r="H531" s="57" t="n"/>
      <c r="I531" s="58">
        <f>IF(G531="","",ROUND(G531*H531,2))</f>
        <v/>
      </c>
      <c r="J531" s="58">
        <f>IF(G531="","",G531+N(I531))</f>
        <v/>
      </c>
      <c r="K531" s="53" t="n"/>
      <c r="L531" s="54">
        <f>IF(G531="","",IF(OR(K531="",K531&gt;TODAY()),"Nog betalen","Betaald"))</f>
        <v/>
      </c>
    </row>
    <row r="532">
      <c r="A532" s="53" t="n"/>
      <c r="B532" s="54">
        <f>IF(A532="","",YEAR(A532)&amp;" Q"&amp;ROUNDUP(MONTH(A532)/3,0))</f>
        <v/>
      </c>
      <c r="C532" s="55" t="n"/>
      <c r="D532" s="55" t="n"/>
      <c r="E532" s="55" t="n"/>
      <c r="F532" s="55" t="n"/>
      <c r="G532" s="56" t="n"/>
      <c r="H532" s="57" t="n"/>
      <c r="I532" s="58">
        <f>IF(G532="","",ROUND(G532*H532,2))</f>
        <v/>
      </c>
      <c r="J532" s="58">
        <f>IF(G532="","",G532+N(I532))</f>
        <v/>
      </c>
      <c r="K532" s="53" t="n"/>
      <c r="L532" s="54">
        <f>IF(G532="","",IF(OR(K532="",K532&gt;TODAY()),"Nog betalen","Betaald"))</f>
        <v/>
      </c>
    </row>
    <row r="533">
      <c r="A533" s="53" t="n"/>
      <c r="B533" s="54">
        <f>IF(A533="","",YEAR(A533)&amp;" Q"&amp;ROUNDUP(MONTH(A533)/3,0))</f>
        <v/>
      </c>
      <c r="C533" s="55" t="n"/>
      <c r="D533" s="55" t="n"/>
      <c r="E533" s="55" t="n"/>
      <c r="F533" s="55" t="n"/>
      <c r="G533" s="56" t="n"/>
      <c r="H533" s="57" t="n"/>
      <c r="I533" s="58">
        <f>IF(G533="","",ROUND(G533*H533,2))</f>
        <v/>
      </c>
      <c r="J533" s="58">
        <f>IF(G533="","",G533+N(I533))</f>
        <v/>
      </c>
      <c r="K533" s="53" t="n"/>
      <c r="L533" s="54">
        <f>IF(G533="","",IF(OR(K533="",K533&gt;TODAY()),"Nog betalen","Betaald"))</f>
        <v/>
      </c>
    </row>
    <row r="534">
      <c r="A534" s="53" t="n"/>
      <c r="B534" s="54">
        <f>IF(A534="","",YEAR(A534)&amp;" Q"&amp;ROUNDUP(MONTH(A534)/3,0))</f>
        <v/>
      </c>
      <c r="C534" s="55" t="n"/>
      <c r="D534" s="55" t="n"/>
      <c r="E534" s="55" t="n"/>
      <c r="F534" s="55" t="n"/>
      <c r="G534" s="56" t="n"/>
      <c r="H534" s="57" t="n"/>
      <c r="I534" s="58">
        <f>IF(G534="","",ROUND(G534*H534,2))</f>
        <v/>
      </c>
      <c r="J534" s="58">
        <f>IF(G534="","",G534+N(I534))</f>
        <v/>
      </c>
      <c r="K534" s="53" t="n"/>
      <c r="L534" s="54">
        <f>IF(G534="","",IF(OR(K534="",K534&gt;TODAY()),"Nog betalen","Betaald"))</f>
        <v/>
      </c>
    </row>
    <row r="535">
      <c r="A535" s="53" t="n"/>
      <c r="B535" s="54">
        <f>IF(A535="","",YEAR(A535)&amp;" Q"&amp;ROUNDUP(MONTH(A535)/3,0))</f>
        <v/>
      </c>
      <c r="C535" s="55" t="n"/>
      <c r="D535" s="55" t="n"/>
      <c r="E535" s="55" t="n"/>
      <c r="F535" s="55" t="n"/>
      <c r="G535" s="56" t="n"/>
      <c r="H535" s="57" t="n"/>
      <c r="I535" s="58">
        <f>IF(G535="","",ROUND(G535*H535,2))</f>
        <v/>
      </c>
      <c r="J535" s="58">
        <f>IF(G535="","",G535+N(I535))</f>
        <v/>
      </c>
      <c r="K535" s="53" t="n"/>
      <c r="L535" s="54">
        <f>IF(G535="","",IF(OR(K535="",K535&gt;TODAY()),"Nog betalen","Betaald"))</f>
        <v/>
      </c>
    </row>
    <row r="536">
      <c r="A536" s="53" t="n"/>
      <c r="B536" s="54">
        <f>IF(A536="","",YEAR(A536)&amp;" Q"&amp;ROUNDUP(MONTH(A536)/3,0))</f>
        <v/>
      </c>
      <c r="C536" s="55" t="n"/>
      <c r="D536" s="55" t="n"/>
      <c r="E536" s="55" t="n"/>
      <c r="F536" s="55" t="n"/>
      <c r="G536" s="56" t="n"/>
      <c r="H536" s="57" t="n"/>
      <c r="I536" s="58">
        <f>IF(G536="","",ROUND(G536*H536,2))</f>
        <v/>
      </c>
      <c r="J536" s="58">
        <f>IF(G536="","",G536+N(I536))</f>
        <v/>
      </c>
      <c r="K536" s="53" t="n"/>
      <c r="L536" s="54">
        <f>IF(G536="","",IF(OR(K536="",K536&gt;TODAY()),"Nog betalen","Betaald"))</f>
        <v/>
      </c>
    </row>
    <row r="537">
      <c r="A537" s="53" t="n"/>
      <c r="B537" s="54">
        <f>IF(A537="","",YEAR(A537)&amp;" Q"&amp;ROUNDUP(MONTH(A537)/3,0))</f>
        <v/>
      </c>
      <c r="C537" s="55" t="n"/>
      <c r="D537" s="55" t="n"/>
      <c r="E537" s="55" t="n"/>
      <c r="F537" s="55" t="n"/>
      <c r="G537" s="56" t="n"/>
      <c r="H537" s="57" t="n"/>
      <c r="I537" s="58">
        <f>IF(G537="","",ROUND(G537*H537,2))</f>
        <v/>
      </c>
      <c r="J537" s="58">
        <f>IF(G537="","",G537+N(I537))</f>
        <v/>
      </c>
      <c r="K537" s="53" t="n"/>
      <c r="L537" s="54">
        <f>IF(G537="","",IF(OR(K537="",K537&gt;TODAY()),"Nog betalen","Betaald"))</f>
        <v/>
      </c>
    </row>
    <row r="538">
      <c r="A538" s="53" t="n"/>
      <c r="B538" s="54">
        <f>IF(A538="","",YEAR(A538)&amp;" Q"&amp;ROUNDUP(MONTH(A538)/3,0))</f>
        <v/>
      </c>
      <c r="C538" s="55" t="n"/>
      <c r="D538" s="55" t="n"/>
      <c r="E538" s="55" t="n"/>
      <c r="F538" s="55" t="n"/>
      <c r="G538" s="56" t="n"/>
      <c r="H538" s="57" t="n"/>
      <c r="I538" s="58">
        <f>IF(G538="","",ROUND(G538*H538,2))</f>
        <v/>
      </c>
      <c r="J538" s="58">
        <f>IF(G538="","",G538+N(I538))</f>
        <v/>
      </c>
      <c r="K538" s="53" t="n"/>
      <c r="L538" s="54">
        <f>IF(G538="","",IF(OR(K538="",K538&gt;TODAY()),"Nog betalen","Betaald"))</f>
        <v/>
      </c>
    </row>
    <row r="539">
      <c r="A539" s="53" t="n"/>
      <c r="B539" s="54">
        <f>IF(A539="","",YEAR(A539)&amp;" Q"&amp;ROUNDUP(MONTH(A539)/3,0))</f>
        <v/>
      </c>
      <c r="C539" s="55" t="n"/>
      <c r="D539" s="55" t="n"/>
      <c r="E539" s="55" t="n"/>
      <c r="F539" s="55" t="n"/>
      <c r="G539" s="56" t="n"/>
      <c r="H539" s="57" t="n"/>
      <c r="I539" s="58">
        <f>IF(G539="","",ROUND(G539*H539,2))</f>
        <v/>
      </c>
      <c r="J539" s="58">
        <f>IF(G539="","",G539+N(I539))</f>
        <v/>
      </c>
      <c r="K539" s="53" t="n"/>
      <c r="L539" s="54">
        <f>IF(G539="","",IF(OR(K539="",K539&gt;TODAY()),"Nog betalen","Betaald"))</f>
        <v/>
      </c>
    </row>
    <row r="540">
      <c r="A540" s="53" t="n"/>
      <c r="B540" s="54">
        <f>IF(A540="","",YEAR(A540)&amp;" Q"&amp;ROUNDUP(MONTH(A540)/3,0))</f>
        <v/>
      </c>
      <c r="C540" s="55" t="n"/>
      <c r="D540" s="55" t="n"/>
      <c r="E540" s="55" t="n"/>
      <c r="F540" s="55" t="n"/>
      <c r="G540" s="56" t="n"/>
      <c r="H540" s="57" t="n"/>
      <c r="I540" s="58">
        <f>IF(G540="","",ROUND(G540*H540,2))</f>
        <v/>
      </c>
      <c r="J540" s="58">
        <f>IF(G540="","",G540+N(I540))</f>
        <v/>
      </c>
      <c r="K540" s="53" t="n"/>
      <c r="L540" s="54">
        <f>IF(G540="","",IF(OR(K540="",K540&gt;TODAY()),"Nog betalen","Betaald"))</f>
        <v/>
      </c>
    </row>
    <row r="541">
      <c r="A541" s="53" t="n"/>
      <c r="B541" s="54">
        <f>IF(A541="","",YEAR(A541)&amp;" Q"&amp;ROUNDUP(MONTH(A541)/3,0))</f>
        <v/>
      </c>
      <c r="C541" s="55" t="n"/>
      <c r="D541" s="55" t="n"/>
      <c r="E541" s="55" t="n"/>
      <c r="F541" s="55" t="n"/>
      <c r="G541" s="56" t="n"/>
      <c r="H541" s="57" t="n"/>
      <c r="I541" s="58">
        <f>IF(G541="","",ROUND(G541*H541,2))</f>
        <v/>
      </c>
      <c r="J541" s="58">
        <f>IF(G541="","",G541+N(I541))</f>
        <v/>
      </c>
      <c r="K541" s="53" t="n"/>
      <c r="L541" s="54">
        <f>IF(G541="","",IF(OR(K541="",K541&gt;TODAY()),"Nog betalen","Betaald"))</f>
        <v/>
      </c>
    </row>
    <row r="542">
      <c r="A542" s="53" t="n"/>
      <c r="B542" s="54">
        <f>IF(A542="","",YEAR(A542)&amp;" Q"&amp;ROUNDUP(MONTH(A542)/3,0))</f>
        <v/>
      </c>
      <c r="C542" s="55" t="n"/>
      <c r="D542" s="55" t="n"/>
      <c r="E542" s="55" t="n"/>
      <c r="F542" s="55" t="n"/>
      <c r="G542" s="56" t="n"/>
      <c r="H542" s="57" t="n"/>
      <c r="I542" s="58">
        <f>IF(G542="","",ROUND(G542*H542,2))</f>
        <v/>
      </c>
      <c r="J542" s="58">
        <f>IF(G542="","",G542+N(I542))</f>
        <v/>
      </c>
      <c r="K542" s="53" t="n"/>
      <c r="L542" s="54">
        <f>IF(G542="","",IF(OR(K542="",K542&gt;TODAY()),"Nog betalen","Betaald"))</f>
        <v/>
      </c>
    </row>
    <row r="543">
      <c r="A543" s="53" t="n"/>
      <c r="B543" s="54">
        <f>IF(A543="","",YEAR(A543)&amp;" Q"&amp;ROUNDUP(MONTH(A543)/3,0))</f>
        <v/>
      </c>
      <c r="C543" s="55" t="n"/>
      <c r="D543" s="55" t="n"/>
      <c r="E543" s="55" t="n"/>
      <c r="F543" s="55" t="n"/>
      <c r="G543" s="56" t="n"/>
      <c r="H543" s="57" t="n"/>
      <c r="I543" s="58">
        <f>IF(G543="","",ROUND(G543*H543,2))</f>
        <v/>
      </c>
      <c r="J543" s="58">
        <f>IF(G543="","",G543+N(I543))</f>
        <v/>
      </c>
      <c r="K543" s="53" t="n"/>
      <c r="L543" s="54">
        <f>IF(G543="","",IF(OR(K543="",K543&gt;TODAY()),"Nog betalen","Betaald"))</f>
        <v/>
      </c>
    </row>
    <row r="544">
      <c r="A544" s="53" t="n"/>
      <c r="B544" s="54">
        <f>IF(A544="","",YEAR(A544)&amp;" Q"&amp;ROUNDUP(MONTH(A544)/3,0))</f>
        <v/>
      </c>
      <c r="C544" s="55" t="n"/>
      <c r="D544" s="55" t="n"/>
      <c r="E544" s="55" t="n"/>
      <c r="F544" s="55" t="n"/>
      <c r="G544" s="56" t="n"/>
      <c r="H544" s="57" t="n"/>
      <c r="I544" s="58">
        <f>IF(G544="","",ROUND(G544*H544,2))</f>
        <v/>
      </c>
      <c r="J544" s="58">
        <f>IF(G544="","",G544+N(I544))</f>
        <v/>
      </c>
      <c r="K544" s="53" t="n"/>
      <c r="L544" s="54">
        <f>IF(G544="","",IF(OR(K544="",K544&gt;TODAY()),"Nog betalen","Betaald"))</f>
        <v/>
      </c>
    </row>
    <row r="545">
      <c r="A545" s="53" t="n"/>
      <c r="B545" s="54">
        <f>IF(A545="","",YEAR(A545)&amp;" Q"&amp;ROUNDUP(MONTH(A545)/3,0))</f>
        <v/>
      </c>
      <c r="C545" s="55" t="n"/>
      <c r="D545" s="55" t="n"/>
      <c r="E545" s="55" t="n"/>
      <c r="F545" s="55" t="n"/>
      <c r="G545" s="56" t="n"/>
      <c r="H545" s="57" t="n"/>
      <c r="I545" s="58">
        <f>IF(G545="","",ROUND(G545*H545,2))</f>
        <v/>
      </c>
      <c r="J545" s="58">
        <f>IF(G545="","",G545+N(I545))</f>
        <v/>
      </c>
      <c r="K545" s="53" t="n"/>
      <c r="L545" s="54">
        <f>IF(G545="","",IF(OR(K545="",K545&gt;TODAY()),"Nog betalen","Betaald"))</f>
        <v/>
      </c>
    </row>
    <row r="546">
      <c r="A546" s="53" t="n"/>
      <c r="B546" s="54">
        <f>IF(A546="","",YEAR(A546)&amp;" Q"&amp;ROUNDUP(MONTH(A546)/3,0))</f>
        <v/>
      </c>
      <c r="C546" s="55" t="n"/>
      <c r="D546" s="55" t="n"/>
      <c r="E546" s="55" t="n"/>
      <c r="F546" s="55" t="n"/>
      <c r="G546" s="56" t="n"/>
      <c r="H546" s="57" t="n"/>
      <c r="I546" s="58">
        <f>IF(G546="","",ROUND(G546*H546,2))</f>
        <v/>
      </c>
      <c r="J546" s="58">
        <f>IF(G546="","",G546+N(I546))</f>
        <v/>
      </c>
      <c r="K546" s="53" t="n"/>
      <c r="L546" s="54">
        <f>IF(G546="","",IF(OR(K546="",K546&gt;TODAY()),"Nog betalen","Betaald"))</f>
        <v/>
      </c>
    </row>
    <row r="547">
      <c r="A547" s="53" t="n"/>
      <c r="B547" s="54">
        <f>IF(A547="","",YEAR(A547)&amp;" Q"&amp;ROUNDUP(MONTH(A547)/3,0))</f>
        <v/>
      </c>
      <c r="C547" s="55" t="n"/>
      <c r="D547" s="55" t="n"/>
      <c r="E547" s="55" t="n"/>
      <c r="F547" s="55" t="n"/>
      <c r="G547" s="56" t="n"/>
      <c r="H547" s="57" t="n"/>
      <c r="I547" s="58">
        <f>IF(G547="","",ROUND(G547*H547,2))</f>
        <v/>
      </c>
      <c r="J547" s="58">
        <f>IF(G547="","",G547+N(I547))</f>
        <v/>
      </c>
      <c r="K547" s="53" t="n"/>
      <c r="L547" s="54">
        <f>IF(G547="","",IF(OR(K547="",K547&gt;TODAY()),"Nog betalen","Betaald"))</f>
        <v/>
      </c>
    </row>
    <row r="548">
      <c r="A548" s="53" t="n"/>
      <c r="B548" s="54">
        <f>IF(A548="","",YEAR(A548)&amp;" Q"&amp;ROUNDUP(MONTH(A548)/3,0))</f>
        <v/>
      </c>
      <c r="C548" s="55" t="n"/>
      <c r="D548" s="55" t="n"/>
      <c r="E548" s="55" t="n"/>
      <c r="F548" s="55" t="n"/>
      <c r="G548" s="56" t="n"/>
      <c r="H548" s="57" t="n"/>
      <c r="I548" s="58">
        <f>IF(G548="","",ROUND(G548*H548,2))</f>
        <v/>
      </c>
      <c r="J548" s="58">
        <f>IF(G548="","",G548+N(I548))</f>
        <v/>
      </c>
      <c r="K548" s="53" t="n"/>
      <c r="L548" s="54">
        <f>IF(G548="","",IF(OR(K548="",K548&gt;TODAY()),"Nog betalen","Betaald"))</f>
        <v/>
      </c>
    </row>
    <row r="549">
      <c r="A549" s="53" t="n"/>
      <c r="B549" s="54">
        <f>IF(A549="","",YEAR(A549)&amp;" Q"&amp;ROUNDUP(MONTH(A549)/3,0))</f>
        <v/>
      </c>
      <c r="C549" s="55" t="n"/>
      <c r="D549" s="55" t="n"/>
      <c r="E549" s="55" t="n"/>
      <c r="F549" s="55" t="n"/>
      <c r="G549" s="56" t="n"/>
      <c r="H549" s="57" t="n"/>
      <c r="I549" s="58">
        <f>IF(G549="","",ROUND(G549*H549,2))</f>
        <v/>
      </c>
      <c r="J549" s="58">
        <f>IF(G549="","",G549+N(I549))</f>
        <v/>
      </c>
      <c r="K549" s="53" t="n"/>
      <c r="L549" s="54">
        <f>IF(G549="","",IF(OR(K549="",K549&gt;TODAY()),"Nog betalen","Betaald"))</f>
        <v/>
      </c>
    </row>
    <row r="550">
      <c r="A550" s="53" t="n"/>
      <c r="B550" s="54">
        <f>IF(A550="","",YEAR(A550)&amp;" Q"&amp;ROUNDUP(MONTH(A550)/3,0))</f>
        <v/>
      </c>
      <c r="C550" s="55" t="n"/>
      <c r="D550" s="55" t="n"/>
      <c r="E550" s="55" t="n"/>
      <c r="F550" s="55" t="n"/>
      <c r="G550" s="56" t="n"/>
      <c r="H550" s="57" t="n"/>
      <c r="I550" s="58">
        <f>IF(G550="","",ROUND(G550*H550,2))</f>
        <v/>
      </c>
      <c r="J550" s="58">
        <f>IF(G550="","",G550+N(I550))</f>
        <v/>
      </c>
      <c r="K550" s="53" t="n"/>
      <c r="L550" s="54">
        <f>IF(G550="","",IF(OR(K550="",K550&gt;TODAY()),"Nog betalen","Betaald"))</f>
        <v/>
      </c>
    </row>
    <row r="551">
      <c r="A551" s="53" t="n"/>
      <c r="B551" s="54">
        <f>IF(A551="","",YEAR(A551)&amp;" Q"&amp;ROUNDUP(MONTH(A551)/3,0))</f>
        <v/>
      </c>
      <c r="C551" s="55" t="n"/>
      <c r="D551" s="55" t="n"/>
      <c r="E551" s="55" t="n"/>
      <c r="F551" s="55" t="n"/>
      <c r="G551" s="56" t="n"/>
      <c r="H551" s="57" t="n"/>
      <c r="I551" s="58">
        <f>IF(G551="","",ROUND(G551*H551,2))</f>
        <v/>
      </c>
      <c r="J551" s="58">
        <f>IF(G551="","",G551+N(I551))</f>
        <v/>
      </c>
      <c r="K551" s="53" t="n"/>
      <c r="L551" s="54">
        <f>IF(G551="","",IF(OR(K551="",K551&gt;TODAY()),"Nog betalen","Betaald"))</f>
        <v/>
      </c>
    </row>
    <row r="552">
      <c r="A552" s="53" t="n"/>
      <c r="B552" s="54">
        <f>IF(A552="","",YEAR(A552)&amp;" Q"&amp;ROUNDUP(MONTH(A552)/3,0))</f>
        <v/>
      </c>
      <c r="C552" s="55" t="n"/>
      <c r="D552" s="55" t="n"/>
      <c r="E552" s="55" t="n"/>
      <c r="F552" s="55" t="n"/>
      <c r="G552" s="56" t="n"/>
      <c r="H552" s="57" t="n"/>
      <c r="I552" s="58">
        <f>IF(G552="","",ROUND(G552*H552,2))</f>
        <v/>
      </c>
      <c r="J552" s="58">
        <f>IF(G552="","",G552+N(I552))</f>
        <v/>
      </c>
      <c r="K552" s="53" t="n"/>
      <c r="L552" s="54">
        <f>IF(G552="","",IF(OR(K552="",K552&gt;TODAY()),"Nog betalen","Betaald"))</f>
        <v/>
      </c>
    </row>
    <row r="553">
      <c r="A553" s="53" t="n"/>
      <c r="B553" s="54">
        <f>IF(A553="","",YEAR(A553)&amp;" Q"&amp;ROUNDUP(MONTH(A553)/3,0))</f>
        <v/>
      </c>
      <c r="C553" s="55" t="n"/>
      <c r="D553" s="55" t="n"/>
      <c r="E553" s="55" t="n"/>
      <c r="F553" s="55" t="n"/>
      <c r="G553" s="56" t="n"/>
      <c r="H553" s="57" t="n"/>
      <c r="I553" s="58">
        <f>IF(G553="","",ROUND(G553*H553,2))</f>
        <v/>
      </c>
      <c r="J553" s="58">
        <f>IF(G553="","",G553+N(I553))</f>
        <v/>
      </c>
      <c r="K553" s="53" t="n"/>
      <c r="L553" s="54">
        <f>IF(G553="","",IF(OR(K553="",K553&gt;TODAY()),"Nog betalen","Betaald"))</f>
        <v/>
      </c>
    </row>
    <row r="554">
      <c r="A554" s="53" t="n"/>
      <c r="B554" s="54">
        <f>IF(A554="","",YEAR(A554)&amp;" Q"&amp;ROUNDUP(MONTH(A554)/3,0))</f>
        <v/>
      </c>
      <c r="C554" s="55" t="n"/>
      <c r="D554" s="55" t="n"/>
      <c r="E554" s="55" t="n"/>
      <c r="F554" s="55" t="n"/>
      <c r="G554" s="56" t="n"/>
      <c r="H554" s="57" t="n"/>
      <c r="I554" s="58">
        <f>IF(G554="","",ROUND(G554*H554,2))</f>
        <v/>
      </c>
      <c r="J554" s="58">
        <f>IF(G554="","",G554+N(I554))</f>
        <v/>
      </c>
      <c r="K554" s="53" t="n"/>
      <c r="L554" s="54">
        <f>IF(G554="","",IF(OR(K554="",K554&gt;TODAY()),"Nog betalen","Betaald"))</f>
        <v/>
      </c>
    </row>
    <row r="555">
      <c r="A555" s="53" t="n"/>
      <c r="B555" s="54">
        <f>IF(A555="","",YEAR(A555)&amp;" Q"&amp;ROUNDUP(MONTH(A555)/3,0))</f>
        <v/>
      </c>
      <c r="C555" s="55" t="n"/>
      <c r="D555" s="55" t="n"/>
      <c r="E555" s="55" t="n"/>
      <c r="F555" s="55" t="n"/>
      <c r="G555" s="56" t="n"/>
      <c r="H555" s="57" t="n"/>
      <c r="I555" s="58">
        <f>IF(G555="","",ROUND(G555*H555,2))</f>
        <v/>
      </c>
      <c r="J555" s="58">
        <f>IF(G555="","",G555+N(I555))</f>
        <v/>
      </c>
      <c r="K555" s="53" t="n"/>
      <c r="L555" s="54">
        <f>IF(G555="","",IF(OR(K555="",K555&gt;TODAY()),"Nog betalen","Betaald"))</f>
        <v/>
      </c>
    </row>
    <row r="556">
      <c r="A556" s="53" t="n"/>
      <c r="B556" s="54">
        <f>IF(A556="","",YEAR(A556)&amp;" Q"&amp;ROUNDUP(MONTH(A556)/3,0))</f>
        <v/>
      </c>
      <c r="C556" s="55" t="n"/>
      <c r="D556" s="55" t="n"/>
      <c r="E556" s="55" t="n"/>
      <c r="F556" s="55" t="n"/>
      <c r="G556" s="56" t="n"/>
      <c r="H556" s="57" t="n"/>
      <c r="I556" s="58">
        <f>IF(G556="","",ROUND(G556*H556,2))</f>
        <v/>
      </c>
      <c r="J556" s="58">
        <f>IF(G556="","",G556+N(I556))</f>
        <v/>
      </c>
      <c r="K556" s="53" t="n"/>
      <c r="L556" s="54">
        <f>IF(G556="","",IF(OR(K556="",K556&gt;TODAY()),"Nog betalen","Betaald"))</f>
        <v/>
      </c>
    </row>
    <row r="557">
      <c r="A557" s="53" t="n"/>
      <c r="B557" s="54">
        <f>IF(A557="","",YEAR(A557)&amp;" Q"&amp;ROUNDUP(MONTH(A557)/3,0))</f>
        <v/>
      </c>
      <c r="C557" s="55" t="n"/>
      <c r="D557" s="55" t="n"/>
      <c r="E557" s="55" t="n"/>
      <c r="F557" s="55" t="n"/>
      <c r="G557" s="56" t="n"/>
      <c r="H557" s="57" t="n"/>
      <c r="I557" s="58">
        <f>IF(G557="","",ROUND(G557*H557,2))</f>
        <v/>
      </c>
      <c r="J557" s="58">
        <f>IF(G557="","",G557+N(I557))</f>
        <v/>
      </c>
      <c r="K557" s="53" t="n"/>
      <c r="L557" s="54">
        <f>IF(G557="","",IF(OR(K557="",K557&gt;TODAY()),"Nog betalen","Betaald"))</f>
        <v/>
      </c>
    </row>
    <row r="558">
      <c r="A558" s="53" t="n"/>
      <c r="B558" s="54">
        <f>IF(A558="","",YEAR(A558)&amp;" Q"&amp;ROUNDUP(MONTH(A558)/3,0))</f>
        <v/>
      </c>
      <c r="C558" s="55" t="n"/>
      <c r="D558" s="55" t="n"/>
      <c r="E558" s="55" t="n"/>
      <c r="F558" s="55" t="n"/>
      <c r="G558" s="56" t="n"/>
      <c r="H558" s="57" t="n"/>
      <c r="I558" s="58">
        <f>IF(G558="","",ROUND(G558*H558,2))</f>
        <v/>
      </c>
      <c r="J558" s="58">
        <f>IF(G558="","",G558+N(I558))</f>
        <v/>
      </c>
      <c r="K558" s="53" t="n"/>
      <c r="L558" s="54">
        <f>IF(G558="","",IF(OR(K558="",K558&gt;TODAY()),"Nog betalen","Betaald"))</f>
        <v/>
      </c>
    </row>
    <row r="559">
      <c r="A559" s="53" t="n"/>
      <c r="B559" s="54">
        <f>IF(A559="","",YEAR(A559)&amp;" Q"&amp;ROUNDUP(MONTH(A559)/3,0))</f>
        <v/>
      </c>
      <c r="C559" s="55" t="n"/>
      <c r="D559" s="55" t="n"/>
      <c r="E559" s="55" t="n"/>
      <c r="F559" s="55" t="n"/>
      <c r="G559" s="56" t="n"/>
      <c r="H559" s="57" t="n"/>
      <c r="I559" s="58">
        <f>IF(G559="","",ROUND(G559*H559,2))</f>
        <v/>
      </c>
      <c r="J559" s="58">
        <f>IF(G559="","",G559+N(I559))</f>
        <v/>
      </c>
      <c r="K559" s="53" t="n"/>
      <c r="L559" s="54">
        <f>IF(G559="","",IF(OR(K559="",K559&gt;TODAY()),"Nog betalen","Betaald"))</f>
        <v/>
      </c>
    </row>
    <row r="560">
      <c r="A560" s="53" t="n"/>
      <c r="B560" s="54">
        <f>IF(A560="","",YEAR(A560)&amp;" Q"&amp;ROUNDUP(MONTH(A560)/3,0))</f>
        <v/>
      </c>
      <c r="C560" s="55" t="n"/>
      <c r="D560" s="55" t="n"/>
      <c r="E560" s="55" t="n"/>
      <c r="F560" s="55" t="n"/>
      <c r="G560" s="56" t="n"/>
      <c r="H560" s="57" t="n"/>
      <c r="I560" s="58">
        <f>IF(G560="","",ROUND(G560*H560,2))</f>
        <v/>
      </c>
      <c r="J560" s="58">
        <f>IF(G560="","",G560+N(I560))</f>
        <v/>
      </c>
      <c r="K560" s="53" t="n"/>
      <c r="L560" s="54">
        <f>IF(G560="","",IF(OR(K560="",K560&gt;TODAY()),"Nog betalen","Betaald"))</f>
        <v/>
      </c>
    </row>
    <row r="561">
      <c r="A561" s="53" t="n"/>
      <c r="B561" s="54">
        <f>IF(A561="","",YEAR(A561)&amp;" Q"&amp;ROUNDUP(MONTH(A561)/3,0))</f>
        <v/>
      </c>
      <c r="C561" s="55" t="n"/>
      <c r="D561" s="55" t="n"/>
      <c r="E561" s="55" t="n"/>
      <c r="F561" s="55" t="n"/>
      <c r="G561" s="56" t="n"/>
      <c r="H561" s="57" t="n"/>
      <c r="I561" s="58">
        <f>IF(G561="","",ROUND(G561*H561,2))</f>
        <v/>
      </c>
      <c r="J561" s="58">
        <f>IF(G561="","",G561+N(I561))</f>
        <v/>
      </c>
      <c r="K561" s="53" t="n"/>
      <c r="L561" s="54">
        <f>IF(G561="","",IF(OR(K561="",K561&gt;TODAY()),"Nog betalen","Betaald"))</f>
        <v/>
      </c>
    </row>
    <row r="562">
      <c r="A562" s="53" t="n"/>
      <c r="B562" s="54">
        <f>IF(A562="","",YEAR(A562)&amp;" Q"&amp;ROUNDUP(MONTH(A562)/3,0))</f>
        <v/>
      </c>
      <c r="C562" s="55" t="n"/>
      <c r="D562" s="55" t="n"/>
      <c r="E562" s="55" t="n"/>
      <c r="F562" s="55" t="n"/>
      <c r="G562" s="56" t="n"/>
      <c r="H562" s="57" t="n"/>
      <c r="I562" s="58">
        <f>IF(G562="","",ROUND(G562*H562,2))</f>
        <v/>
      </c>
      <c r="J562" s="58">
        <f>IF(G562="","",G562+N(I562))</f>
        <v/>
      </c>
      <c r="K562" s="53" t="n"/>
      <c r="L562" s="54">
        <f>IF(G562="","",IF(OR(K562="",K562&gt;TODAY()),"Nog betalen","Betaald"))</f>
        <v/>
      </c>
    </row>
    <row r="563">
      <c r="A563" s="53" t="n"/>
      <c r="B563" s="54">
        <f>IF(A563="","",YEAR(A563)&amp;" Q"&amp;ROUNDUP(MONTH(A563)/3,0))</f>
        <v/>
      </c>
      <c r="C563" s="55" t="n"/>
      <c r="D563" s="55" t="n"/>
      <c r="E563" s="55" t="n"/>
      <c r="F563" s="55" t="n"/>
      <c r="G563" s="56" t="n"/>
      <c r="H563" s="57" t="n"/>
      <c r="I563" s="58">
        <f>IF(G563="","",ROUND(G563*H563,2))</f>
        <v/>
      </c>
      <c r="J563" s="58">
        <f>IF(G563="","",G563+N(I563))</f>
        <v/>
      </c>
      <c r="K563" s="53" t="n"/>
      <c r="L563" s="54">
        <f>IF(G563="","",IF(OR(K563="",K563&gt;TODAY()),"Nog betalen","Betaald"))</f>
        <v/>
      </c>
    </row>
    <row r="564">
      <c r="A564" s="53" t="n"/>
      <c r="B564" s="54">
        <f>IF(A564="","",YEAR(A564)&amp;" Q"&amp;ROUNDUP(MONTH(A564)/3,0))</f>
        <v/>
      </c>
      <c r="C564" s="55" t="n"/>
      <c r="D564" s="55" t="n"/>
      <c r="E564" s="55" t="n"/>
      <c r="F564" s="55" t="n"/>
      <c r="G564" s="56" t="n"/>
      <c r="H564" s="57" t="n"/>
      <c r="I564" s="58">
        <f>IF(G564="","",ROUND(G564*H564,2))</f>
        <v/>
      </c>
      <c r="J564" s="58">
        <f>IF(G564="","",G564+N(I564))</f>
        <v/>
      </c>
      <c r="K564" s="53" t="n"/>
      <c r="L564" s="54">
        <f>IF(G564="","",IF(OR(K564="",K564&gt;TODAY()),"Nog betalen","Betaald"))</f>
        <v/>
      </c>
    </row>
    <row r="565">
      <c r="A565" s="53" t="n"/>
      <c r="B565" s="54">
        <f>IF(A565="","",YEAR(A565)&amp;" Q"&amp;ROUNDUP(MONTH(A565)/3,0))</f>
        <v/>
      </c>
      <c r="C565" s="55" t="n"/>
      <c r="D565" s="55" t="n"/>
      <c r="E565" s="55" t="n"/>
      <c r="F565" s="55" t="n"/>
      <c r="G565" s="56" t="n"/>
      <c r="H565" s="57" t="n"/>
      <c r="I565" s="58">
        <f>IF(G565="","",ROUND(G565*H565,2))</f>
        <v/>
      </c>
      <c r="J565" s="58">
        <f>IF(G565="","",G565+N(I565))</f>
        <v/>
      </c>
      <c r="K565" s="53" t="n"/>
      <c r="L565" s="54">
        <f>IF(G565="","",IF(OR(K565="",K565&gt;TODAY()),"Nog betalen","Betaald"))</f>
        <v/>
      </c>
    </row>
    <row r="566">
      <c r="A566" s="53" t="n"/>
      <c r="B566" s="54">
        <f>IF(A566="","",YEAR(A566)&amp;" Q"&amp;ROUNDUP(MONTH(A566)/3,0))</f>
        <v/>
      </c>
      <c r="C566" s="55" t="n"/>
      <c r="D566" s="55" t="n"/>
      <c r="E566" s="55" t="n"/>
      <c r="F566" s="55" t="n"/>
      <c r="G566" s="56" t="n"/>
      <c r="H566" s="57" t="n"/>
      <c r="I566" s="58">
        <f>IF(G566="","",ROUND(G566*H566,2))</f>
        <v/>
      </c>
      <c r="J566" s="58">
        <f>IF(G566="","",G566+N(I566))</f>
        <v/>
      </c>
      <c r="K566" s="53" t="n"/>
      <c r="L566" s="54">
        <f>IF(G566="","",IF(OR(K566="",K566&gt;TODAY()),"Nog betalen","Betaald"))</f>
        <v/>
      </c>
    </row>
    <row r="567">
      <c r="A567" s="53" t="n"/>
      <c r="B567" s="54">
        <f>IF(A567="","",YEAR(A567)&amp;" Q"&amp;ROUNDUP(MONTH(A567)/3,0))</f>
        <v/>
      </c>
      <c r="C567" s="55" t="n"/>
      <c r="D567" s="55" t="n"/>
      <c r="E567" s="55" t="n"/>
      <c r="F567" s="55" t="n"/>
      <c r="G567" s="56" t="n"/>
      <c r="H567" s="57" t="n"/>
      <c r="I567" s="58">
        <f>IF(G567="","",ROUND(G567*H567,2))</f>
        <v/>
      </c>
      <c r="J567" s="58">
        <f>IF(G567="","",G567+N(I567))</f>
        <v/>
      </c>
      <c r="K567" s="53" t="n"/>
      <c r="L567" s="54">
        <f>IF(G567="","",IF(OR(K567="",K567&gt;TODAY()),"Nog betalen","Betaald"))</f>
        <v/>
      </c>
    </row>
    <row r="568">
      <c r="A568" s="53" t="n"/>
      <c r="B568" s="54">
        <f>IF(A568="","",YEAR(A568)&amp;" Q"&amp;ROUNDUP(MONTH(A568)/3,0))</f>
        <v/>
      </c>
      <c r="C568" s="55" t="n"/>
      <c r="D568" s="55" t="n"/>
      <c r="E568" s="55" t="n"/>
      <c r="F568" s="55" t="n"/>
      <c r="G568" s="56" t="n"/>
      <c r="H568" s="57" t="n"/>
      <c r="I568" s="58">
        <f>IF(G568="","",ROUND(G568*H568,2))</f>
        <v/>
      </c>
      <c r="J568" s="58">
        <f>IF(G568="","",G568+N(I568))</f>
        <v/>
      </c>
      <c r="K568" s="53" t="n"/>
      <c r="L568" s="54">
        <f>IF(G568="","",IF(OR(K568="",K568&gt;TODAY()),"Nog betalen","Betaald"))</f>
        <v/>
      </c>
    </row>
    <row r="569">
      <c r="A569" s="53" t="n"/>
      <c r="B569" s="54">
        <f>IF(A569="","",YEAR(A569)&amp;" Q"&amp;ROUNDUP(MONTH(A569)/3,0))</f>
        <v/>
      </c>
      <c r="C569" s="55" t="n"/>
      <c r="D569" s="55" t="n"/>
      <c r="E569" s="55" t="n"/>
      <c r="F569" s="55" t="n"/>
      <c r="G569" s="56" t="n"/>
      <c r="H569" s="57" t="n"/>
      <c r="I569" s="58">
        <f>IF(G569="","",ROUND(G569*H569,2))</f>
        <v/>
      </c>
      <c r="J569" s="58">
        <f>IF(G569="","",G569+N(I569))</f>
        <v/>
      </c>
      <c r="K569" s="53" t="n"/>
      <c r="L569" s="54">
        <f>IF(G569="","",IF(OR(K569="",K569&gt;TODAY()),"Nog betalen","Betaald"))</f>
        <v/>
      </c>
    </row>
    <row r="570">
      <c r="A570" s="53" t="n"/>
      <c r="B570" s="54">
        <f>IF(A570="","",YEAR(A570)&amp;" Q"&amp;ROUNDUP(MONTH(A570)/3,0))</f>
        <v/>
      </c>
      <c r="C570" s="55" t="n"/>
      <c r="D570" s="55" t="n"/>
      <c r="E570" s="55" t="n"/>
      <c r="F570" s="55" t="n"/>
      <c r="G570" s="56" t="n"/>
      <c r="H570" s="57" t="n"/>
      <c r="I570" s="58">
        <f>IF(G570="","",ROUND(G570*H570,2))</f>
        <v/>
      </c>
      <c r="J570" s="58">
        <f>IF(G570="","",G570+N(I570))</f>
        <v/>
      </c>
      <c r="K570" s="53" t="n"/>
      <c r="L570" s="54">
        <f>IF(G570="","",IF(OR(K570="",K570&gt;TODAY()),"Nog betalen","Betaald"))</f>
        <v/>
      </c>
    </row>
    <row r="571">
      <c r="A571" s="53" t="n"/>
      <c r="B571" s="54">
        <f>IF(A571="","",YEAR(A571)&amp;" Q"&amp;ROUNDUP(MONTH(A571)/3,0))</f>
        <v/>
      </c>
      <c r="C571" s="55" t="n"/>
      <c r="D571" s="55" t="n"/>
      <c r="E571" s="55" t="n"/>
      <c r="F571" s="55" t="n"/>
      <c r="G571" s="56" t="n"/>
      <c r="H571" s="57" t="n"/>
      <c r="I571" s="58">
        <f>IF(G571="","",ROUND(G571*H571,2))</f>
        <v/>
      </c>
      <c r="J571" s="58">
        <f>IF(G571="","",G571+N(I571))</f>
        <v/>
      </c>
      <c r="K571" s="53" t="n"/>
      <c r="L571" s="54">
        <f>IF(G571="","",IF(OR(K571="",K571&gt;TODAY()),"Nog betalen","Betaald"))</f>
        <v/>
      </c>
    </row>
    <row r="572">
      <c r="A572" s="53" t="n"/>
      <c r="B572" s="54">
        <f>IF(A572="","",YEAR(A572)&amp;" Q"&amp;ROUNDUP(MONTH(A572)/3,0))</f>
        <v/>
      </c>
      <c r="C572" s="55" t="n"/>
      <c r="D572" s="55" t="n"/>
      <c r="E572" s="55" t="n"/>
      <c r="F572" s="55" t="n"/>
      <c r="G572" s="56" t="n"/>
      <c r="H572" s="57" t="n"/>
      <c r="I572" s="58">
        <f>IF(G572="","",ROUND(G572*H572,2))</f>
        <v/>
      </c>
      <c r="J572" s="58">
        <f>IF(G572="","",G572+N(I572))</f>
        <v/>
      </c>
      <c r="K572" s="53" t="n"/>
      <c r="L572" s="54">
        <f>IF(G572="","",IF(OR(K572="",K572&gt;TODAY()),"Nog betalen","Betaald"))</f>
        <v/>
      </c>
    </row>
    <row r="573">
      <c r="A573" s="53" t="n"/>
      <c r="B573" s="54">
        <f>IF(A573="","",YEAR(A573)&amp;" Q"&amp;ROUNDUP(MONTH(A573)/3,0))</f>
        <v/>
      </c>
      <c r="C573" s="55" t="n"/>
      <c r="D573" s="55" t="n"/>
      <c r="E573" s="55" t="n"/>
      <c r="F573" s="55" t="n"/>
      <c r="G573" s="56" t="n"/>
      <c r="H573" s="57" t="n"/>
      <c r="I573" s="58">
        <f>IF(G573="","",ROUND(G573*H573,2))</f>
        <v/>
      </c>
      <c r="J573" s="58">
        <f>IF(G573="","",G573+N(I573))</f>
        <v/>
      </c>
      <c r="K573" s="53" t="n"/>
      <c r="L573" s="54">
        <f>IF(G573="","",IF(OR(K573="",K573&gt;TODAY()),"Nog betalen","Betaald"))</f>
        <v/>
      </c>
    </row>
    <row r="574">
      <c r="A574" s="53" t="n"/>
      <c r="B574" s="54">
        <f>IF(A574="","",YEAR(A574)&amp;" Q"&amp;ROUNDUP(MONTH(A574)/3,0))</f>
        <v/>
      </c>
      <c r="C574" s="55" t="n"/>
      <c r="D574" s="55" t="n"/>
      <c r="E574" s="55" t="n"/>
      <c r="F574" s="55" t="n"/>
      <c r="G574" s="56" t="n"/>
      <c r="H574" s="57" t="n"/>
      <c r="I574" s="58">
        <f>IF(G574="","",ROUND(G574*H574,2))</f>
        <v/>
      </c>
      <c r="J574" s="58">
        <f>IF(G574="","",G574+N(I574))</f>
        <v/>
      </c>
      <c r="K574" s="53" t="n"/>
      <c r="L574" s="54">
        <f>IF(G574="","",IF(OR(K574="",K574&gt;TODAY()),"Nog betalen","Betaald"))</f>
        <v/>
      </c>
    </row>
    <row r="575">
      <c r="A575" s="53" t="n"/>
      <c r="B575" s="54">
        <f>IF(A575="","",YEAR(A575)&amp;" Q"&amp;ROUNDUP(MONTH(A575)/3,0))</f>
        <v/>
      </c>
      <c r="C575" s="55" t="n"/>
      <c r="D575" s="55" t="n"/>
      <c r="E575" s="55" t="n"/>
      <c r="F575" s="55" t="n"/>
      <c r="G575" s="56" t="n"/>
      <c r="H575" s="57" t="n"/>
      <c r="I575" s="58">
        <f>IF(G575="","",ROUND(G575*H575,2))</f>
        <v/>
      </c>
      <c r="J575" s="58">
        <f>IF(G575="","",G575+N(I575))</f>
        <v/>
      </c>
      <c r="K575" s="53" t="n"/>
      <c r="L575" s="54">
        <f>IF(G575="","",IF(OR(K575="",K575&gt;TODAY()),"Nog betalen","Betaald"))</f>
        <v/>
      </c>
    </row>
    <row r="576">
      <c r="A576" s="53" t="n"/>
      <c r="B576" s="54">
        <f>IF(A576="","",YEAR(A576)&amp;" Q"&amp;ROUNDUP(MONTH(A576)/3,0))</f>
        <v/>
      </c>
      <c r="C576" s="55" t="n"/>
      <c r="D576" s="55" t="n"/>
      <c r="E576" s="55" t="n"/>
      <c r="F576" s="55" t="n"/>
      <c r="G576" s="56" t="n"/>
      <c r="H576" s="57" t="n"/>
      <c r="I576" s="58">
        <f>IF(G576="","",ROUND(G576*H576,2))</f>
        <v/>
      </c>
      <c r="J576" s="58">
        <f>IF(G576="","",G576+N(I576))</f>
        <v/>
      </c>
      <c r="K576" s="53" t="n"/>
      <c r="L576" s="54">
        <f>IF(G576="","",IF(OR(K576="",K576&gt;TODAY()),"Nog betalen","Betaald"))</f>
        <v/>
      </c>
    </row>
    <row r="577">
      <c r="A577" s="53" t="n"/>
      <c r="B577" s="54">
        <f>IF(A577="","",YEAR(A577)&amp;" Q"&amp;ROUNDUP(MONTH(A577)/3,0))</f>
        <v/>
      </c>
      <c r="C577" s="55" t="n"/>
      <c r="D577" s="55" t="n"/>
      <c r="E577" s="55" t="n"/>
      <c r="F577" s="55" t="n"/>
      <c r="G577" s="56" t="n"/>
      <c r="H577" s="57" t="n"/>
      <c r="I577" s="58">
        <f>IF(G577="","",ROUND(G577*H577,2))</f>
        <v/>
      </c>
      <c r="J577" s="58">
        <f>IF(G577="","",G577+N(I577))</f>
        <v/>
      </c>
      <c r="K577" s="53" t="n"/>
      <c r="L577" s="54">
        <f>IF(G577="","",IF(OR(K577="",K577&gt;TODAY()),"Nog betalen","Betaald"))</f>
        <v/>
      </c>
    </row>
    <row r="578">
      <c r="A578" s="53" t="n"/>
      <c r="B578" s="54">
        <f>IF(A578="","",YEAR(A578)&amp;" Q"&amp;ROUNDUP(MONTH(A578)/3,0))</f>
        <v/>
      </c>
      <c r="C578" s="55" t="n"/>
      <c r="D578" s="55" t="n"/>
      <c r="E578" s="55" t="n"/>
      <c r="F578" s="55" t="n"/>
      <c r="G578" s="56" t="n"/>
      <c r="H578" s="57" t="n"/>
      <c r="I578" s="58">
        <f>IF(G578="","",ROUND(G578*H578,2))</f>
        <v/>
      </c>
      <c r="J578" s="58">
        <f>IF(G578="","",G578+N(I578))</f>
        <v/>
      </c>
      <c r="K578" s="53" t="n"/>
      <c r="L578" s="54">
        <f>IF(G578="","",IF(OR(K578="",K578&gt;TODAY()),"Nog betalen","Betaald"))</f>
        <v/>
      </c>
    </row>
    <row r="579">
      <c r="A579" s="53" t="n"/>
      <c r="B579" s="54">
        <f>IF(A579="","",YEAR(A579)&amp;" Q"&amp;ROUNDUP(MONTH(A579)/3,0))</f>
        <v/>
      </c>
      <c r="C579" s="55" t="n"/>
      <c r="D579" s="55" t="n"/>
      <c r="E579" s="55" t="n"/>
      <c r="F579" s="55" t="n"/>
      <c r="G579" s="56" t="n"/>
      <c r="H579" s="57" t="n"/>
      <c r="I579" s="58">
        <f>IF(G579="","",ROUND(G579*H579,2))</f>
        <v/>
      </c>
      <c r="J579" s="58">
        <f>IF(G579="","",G579+N(I579))</f>
        <v/>
      </c>
      <c r="K579" s="53" t="n"/>
      <c r="L579" s="54">
        <f>IF(G579="","",IF(OR(K579="",K579&gt;TODAY()),"Nog betalen","Betaald"))</f>
        <v/>
      </c>
    </row>
    <row r="580">
      <c r="A580" s="53" t="n"/>
      <c r="B580" s="54">
        <f>IF(A580="","",YEAR(A580)&amp;" Q"&amp;ROUNDUP(MONTH(A580)/3,0))</f>
        <v/>
      </c>
      <c r="C580" s="55" t="n"/>
      <c r="D580" s="55" t="n"/>
      <c r="E580" s="55" t="n"/>
      <c r="F580" s="55" t="n"/>
      <c r="G580" s="56" t="n"/>
      <c r="H580" s="57" t="n"/>
      <c r="I580" s="58">
        <f>IF(G580="","",ROUND(G580*H580,2))</f>
        <v/>
      </c>
      <c r="J580" s="58">
        <f>IF(G580="","",G580+N(I580))</f>
        <v/>
      </c>
      <c r="K580" s="53" t="n"/>
      <c r="L580" s="54">
        <f>IF(G580="","",IF(OR(K580="",K580&gt;TODAY()),"Nog betalen","Betaald"))</f>
        <v/>
      </c>
    </row>
    <row r="581">
      <c r="A581" s="53" t="n"/>
      <c r="B581" s="54">
        <f>IF(A581="","",YEAR(A581)&amp;" Q"&amp;ROUNDUP(MONTH(A581)/3,0))</f>
        <v/>
      </c>
      <c r="C581" s="55" t="n"/>
      <c r="D581" s="55" t="n"/>
      <c r="E581" s="55" t="n"/>
      <c r="F581" s="55" t="n"/>
      <c r="G581" s="56" t="n"/>
      <c r="H581" s="57" t="n"/>
      <c r="I581" s="58">
        <f>IF(G581="","",ROUND(G581*H581,2))</f>
        <v/>
      </c>
      <c r="J581" s="58">
        <f>IF(G581="","",G581+N(I581))</f>
        <v/>
      </c>
      <c r="K581" s="53" t="n"/>
      <c r="L581" s="54">
        <f>IF(G581="","",IF(OR(K581="",K581&gt;TODAY()),"Nog betalen","Betaald"))</f>
        <v/>
      </c>
    </row>
    <row r="582">
      <c r="A582" s="53" t="n"/>
      <c r="B582" s="54">
        <f>IF(A582="","",YEAR(A582)&amp;" Q"&amp;ROUNDUP(MONTH(A582)/3,0))</f>
        <v/>
      </c>
      <c r="C582" s="55" t="n"/>
      <c r="D582" s="55" t="n"/>
      <c r="E582" s="55" t="n"/>
      <c r="F582" s="55" t="n"/>
      <c r="G582" s="56" t="n"/>
      <c r="H582" s="57" t="n"/>
      <c r="I582" s="58">
        <f>IF(G582="","",ROUND(G582*H582,2))</f>
        <v/>
      </c>
      <c r="J582" s="58">
        <f>IF(G582="","",G582+N(I582))</f>
        <v/>
      </c>
      <c r="K582" s="53" t="n"/>
      <c r="L582" s="54">
        <f>IF(G582="","",IF(OR(K582="",K582&gt;TODAY()),"Nog betalen","Betaald"))</f>
        <v/>
      </c>
    </row>
    <row r="583">
      <c r="A583" s="53" t="n"/>
      <c r="B583" s="54">
        <f>IF(A583="","",YEAR(A583)&amp;" Q"&amp;ROUNDUP(MONTH(A583)/3,0))</f>
        <v/>
      </c>
      <c r="C583" s="55" t="n"/>
      <c r="D583" s="55" t="n"/>
      <c r="E583" s="55" t="n"/>
      <c r="F583" s="55" t="n"/>
      <c r="G583" s="56" t="n"/>
      <c r="H583" s="57" t="n"/>
      <c r="I583" s="58">
        <f>IF(G583="","",ROUND(G583*H583,2))</f>
        <v/>
      </c>
      <c r="J583" s="58">
        <f>IF(G583="","",G583+N(I583))</f>
        <v/>
      </c>
      <c r="K583" s="53" t="n"/>
      <c r="L583" s="54">
        <f>IF(G583="","",IF(OR(K583="",K583&gt;TODAY()),"Nog betalen","Betaald"))</f>
        <v/>
      </c>
    </row>
    <row r="584">
      <c r="A584" s="53" t="n"/>
      <c r="B584" s="54">
        <f>IF(A584="","",YEAR(A584)&amp;" Q"&amp;ROUNDUP(MONTH(A584)/3,0))</f>
        <v/>
      </c>
      <c r="C584" s="55" t="n"/>
      <c r="D584" s="55" t="n"/>
      <c r="E584" s="55" t="n"/>
      <c r="F584" s="55" t="n"/>
      <c r="G584" s="56" t="n"/>
      <c r="H584" s="57" t="n"/>
      <c r="I584" s="58">
        <f>IF(G584="","",ROUND(G584*H584,2))</f>
        <v/>
      </c>
      <c r="J584" s="58">
        <f>IF(G584="","",G584+N(I584))</f>
        <v/>
      </c>
      <c r="K584" s="53" t="n"/>
      <c r="L584" s="54">
        <f>IF(G584="","",IF(OR(K584="",K584&gt;TODAY()),"Nog betalen","Betaald"))</f>
        <v/>
      </c>
    </row>
    <row r="585">
      <c r="A585" s="53" t="n"/>
      <c r="B585" s="54">
        <f>IF(A585="","",YEAR(A585)&amp;" Q"&amp;ROUNDUP(MONTH(A585)/3,0))</f>
        <v/>
      </c>
      <c r="C585" s="55" t="n"/>
      <c r="D585" s="55" t="n"/>
      <c r="E585" s="55" t="n"/>
      <c r="F585" s="55" t="n"/>
      <c r="G585" s="56" t="n"/>
      <c r="H585" s="57" t="n"/>
      <c r="I585" s="58">
        <f>IF(G585="","",ROUND(G585*H585,2))</f>
        <v/>
      </c>
      <c r="J585" s="58">
        <f>IF(G585="","",G585+N(I585))</f>
        <v/>
      </c>
      <c r="K585" s="53" t="n"/>
      <c r="L585" s="54">
        <f>IF(G585="","",IF(OR(K585="",K585&gt;TODAY()),"Nog betalen","Betaald"))</f>
        <v/>
      </c>
    </row>
    <row r="586">
      <c r="A586" s="53" t="n"/>
      <c r="B586" s="54">
        <f>IF(A586="","",YEAR(A586)&amp;" Q"&amp;ROUNDUP(MONTH(A586)/3,0))</f>
        <v/>
      </c>
      <c r="C586" s="55" t="n"/>
      <c r="D586" s="55" t="n"/>
      <c r="E586" s="55" t="n"/>
      <c r="F586" s="55" t="n"/>
      <c r="G586" s="56" t="n"/>
      <c r="H586" s="57" t="n"/>
      <c r="I586" s="58">
        <f>IF(G586="","",ROUND(G586*H586,2))</f>
        <v/>
      </c>
      <c r="J586" s="58">
        <f>IF(G586="","",G586+N(I586))</f>
        <v/>
      </c>
      <c r="K586" s="53" t="n"/>
      <c r="L586" s="54">
        <f>IF(G586="","",IF(OR(K586="",K586&gt;TODAY()),"Nog betalen","Betaald"))</f>
        <v/>
      </c>
    </row>
    <row r="587">
      <c r="A587" s="53" t="n"/>
      <c r="B587" s="54">
        <f>IF(A587="","",YEAR(A587)&amp;" Q"&amp;ROUNDUP(MONTH(A587)/3,0))</f>
        <v/>
      </c>
      <c r="C587" s="55" t="n"/>
      <c r="D587" s="55" t="n"/>
      <c r="E587" s="55" t="n"/>
      <c r="F587" s="55" t="n"/>
      <c r="G587" s="56" t="n"/>
      <c r="H587" s="57" t="n"/>
      <c r="I587" s="58">
        <f>IF(G587="","",ROUND(G587*H587,2))</f>
        <v/>
      </c>
      <c r="J587" s="58">
        <f>IF(G587="","",G587+N(I587))</f>
        <v/>
      </c>
      <c r="K587" s="53" t="n"/>
      <c r="L587" s="54">
        <f>IF(G587="","",IF(OR(K587="",K587&gt;TODAY()),"Nog betalen","Betaald"))</f>
        <v/>
      </c>
    </row>
    <row r="588">
      <c r="A588" s="53" t="n"/>
      <c r="B588" s="54">
        <f>IF(A588="","",YEAR(A588)&amp;" Q"&amp;ROUNDUP(MONTH(A588)/3,0))</f>
        <v/>
      </c>
      <c r="C588" s="55" t="n"/>
      <c r="D588" s="55" t="n"/>
      <c r="E588" s="55" t="n"/>
      <c r="F588" s="55" t="n"/>
      <c r="G588" s="56" t="n"/>
      <c r="H588" s="57" t="n"/>
      <c r="I588" s="58">
        <f>IF(G588="","",ROUND(G588*H588,2))</f>
        <v/>
      </c>
      <c r="J588" s="58">
        <f>IF(G588="","",G588+N(I588))</f>
        <v/>
      </c>
      <c r="K588" s="53" t="n"/>
      <c r="L588" s="54">
        <f>IF(G588="","",IF(OR(K588="",K588&gt;TODAY()),"Nog betalen","Betaald"))</f>
        <v/>
      </c>
    </row>
    <row r="589">
      <c r="A589" s="53" t="n"/>
      <c r="B589" s="54">
        <f>IF(A589="","",YEAR(A589)&amp;" Q"&amp;ROUNDUP(MONTH(A589)/3,0))</f>
        <v/>
      </c>
      <c r="C589" s="55" t="n"/>
      <c r="D589" s="55" t="n"/>
      <c r="E589" s="55" t="n"/>
      <c r="F589" s="55" t="n"/>
      <c r="G589" s="56" t="n"/>
      <c r="H589" s="57" t="n"/>
      <c r="I589" s="58">
        <f>IF(G589="","",ROUND(G589*H589,2))</f>
        <v/>
      </c>
      <c r="J589" s="58">
        <f>IF(G589="","",G589+N(I589))</f>
        <v/>
      </c>
      <c r="K589" s="53" t="n"/>
      <c r="L589" s="54">
        <f>IF(G589="","",IF(OR(K589="",K589&gt;TODAY()),"Nog betalen","Betaald"))</f>
        <v/>
      </c>
    </row>
    <row r="590">
      <c r="A590" s="53" t="n"/>
      <c r="B590" s="54">
        <f>IF(A590="","",YEAR(A590)&amp;" Q"&amp;ROUNDUP(MONTH(A590)/3,0))</f>
        <v/>
      </c>
      <c r="C590" s="55" t="n"/>
      <c r="D590" s="55" t="n"/>
      <c r="E590" s="55" t="n"/>
      <c r="F590" s="55" t="n"/>
      <c r="G590" s="56" t="n"/>
      <c r="H590" s="57" t="n"/>
      <c r="I590" s="58">
        <f>IF(G590="","",ROUND(G590*H590,2))</f>
        <v/>
      </c>
      <c r="J590" s="58">
        <f>IF(G590="","",G590+N(I590))</f>
        <v/>
      </c>
      <c r="K590" s="53" t="n"/>
      <c r="L590" s="54">
        <f>IF(G590="","",IF(OR(K590="",K590&gt;TODAY()),"Nog betalen","Betaald"))</f>
        <v/>
      </c>
    </row>
    <row r="591">
      <c r="A591" s="53" t="n"/>
      <c r="B591" s="54">
        <f>IF(A591="","",YEAR(A591)&amp;" Q"&amp;ROUNDUP(MONTH(A591)/3,0))</f>
        <v/>
      </c>
      <c r="C591" s="55" t="n"/>
      <c r="D591" s="55" t="n"/>
      <c r="E591" s="55" t="n"/>
      <c r="F591" s="55" t="n"/>
      <c r="G591" s="56" t="n"/>
      <c r="H591" s="57" t="n"/>
      <c r="I591" s="58">
        <f>IF(G591="","",ROUND(G591*H591,2))</f>
        <v/>
      </c>
      <c r="J591" s="58">
        <f>IF(G591="","",G591+N(I591))</f>
        <v/>
      </c>
      <c r="K591" s="53" t="n"/>
      <c r="L591" s="54">
        <f>IF(G591="","",IF(OR(K591="",K591&gt;TODAY()),"Nog betalen","Betaald"))</f>
        <v/>
      </c>
    </row>
    <row r="592">
      <c r="A592" s="53" t="n"/>
      <c r="B592" s="54">
        <f>IF(A592="","",YEAR(A592)&amp;" Q"&amp;ROUNDUP(MONTH(A592)/3,0))</f>
        <v/>
      </c>
      <c r="C592" s="55" t="n"/>
      <c r="D592" s="55" t="n"/>
      <c r="E592" s="55" t="n"/>
      <c r="F592" s="55" t="n"/>
      <c r="G592" s="56" t="n"/>
      <c r="H592" s="57" t="n"/>
      <c r="I592" s="58">
        <f>IF(G592="","",ROUND(G592*H592,2))</f>
        <v/>
      </c>
      <c r="J592" s="58">
        <f>IF(G592="","",G592+N(I592))</f>
        <v/>
      </c>
      <c r="K592" s="53" t="n"/>
      <c r="L592" s="54">
        <f>IF(G592="","",IF(OR(K592="",K592&gt;TODAY()),"Nog betalen","Betaald"))</f>
        <v/>
      </c>
    </row>
    <row r="593">
      <c r="A593" s="53" t="n"/>
      <c r="B593" s="54">
        <f>IF(A593="","",YEAR(A593)&amp;" Q"&amp;ROUNDUP(MONTH(A593)/3,0))</f>
        <v/>
      </c>
      <c r="C593" s="55" t="n"/>
      <c r="D593" s="55" t="n"/>
      <c r="E593" s="55" t="n"/>
      <c r="F593" s="55" t="n"/>
      <c r="G593" s="56" t="n"/>
      <c r="H593" s="57" t="n"/>
      <c r="I593" s="58">
        <f>IF(G593="","",ROUND(G593*H593,2))</f>
        <v/>
      </c>
      <c r="J593" s="58">
        <f>IF(G593="","",G593+N(I593))</f>
        <v/>
      </c>
      <c r="K593" s="53" t="n"/>
      <c r="L593" s="54">
        <f>IF(G593="","",IF(OR(K593="",K593&gt;TODAY()),"Nog betalen","Betaald"))</f>
        <v/>
      </c>
    </row>
    <row r="594">
      <c r="A594" s="53" t="n"/>
      <c r="B594" s="54">
        <f>IF(A594="","",YEAR(A594)&amp;" Q"&amp;ROUNDUP(MONTH(A594)/3,0))</f>
        <v/>
      </c>
      <c r="C594" s="55" t="n"/>
      <c r="D594" s="55" t="n"/>
      <c r="E594" s="55" t="n"/>
      <c r="F594" s="55" t="n"/>
      <c r="G594" s="56" t="n"/>
      <c r="H594" s="57" t="n"/>
      <c r="I594" s="58">
        <f>IF(G594="","",ROUND(G594*H594,2))</f>
        <v/>
      </c>
      <c r="J594" s="58">
        <f>IF(G594="","",G594+N(I594))</f>
        <v/>
      </c>
      <c r="K594" s="53" t="n"/>
      <c r="L594" s="54">
        <f>IF(G594="","",IF(OR(K594="",K594&gt;TODAY()),"Nog betalen","Betaald"))</f>
        <v/>
      </c>
    </row>
    <row r="595">
      <c r="A595" s="53" t="n"/>
      <c r="B595" s="54">
        <f>IF(A595="","",YEAR(A595)&amp;" Q"&amp;ROUNDUP(MONTH(A595)/3,0))</f>
        <v/>
      </c>
      <c r="C595" s="55" t="n"/>
      <c r="D595" s="55" t="n"/>
      <c r="E595" s="55" t="n"/>
      <c r="F595" s="55" t="n"/>
      <c r="G595" s="56" t="n"/>
      <c r="H595" s="57" t="n"/>
      <c r="I595" s="58">
        <f>IF(G595="","",ROUND(G595*H595,2))</f>
        <v/>
      </c>
      <c r="J595" s="58">
        <f>IF(G595="","",G595+N(I595))</f>
        <v/>
      </c>
      <c r="K595" s="53" t="n"/>
      <c r="L595" s="54">
        <f>IF(G595="","",IF(OR(K595="",K595&gt;TODAY()),"Nog betalen","Betaald"))</f>
        <v/>
      </c>
    </row>
    <row r="596">
      <c r="A596" s="53" t="n"/>
      <c r="B596" s="54">
        <f>IF(A596="","",YEAR(A596)&amp;" Q"&amp;ROUNDUP(MONTH(A596)/3,0))</f>
        <v/>
      </c>
      <c r="C596" s="55" t="n"/>
      <c r="D596" s="55" t="n"/>
      <c r="E596" s="55" t="n"/>
      <c r="F596" s="55" t="n"/>
      <c r="G596" s="56" t="n"/>
      <c r="H596" s="57" t="n"/>
      <c r="I596" s="58">
        <f>IF(G596="","",ROUND(G596*H596,2))</f>
        <v/>
      </c>
      <c r="J596" s="58">
        <f>IF(G596="","",G596+N(I596))</f>
        <v/>
      </c>
      <c r="K596" s="53" t="n"/>
      <c r="L596" s="54">
        <f>IF(G596="","",IF(OR(K596="",K596&gt;TODAY()),"Nog betalen","Betaald"))</f>
        <v/>
      </c>
    </row>
    <row r="597">
      <c r="A597" s="53" t="n"/>
      <c r="B597" s="54">
        <f>IF(A597="","",YEAR(A597)&amp;" Q"&amp;ROUNDUP(MONTH(A597)/3,0))</f>
        <v/>
      </c>
      <c r="C597" s="55" t="n"/>
      <c r="D597" s="55" t="n"/>
      <c r="E597" s="55" t="n"/>
      <c r="F597" s="55" t="n"/>
      <c r="G597" s="56" t="n"/>
      <c r="H597" s="57" t="n"/>
      <c r="I597" s="58">
        <f>IF(G597="","",ROUND(G597*H597,2))</f>
        <v/>
      </c>
      <c r="J597" s="58">
        <f>IF(G597="","",G597+N(I597))</f>
        <v/>
      </c>
      <c r="K597" s="53" t="n"/>
      <c r="L597" s="54">
        <f>IF(G597="","",IF(OR(K597="",K597&gt;TODAY()),"Nog betalen","Betaald"))</f>
        <v/>
      </c>
    </row>
    <row r="598">
      <c r="A598" s="53" t="n"/>
      <c r="B598" s="54">
        <f>IF(A598="","",YEAR(A598)&amp;" Q"&amp;ROUNDUP(MONTH(A598)/3,0))</f>
        <v/>
      </c>
      <c r="C598" s="55" t="n"/>
      <c r="D598" s="55" t="n"/>
      <c r="E598" s="55" t="n"/>
      <c r="F598" s="55" t="n"/>
      <c r="G598" s="56" t="n"/>
      <c r="H598" s="57" t="n"/>
      <c r="I598" s="58">
        <f>IF(G598="","",ROUND(G598*H598,2))</f>
        <v/>
      </c>
      <c r="J598" s="58">
        <f>IF(G598="","",G598+N(I598))</f>
        <v/>
      </c>
      <c r="K598" s="53" t="n"/>
      <c r="L598" s="54">
        <f>IF(G598="","",IF(OR(K598="",K598&gt;TODAY()),"Nog betalen","Betaald"))</f>
        <v/>
      </c>
    </row>
    <row r="599">
      <c r="A599" s="53" t="n"/>
      <c r="B599" s="54">
        <f>IF(A599="","",YEAR(A599)&amp;" Q"&amp;ROUNDUP(MONTH(A599)/3,0))</f>
        <v/>
      </c>
      <c r="C599" s="55" t="n"/>
      <c r="D599" s="55" t="n"/>
      <c r="E599" s="55" t="n"/>
      <c r="F599" s="55" t="n"/>
      <c r="G599" s="56" t="n"/>
      <c r="H599" s="57" t="n"/>
      <c r="I599" s="58">
        <f>IF(G599="","",ROUND(G599*H599,2))</f>
        <v/>
      </c>
      <c r="J599" s="58">
        <f>IF(G599="","",G599+N(I599))</f>
        <v/>
      </c>
      <c r="K599" s="53" t="n"/>
      <c r="L599" s="54">
        <f>IF(G599="","",IF(OR(K599="",K599&gt;TODAY()),"Nog betalen","Betaald"))</f>
        <v/>
      </c>
    </row>
    <row r="600">
      <c r="A600" s="53" t="n"/>
      <c r="B600" s="54">
        <f>IF(A600="","",YEAR(A600)&amp;" Q"&amp;ROUNDUP(MONTH(A600)/3,0))</f>
        <v/>
      </c>
      <c r="C600" s="55" t="n"/>
      <c r="D600" s="55" t="n"/>
      <c r="E600" s="55" t="n"/>
      <c r="F600" s="55" t="n"/>
      <c r="G600" s="56" t="n"/>
      <c r="H600" s="57" t="n"/>
      <c r="I600" s="58">
        <f>IF(G600="","",ROUND(G600*H600,2))</f>
        <v/>
      </c>
      <c r="J600" s="58">
        <f>IF(G600="","",G600+N(I600))</f>
        <v/>
      </c>
      <c r="K600" s="53" t="n"/>
      <c r="L600" s="54">
        <f>IF(G600="","",IF(OR(K600="",K600&gt;TODAY()),"Nog betalen","Betaald"))</f>
        <v/>
      </c>
    </row>
    <row r="601">
      <c r="A601" s="53" t="n"/>
      <c r="B601" s="54">
        <f>IF(A601="","",YEAR(A601)&amp;" Q"&amp;ROUNDUP(MONTH(A601)/3,0))</f>
        <v/>
      </c>
      <c r="C601" s="55" t="n"/>
      <c r="D601" s="55" t="n"/>
      <c r="E601" s="55" t="n"/>
      <c r="F601" s="55" t="n"/>
      <c r="G601" s="56" t="n"/>
      <c r="H601" s="57" t="n"/>
      <c r="I601" s="58">
        <f>IF(G601="","",ROUND(G601*H601,2))</f>
        <v/>
      </c>
      <c r="J601" s="58">
        <f>IF(G601="","",G601+N(I601))</f>
        <v/>
      </c>
      <c r="K601" s="53" t="n"/>
      <c r="L601" s="54">
        <f>IF(G601="","",IF(OR(K601="",K601&gt;TODAY()),"Nog betalen","Betaald"))</f>
        <v/>
      </c>
    </row>
    <row r="602">
      <c r="A602" s="53" t="n"/>
      <c r="B602" s="54">
        <f>IF(A602="","",YEAR(A602)&amp;" Q"&amp;ROUNDUP(MONTH(A602)/3,0))</f>
        <v/>
      </c>
      <c r="C602" s="55" t="n"/>
      <c r="D602" s="55" t="n"/>
      <c r="E602" s="55" t="n"/>
      <c r="F602" s="55" t="n"/>
      <c r="G602" s="56" t="n"/>
      <c r="H602" s="57" t="n"/>
      <c r="I602" s="58">
        <f>IF(G602="","",ROUND(G602*H602,2))</f>
        <v/>
      </c>
      <c r="J602" s="58">
        <f>IF(G602="","",G602+N(I602))</f>
        <v/>
      </c>
      <c r="K602" s="53" t="n"/>
      <c r="L602" s="54">
        <f>IF(G602="","",IF(OR(K602="",K602&gt;TODAY()),"Nog betalen","Betaald"))</f>
        <v/>
      </c>
    </row>
    <row r="603">
      <c r="A603" s="53" t="n"/>
      <c r="B603" s="54">
        <f>IF(A603="","",YEAR(A603)&amp;" Q"&amp;ROUNDUP(MONTH(A603)/3,0))</f>
        <v/>
      </c>
      <c r="C603" s="55" t="n"/>
      <c r="D603" s="55" t="n"/>
      <c r="E603" s="55" t="n"/>
      <c r="F603" s="55" t="n"/>
      <c r="G603" s="56" t="n"/>
      <c r="H603" s="57" t="n"/>
      <c r="I603" s="58">
        <f>IF(G603="","",ROUND(G603*H603,2))</f>
        <v/>
      </c>
      <c r="J603" s="58">
        <f>IF(G603="","",G603+N(I603))</f>
        <v/>
      </c>
      <c r="K603" s="53" t="n"/>
      <c r="L603" s="54">
        <f>IF(G603="","",IF(OR(K603="",K603&gt;TODAY()),"Nog betalen","Betaald"))</f>
        <v/>
      </c>
    </row>
    <row r="604">
      <c r="A604" s="53" t="n"/>
      <c r="B604" s="54">
        <f>IF(A604="","",YEAR(A604)&amp;" Q"&amp;ROUNDUP(MONTH(A604)/3,0))</f>
        <v/>
      </c>
      <c r="C604" s="55" t="n"/>
      <c r="D604" s="55" t="n"/>
      <c r="E604" s="55" t="n"/>
      <c r="F604" s="55" t="n"/>
      <c r="G604" s="56" t="n"/>
      <c r="H604" s="57" t="n"/>
      <c r="I604" s="58">
        <f>IF(G604="","",ROUND(G604*H604,2))</f>
        <v/>
      </c>
      <c r="J604" s="58">
        <f>IF(G604="","",G604+N(I604))</f>
        <v/>
      </c>
      <c r="K604" s="53" t="n"/>
      <c r="L604" s="54">
        <f>IF(G604="","",IF(OR(K604="",K604&gt;TODAY()),"Nog betalen","Betaald"))</f>
        <v/>
      </c>
    </row>
    <row r="605">
      <c r="A605" s="53" t="n"/>
      <c r="B605" s="54">
        <f>IF(A605="","",YEAR(A605)&amp;" Q"&amp;ROUNDUP(MONTH(A605)/3,0))</f>
        <v/>
      </c>
      <c r="C605" s="55" t="n"/>
      <c r="D605" s="55" t="n"/>
      <c r="E605" s="55" t="n"/>
      <c r="F605" s="55" t="n"/>
      <c r="G605" s="56" t="n"/>
      <c r="H605" s="57" t="n"/>
      <c r="I605" s="58">
        <f>IF(G605="","",ROUND(G605*H605,2))</f>
        <v/>
      </c>
      <c r="J605" s="58">
        <f>IF(G605="","",G605+N(I605))</f>
        <v/>
      </c>
      <c r="K605" s="53" t="n"/>
      <c r="L605" s="54">
        <f>IF(G605="","",IF(OR(K605="",K605&gt;TODAY()),"Nog betalen","Betaald"))</f>
        <v/>
      </c>
    </row>
    <row r="606">
      <c r="A606" s="53" t="n"/>
      <c r="B606" s="54">
        <f>IF(A606="","",YEAR(A606)&amp;" Q"&amp;ROUNDUP(MONTH(A606)/3,0))</f>
        <v/>
      </c>
      <c r="C606" s="55" t="n"/>
      <c r="D606" s="55" t="n"/>
      <c r="E606" s="55" t="n"/>
      <c r="F606" s="55" t="n"/>
      <c r="G606" s="56" t="n"/>
      <c r="H606" s="57" t="n"/>
      <c r="I606" s="58">
        <f>IF(G606="","",ROUND(G606*H606,2))</f>
        <v/>
      </c>
      <c r="J606" s="58">
        <f>IF(G606="","",G606+N(I606))</f>
        <v/>
      </c>
      <c r="K606" s="53" t="n"/>
      <c r="L606" s="54">
        <f>IF(G606="","",IF(OR(K606="",K606&gt;TODAY()),"Nog betalen","Betaald"))</f>
        <v/>
      </c>
    </row>
    <row r="607">
      <c r="A607" s="53" t="n"/>
      <c r="B607" s="54">
        <f>IF(A607="","",YEAR(A607)&amp;" Q"&amp;ROUNDUP(MONTH(A607)/3,0))</f>
        <v/>
      </c>
      <c r="C607" s="55" t="n"/>
      <c r="D607" s="55" t="n"/>
      <c r="E607" s="55" t="n"/>
      <c r="F607" s="55" t="n"/>
      <c r="G607" s="56" t="n"/>
      <c r="H607" s="57" t="n"/>
      <c r="I607" s="58">
        <f>IF(G607="","",ROUND(G607*H607,2))</f>
        <v/>
      </c>
      <c r="J607" s="58">
        <f>IF(G607="","",G607+N(I607))</f>
        <v/>
      </c>
      <c r="K607" s="53" t="n"/>
      <c r="L607" s="54">
        <f>IF(G607="","",IF(OR(K607="",K607&gt;TODAY()),"Nog betalen","Betaald"))</f>
        <v/>
      </c>
    </row>
    <row r="608">
      <c r="A608" s="53" t="n"/>
      <c r="B608" s="54">
        <f>IF(A608="","",YEAR(A608)&amp;" Q"&amp;ROUNDUP(MONTH(A608)/3,0))</f>
        <v/>
      </c>
      <c r="C608" s="55" t="n"/>
      <c r="D608" s="55" t="n"/>
      <c r="E608" s="55" t="n"/>
      <c r="F608" s="55" t="n"/>
      <c r="G608" s="56" t="n"/>
      <c r="H608" s="57" t="n"/>
      <c r="I608" s="58">
        <f>IF(G608="","",ROUND(G608*H608,2))</f>
        <v/>
      </c>
      <c r="J608" s="58">
        <f>IF(G608="","",G608+N(I608))</f>
        <v/>
      </c>
      <c r="K608" s="53" t="n"/>
      <c r="L608" s="54">
        <f>IF(G608="","",IF(OR(K608="",K608&gt;TODAY()),"Nog betalen","Betaald"))</f>
        <v/>
      </c>
    </row>
    <row r="609">
      <c r="A609" s="53" t="n"/>
      <c r="B609" s="54">
        <f>IF(A609="","",YEAR(A609)&amp;" Q"&amp;ROUNDUP(MONTH(A609)/3,0))</f>
        <v/>
      </c>
      <c r="C609" s="55" t="n"/>
      <c r="D609" s="55" t="n"/>
      <c r="E609" s="55" t="n"/>
      <c r="F609" s="55" t="n"/>
      <c r="G609" s="56" t="n"/>
      <c r="H609" s="57" t="n"/>
      <c r="I609" s="58">
        <f>IF(G609="","",ROUND(G609*H609,2))</f>
        <v/>
      </c>
      <c r="J609" s="58">
        <f>IF(G609="","",G609+N(I609))</f>
        <v/>
      </c>
      <c r="K609" s="53" t="n"/>
      <c r="L609" s="54">
        <f>IF(G609="","",IF(OR(K609="",K609&gt;TODAY()),"Nog betalen","Betaald"))</f>
        <v/>
      </c>
    </row>
    <row r="610">
      <c r="A610" s="53" t="n"/>
      <c r="B610" s="54">
        <f>IF(A610="","",YEAR(A610)&amp;" Q"&amp;ROUNDUP(MONTH(A610)/3,0))</f>
        <v/>
      </c>
      <c r="C610" s="55" t="n"/>
      <c r="D610" s="55" t="n"/>
      <c r="E610" s="55" t="n"/>
      <c r="F610" s="55" t="n"/>
      <c r="G610" s="56" t="n"/>
      <c r="H610" s="57" t="n"/>
      <c r="I610" s="58">
        <f>IF(G610="","",ROUND(G610*H610,2))</f>
        <v/>
      </c>
      <c r="J610" s="58">
        <f>IF(G610="","",G610+N(I610))</f>
        <v/>
      </c>
      <c r="K610" s="53" t="n"/>
      <c r="L610" s="54">
        <f>IF(G610="","",IF(OR(K610="",K610&gt;TODAY()),"Nog betalen","Betaald"))</f>
        <v/>
      </c>
    </row>
    <row r="611">
      <c r="A611" s="53" t="n"/>
      <c r="B611" s="54">
        <f>IF(A611="","",YEAR(A611)&amp;" Q"&amp;ROUNDUP(MONTH(A611)/3,0))</f>
        <v/>
      </c>
      <c r="C611" s="55" t="n"/>
      <c r="D611" s="55" t="n"/>
      <c r="E611" s="55" t="n"/>
      <c r="F611" s="55" t="n"/>
      <c r="G611" s="56" t="n"/>
      <c r="H611" s="57" t="n"/>
      <c r="I611" s="58">
        <f>IF(G611="","",ROUND(G611*H611,2))</f>
        <v/>
      </c>
      <c r="J611" s="58">
        <f>IF(G611="","",G611+N(I611))</f>
        <v/>
      </c>
      <c r="K611" s="53" t="n"/>
      <c r="L611" s="54">
        <f>IF(G611="","",IF(OR(K611="",K611&gt;TODAY()),"Nog betalen","Betaald"))</f>
        <v/>
      </c>
    </row>
    <row r="612">
      <c r="A612" s="53" t="n"/>
      <c r="B612" s="54">
        <f>IF(A612="","",YEAR(A612)&amp;" Q"&amp;ROUNDUP(MONTH(A612)/3,0))</f>
        <v/>
      </c>
      <c r="C612" s="55" t="n"/>
      <c r="D612" s="55" t="n"/>
      <c r="E612" s="55" t="n"/>
      <c r="F612" s="55" t="n"/>
      <c r="G612" s="56" t="n"/>
      <c r="H612" s="57" t="n"/>
      <c r="I612" s="58">
        <f>IF(G612="","",ROUND(G612*H612,2))</f>
        <v/>
      </c>
      <c r="J612" s="58">
        <f>IF(G612="","",G612+N(I612))</f>
        <v/>
      </c>
      <c r="K612" s="53" t="n"/>
      <c r="L612" s="54">
        <f>IF(G612="","",IF(OR(K612="",K612&gt;TODAY()),"Nog betalen","Betaald"))</f>
        <v/>
      </c>
    </row>
    <row r="613">
      <c r="A613" s="53" t="n"/>
      <c r="B613" s="54">
        <f>IF(A613="","",YEAR(A613)&amp;" Q"&amp;ROUNDUP(MONTH(A613)/3,0))</f>
        <v/>
      </c>
      <c r="C613" s="55" t="n"/>
      <c r="D613" s="55" t="n"/>
      <c r="E613" s="55" t="n"/>
      <c r="F613" s="55" t="n"/>
      <c r="G613" s="56" t="n"/>
      <c r="H613" s="57" t="n"/>
      <c r="I613" s="58">
        <f>IF(G613="","",ROUND(G613*H613,2))</f>
        <v/>
      </c>
      <c r="J613" s="58">
        <f>IF(G613="","",G613+N(I613))</f>
        <v/>
      </c>
      <c r="K613" s="53" t="n"/>
      <c r="L613" s="54">
        <f>IF(G613="","",IF(OR(K613="",K613&gt;TODAY()),"Nog betalen","Betaald"))</f>
        <v/>
      </c>
    </row>
    <row r="614">
      <c r="A614" s="53" t="n"/>
      <c r="B614" s="54">
        <f>IF(A614="","",YEAR(A614)&amp;" Q"&amp;ROUNDUP(MONTH(A614)/3,0))</f>
        <v/>
      </c>
      <c r="C614" s="55" t="n"/>
      <c r="D614" s="55" t="n"/>
      <c r="E614" s="55" t="n"/>
      <c r="F614" s="55" t="n"/>
      <c r="G614" s="56" t="n"/>
      <c r="H614" s="57" t="n"/>
      <c r="I614" s="58">
        <f>IF(G614="","",ROUND(G614*H614,2))</f>
        <v/>
      </c>
      <c r="J614" s="58">
        <f>IF(G614="","",G614+N(I614))</f>
        <v/>
      </c>
      <c r="K614" s="53" t="n"/>
      <c r="L614" s="54">
        <f>IF(G614="","",IF(OR(K614="",K614&gt;TODAY()),"Nog betalen","Betaald"))</f>
        <v/>
      </c>
    </row>
    <row r="615">
      <c r="A615" s="53" t="n"/>
      <c r="B615" s="54">
        <f>IF(A615="","",YEAR(A615)&amp;" Q"&amp;ROUNDUP(MONTH(A615)/3,0))</f>
        <v/>
      </c>
      <c r="C615" s="55" t="n"/>
      <c r="D615" s="55" t="n"/>
      <c r="E615" s="55" t="n"/>
      <c r="F615" s="55" t="n"/>
      <c r="G615" s="56" t="n"/>
      <c r="H615" s="57" t="n"/>
      <c r="I615" s="58">
        <f>IF(G615="","",ROUND(G615*H615,2))</f>
        <v/>
      </c>
      <c r="J615" s="58">
        <f>IF(G615="","",G615+N(I615))</f>
        <v/>
      </c>
      <c r="K615" s="53" t="n"/>
      <c r="L615" s="54">
        <f>IF(G615="","",IF(OR(K615="",K615&gt;TODAY()),"Nog betalen","Betaald"))</f>
        <v/>
      </c>
    </row>
    <row r="616">
      <c r="A616" s="53" t="n"/>
      <c r="B616" s="54">
        <f>IF(A616="","",YEAR(A616)&amp;" Q"&amp;ROUNDUP(MONTH(A616)/3,0))</f>
        <v/>
      </c>
      <c r="C616" s="55" t="n"/>
      <c r="D616" s="55" t="n"/>
      <c r="E616" s="55" t="n"/>
      <c r="F616" s="55" t="n"/>
      <c r="G616" s="56" t="n"/>
      <c r="H616" s="57" t="n"/>
      <c r="I616" s="58">
        <f>IF(G616="","",ROUND(G616*H616,2))</f>
        <v/>
      </c>
      <c r="J616" s="58">
        <f>IF(G616="","",G616+N(I616))</f>
        <v/>
      </c>
      <c r="K616" s="53" t="n"/>
      <c r="L616" s="54">
        <f>IF(G616="","",IF(OR(K616="",K616&gt;TODAY()),"Nog betalen","Betaald"))</f>
        <v/>
      </c>
    </row>
    <row r="617">
      <c r="A617" s="53" t="n"/>
      <c r="B617" s="54">
        <f>IF(A617="","",YEAR(A617)&amp;" Q"&amp;ROUNDUP(MONTH(A617)/3,0))</f>
        <v/>
      </c>
      <c r="C617" s="55" t="n"/>
      <c r="D617" s="55" t="n"/>
      <c r="E617" s="55" t="n"/>
      <c r="F617" s="55" t="n"/>
      <c r="G617" s="56" t="n"/>
      <c r="H617" s="57" t="n"/>
      <c r="I617" s="58">
        <f>IF(G617="","",ROUND(G617*H617,2))</f>
        <v/>
      </c>
      <c r="J617" s="58">
        <f>IF(G617="","",G617+N(I617))</f>
        <v/>
      </c>
      <c r="K617" s="53" t="n"/>
      <c r="L617" s="54">
        <f>IF(G617="","",IF(OR(K617="",K617&gt;TODAY()),"Nog betalen","Betaald"))</f>
        <v/>
      </c>
    </row>
    <row r="618">
      <c r="A618" s="53" t="n"/>
      <c r="B618" s="54">
        <f>IF(A618="","",YEAR(A618)&amp;" Q"&amp;ROUNDUP(MONTH(A618)/3,0))</f>
        <v/>
      </c>
      <c r="C618" s="55" t="n"/>
      <c r="D618" s="55" t="n"/>
      <c r="E618" s="55" t="n"/>
      <c r="F618" s="55" t="n"/>
      <c r="G618" s="56" t="n"/>
      <c r="H618" s="57" t="n"/>
      <c r="I618" s="58">
        <f>IF(G618="","",ROUND(G618*H618,2))</f>
        <v/>
      </c>
      <c r="J618" s="58">
        <f>IF(G618="","",G618+N(I618))</f>
        <v/>
      </c>
      <c r="K618" s="53" t="n"/>
      <c r="L618" s="54">
        <f>IF(G618="","",IF(OR(K618="",K618&gt;TODAY()),"Nog betalen","Betaald"))</f>
        <v/>
      </c>
    </row>
    <row r="619">
      <c r="A619" s="53" t="n"/>
      <c r="B619" s="54">
        <f>IF(A619="","",YEAR(A619)&amp;" Q"&amp;ROUNDUP(MONTH(A619)/3,0))</f>
        <v/>
      </c>
      <c r="C619" s="55" t="n"/>
      <c r="D619" s="55" t="n"/>
      <c r="E619" s="55" t="n"/>
      <c r="F619" s="55" t="n"/>
      <c r="G619" s="56" t="n"/>
      <c r="H619" s="57" t="n"/>
      <c r="I619" s="58">
        <f>IF(G619="","",ROUND(G619*H619,2))</f>
        <v/>
      </c>
      <c r="J619" s="58">
        <f>IF(G619="","",G619+N(I619))</f>
        <v/>
      </c>
      <c r="K619" s="53" t="n"/>
      <c r="L619" s="54">
        <f>IF(G619="","",IF(OR(K619="",K619&gt;TODAY()),"Nog betalen","Betaald"))</f>
        <v/>
      </c>
    </row>
    <row r="620">
      <c r="A620" s="53" t="n"/>
      <c r="B620" s="54">
        <f>IF(A620="","",YEAR(A620)&amp;" Q"&amp;ROUNDUP(MONTH(A620)/3,0))</f>
        <v/>
      </c>
      <c r="C620" s="55" t="n"/>
      <c r="D620" s="55" t="n"/>
      <c r="E620" s="55" t="n"/>
      <c r="F620" s="55" t="n"/>
      <c r="G620" s="56" t="n"/>
      <c r="H620" s="57" t="n"/>
      <c r="I620" s="58">
        <f>IF(G620="","",ROUND(G620*H620,2))</f>
        <v/>
      </c>
      <c r="J620" s="58">
        <f>IF(G620="","",G620+N(I620))</f>
        <v/>
      </c>
      <c r="K620" s="53" t="n"/>
      <c r="L620" s="54">
        <f>IF(G620="","",IF(OR(K620="",K620&gt;TODAY()),"Nog betalen","Betaald"))</f>
        <v/>
      </c>
    </row>
    <row r="621">
      <c r="A621" s="53" t="n"/>
      <c r="B621" s="54">
        <f>IF(A621="","",YEAR(A621)&amp;" Q"&amp;ROUNDUP(MONTH(A621)/3,0))</f>
        <v/>
      </c>
      <c r="C621" s="55" t="n"/>
      <c r="D621" s="55" t="n"/>
      <c r="E621" s="55" t="n"/>
      <c r="F621" s="55" t="n"/>
      <c r="G621" s="56" t="n"/>
      <c r="H621" s="57" t="n"/>
      <c r="I621" s="58">
        <f>IF(G621="","",ROUND(G621*H621,2))</f>
        <v/>
      </c>
      <c r="J621" s="58">
        <f>IF(G621="","",G621+N(I621))</f>
        <v/>
      </c>
      <c r="K621" s="53" t="n"/>
      <c r="L621" s="54">
        <f>IF(G621="","",IF(OR(K621="",K621&gt;TODAY()),"Nog betalen","Betaald"))</f>
        <v/>
      </c>
    </row>
    <row r="622">
      <c r="A622" s="53" t="n"/>
      <c r="B622" s="54">
        <f>IF(A622="","",YEAR(A622)&amp;" Q"&amp;ROUNDUP(MONTH(A622)/3,0))</f>
        <v/>
      </c>
      <c r="C622" s="55" t="n"/>
      <c r="D622" s="55" t="n"/>
      <c r="E622" s="55" t="n"/>
      <c r="F622" s="55" t="n"/>
      <c r="G622" s="56" t="n"/>
      <c r="H622" s="57" t="n"/>
      <c r="I622" s="58">
        <f>IF(G622="","",ROUND(G622*H622,2))</f>
        <v/>
      </c>
      <c r="J622" s="58">
        <f>IF(G622="","",G622+N(I622))</f>
        <v/>
      </c>
      <c r="K622" s="53" t="n"/>
      <c r="L622" s="54">
        <f>IF(G622="","",IF(OR(K622="",K622&gt;TODAY()),"Nog betalen","Betaald"))</f>
        <v/>
      </c>
    </row>
    <row r="623">
      <c r="A623" s="53" t="n"/>
      <c r="B623" s="54">
        <f>IF(A623="","",YEAR(A623)&amp;" Q"&amp;ROUNDUP(MONTH(A623)/3,0))</f>
        <v/>
      </c>
      <c r="C623" s="55" t="n"/>
      <c r="D623" s="55" t="n"/>
      <c r="E623" s="55" t="n"/>
      <c r="F623" s="55" t="n"/>
      <c r="G623" s="56" t="n"/>
      <c r="H623" s="57" t="n"/>
      <c r="I623" s="58">
        <f>IF(G623="","",ROUND(G623*H623,2))</f>
        <v/>
      </c>
      <c r="J623" s="58">
        <f>IF(G623="","",G623+N(I623))</f>
        <v/>
      </c>
      <c r="K623" s="53" t="n"/>
      <c r="L623" s="54">
        <f>IF(G623="","",IF(OR(K623="",K623&gt;TODAY()),"Nog betalen","Betaald"))</f>
        <v/>
      </c>
    </row>
    <row r="624">
      <c r="A624" s="53" t="n"/>
      <c r="B624" s="54">
        <f>IF(A624="","",YEAR(A624)&amp;" Q"&amp;ROUNDUP(MONTH(A624)/3,0))</f>
        <v/>
      </c>
      <c r="C624" s="55" t="n"/>
      <c r="D624" s="55" t="n"/>
      <c r="E624" s="55" t="n"/>
      <c r="F624" s="55" t="n"/>
      <c r="G624" s="56" t="n"/>
      <c r="H624" s="57" t="n"/>
      <c r="I624" s="58">
        <f>IF(G624="","",ROUND(G624*H624,2))</f>
        <v/>
      </c>
      <c r="J624" s="58">
        <f>IF(G624="","",G624+N(I624))</f>
        <v/>
      </c>
      <c r="K624" s="53" t="n"/>
      <c r="L624" s="54">
        <f>IF(G624="","",IF(OR(K624="",K624&gt;TODAY()),"Nog betalen","Betaald"))</f>
        <v/>
      </c>
    </row>
    <row r="625">
      <c r="A625" s="53" t="n"/>
      <c r="B625" s="54">
        <f>IF(A625="","",YEAR(A625)&amp;" Q"&amp;ROUNDUP(MONTH(A625)/3,0))</f>
        <v/>
      </c>
      <c r="C625" s="55" t="n"/>
      <c r="D625" s="55" t="n"/>
      <c r="E625" s="55" t="n"/>
      <c r="F625" s="55" t="n"/>
      <c r="G625" s="56" t="n"/>
      <c r="H625" s="57" t="n"/>
      <c r="I625" s="58">
        <f>IF(G625="","",ROUND(G625*H625,2))</f>
        <v/>
      </c>
      <c r="J625" s="58">
        <f>IF(G625="","",G625+N(I625))</f>
        <v/>
      </c>
      <c r="K625" s="53" t="n"/>
      <c r="L625" s="54">
        <f>IF(G625="","",IF(OR(K625="",K625&gt;TODAY()),"Nog betalen","Betaald"))</f>
        <v/>
      </c>
    </row>
    <row r="626">
      <c r="A626" s="53" t="n"/>
      <c r="B626" s="54">
        <f>IF(A626="","",YEAR(A626)&amp;" Q"&amp;ROUNDUP(MONTH(A626)/3,0))</f>
        <v/>
      </c>
      <c r="C626" s="55" t="n"/>
      <c r="D626" s="55" t="n"/>
      <c r="E626" s="55" t="n"/>
      <c r="F626" s="55" t="n"/>
      <c r="G626" s="56" t="n"/>
      <c r="H626" s="57" t="n"/>
      <c r="I626" s="58">
        <f>IF(G626="","",ROUND(G626*H626,2))</f>
        <v/>
      </c>
      <c r="J626" s="58">
        <f>IF(G626="","",G626+N(I626))</f>
        <v/>
      </c>
      <c r="K626" s="53" t="n"/>
      <c r="L626" s="54">
        <f>IF(G626="","",IF(OR(K626="",K626&gt;TODAY()),"Nog betalen","Betaald"))</f>
        <v/>
      </c>
    </row>
    <row r="627">
      <c r="A627" s="53" t="n"/>
      <c r="B627" s="54">
        <f>IF(A627="","",YEAR(A627)&amp;" Q"&amp;ROUNDUP(MONTH(A627)/3,0))</f>
        <v/>
      </c>
      <c r="C627" s="55" t="n"/>
      <c r="D627" s="55" t="n"/>
      <c r="E627" s="55" t="n"/>
      <c r="F627" s="55" t="n"/>
      <c r="G627" s="56" t="n"/>
      <c r="H627" s="57" t="n"/>
      <c r="I627" s="58">
        <f>IF(G627="","",ROUND(G627*H627,2))</f>
        <v/>
      </c>
      <c r="J627" s="58">
        <f>IF(G627="","",G627+N(I627))</f>
        <v/>
      </c>
      <c r="K627" s="53" t="n"/>
      <c r="L627" s="54">
        <f>IF(G627="","",IF(OR(K627="",K627&gt;TODAY()),"Nog betalen","Betaald"))</f>
        <v/>
      </c>
    </row>
    <row r="628">
      <c r="A628" s="53" t="n"/>
      <c r="B628" s="54">
        <f>IF(A628="","",YEAR(A628)&amp;" Q"&amp;ROUNDUP(MONTH(A628)/3,0))</f>
        <v/>
      </c>
      <c r="C628" s="55" t="n"/>
      <c r="D628" s="55" t="n"/>
      <c r="E628" s="55" t="n"/>
      <c r="F628" s="55" t="n"/>
      <c r="G628" s="56" t="n"/>
      <c r="H628" s="57" t="n"/>
      <c r="I628" s="58">
        <f>IF(G628="","",ROUND(G628*H628,2))</f>
        <v/>
      </c>
      <c r="J628" s="58">
        <f>IF(G628="","",G628+N(I628))</f>
        <v/>
      </c>
      <c r="K628" s="53" t="n"/>
      <c r="L628" s="54">
        <f>IF(G628="","",IF(OR(K628="",K628&gt;TODAY()),"Nog betalen","Betaald"))</f>
        <v/>
      </c>
    </row>
    <row r="629">
      <c r="A629" s="53" t="n"/>
      <c r="B629" s="54">
        <f>IF(A629="","",YEAR(A629)&amp;" Q"&amp;ROUNDUP(MONTH(A629)/3,0))</f>
        <v/>
      </c>
      <c r="C629" s="55" t="n"/>
      <c r="D629" s="55" t="n"/>
      <c r="E629" s="55" t="n"/>
      <c r="F629" s="55" t="n"/>
      <c r="G629" s="56" t="n"/>
      <c r="H629" s="57" t="n"/>
      <c r="I629" s="58">
        <f>IF(G629="","",ROUND(G629*H629,2))</f>
        <v/>
      </c>
      <c r="J629" s="58">
        <f>IF(G629="","",G629+N(I629))</f>
        <v/>
      </c>
      <c r="K629" s="53" t="n"/>
      <c r="L629" s="54">
        <f>IF(G629="","",IF(OR(K629="",K629&gt;TODAY()),"Nog betalen","Betaald"))</f>
        <v/>
      </c>
    </row>
    <row r="630">
      <c r="A630" s="53" t="n"/>
      <c r="B630" s="54">
        <f>IF(A630="","",YEAR(A630)&amp;" Q"&amp;ROUNDUP(MONTH(A630)/3,0))</f>
        <v/>
      </c>
      <c r="C630" s="55" t="n"/>
      <c r="D630" s="55" t="n"/>
      <c r="E630" s="55" t="n"/>
      <c r="F630" s="55" t="n"/>
      <c r="G630" s="56" t="n"/>
      <c r="H630" s="57" t="n"/>
      <c r="I630" s="58">
        <f>IF(G630="","",ROUND(G630*H630,2))</f>
        <v/>
      </c>
      <c r="J630" s="58">
        <f>IF(G630="","",G630+N(I630))</f>
        <v/>
      </c>
      <c r="K630" s="53" t="n"/>
      <c r="L630" s="54">
        <f>IF(G630="","",IF(OR(K630="",K630&gt;TODAY()),"Nog betalen","Betaald"))</f>
        <v/>
      </c>
    </row>
    <row r="631">
      <c r="A631" s="53" t="n"/>
      <c r="B631" s="54">
        <f>IF(A631="","",YEAR(A631)&amp;" Q"&amp;ROUNDUP(MONTH(A631)/3,0))</f>
        <v/>
      </c>
      <c r="C631" s="55" t="n"/>
      <c r="D631" s="55" t="n"/>
      <c r="E631" s="55" t="n"/>
      <c r="F631" s="55" t="n"/>
      <c r="G631" s="56" t="n"/>
      <c r="H631" s="57" t="n"/>
      <c r="I631" s="58">
        <f>IF(G631="","",ROUND(G631*H631,2))</f>
        <v/>
      </c>
      <c r="J631" s="58">
        <f>IF(G631="","",G631+N(I631))</f>
        <v/>
      </c>
      <c r="K631" s="53" t="n"/>
      <c r="L631" s="54">
        <f>IF(G631="","",IF(OR(K631="",K631&gt;TODAY()),"Nog betalen","Betaald"))</f>
        <v/>
      </c>
    </row>
    <row r="632">
      <c r="A632" s="53" t="n"/>
      <c r="B632" s="54">
        <f>IF(A632="","",YEAR(A632)&amp;" Q"&amp;ROUNDUP(MONTH(A632)/3,0))</f>
        <v/>
      </c>
      <c r="C632" s="55" t="n"/>
      <c r="D632" s="55" t="n"/>
      <c r="E632" s="55" t="n"/>
      <c r="F632" s="55" t="n"/>
      <c r="G632" s="56" t="n"/>
      <c r="H632" s="57" t="n"/>
      <c r="I632" s="58">
        <f>IF(G632="","",ROUND(G632*H632,2))</f>
        <v/>
      </c>
      <c r="J632" s="58">
        <f>IF(G632="","",G632+N(I632))</f>
        <v/>
      </c>
      <c r="K632" s="53" t="n"/>
      <c r="L632" s="54">
        <f>IF(G632="","",IF(OR(K632="",K632&gt;TODAY()),"Nog betalen","Betaald"))</f>
        <v/>
      </c>
    </row>
    <row r="633">
      <c r="A633" s="53" t="n"/>
      <c r="B633" s="54">
        <f>IF(A633="","",YEAR(A633)&amp;" Q"&amp;ROUNDUP(MONTH(A633)/3,0))</f>
        <v/>
      </c>
      <c r="C633" s="55" t="n"/>
      <c r="D633" s="55" t="n"/>
      <c r="E633" s="55" t="n"/>
      <c r="F633" s="55" t="n"/>
      <c r="G633" s="56" t="n"/>
      <c r="H633" s="57" t="n"/>
      <c r="I633" s="58">
        <f>IF(G633="","",ROUND(G633*H633,2))</f>
        <v/>
      </c>
      <c r="J633" s="58">
        <f>IF(G633="","",G633+N(I633))</f>
        <v/>
      </c>
      <c r="K633" s="53" t="n"/>
      <c r="L633" s="54">
        <f>IF(G633="","",IF(OR(K633="",K633&gt;TODAY()),"Nog betalen","Betaald"))</f>
        <v/>
      </c>
    </row>
    <row r="634">
      <c r="A634" s="53" t="n"/>
      <c r="B634" s="54">
        <f>IF(A634="","",YEAR(A634)&amp;" Q"&amp;ROUNDUP(MONTH(A634)/3,0))</f>
        <v/>
      </c>
      <c r="C634" s="55" t="n"/>
      <c r="D634" s="55" t="n"/>
      <c r="E634" s="55" t="n"/>
      <c r="F634" s="55" t="n"/>
      <c r="G634" s="56" t="n"/>
      <c r="H634" s="57" t="n"/>
      <c r="I634" s="58">
        <f>IF(G634="","",ROUND(G634*H634,2))</f>
        <v/>
      </c>
      <c r="J634" s="58">
        <f>IF(G634="","",G634+N(I634))</f>
        <v/>
      </c>
      <c r="K634" s="53" t="n"/>
      <c r="L634" s="54">
        <f>IF(G634="","",IF(OR(K634="",K634&gt;TODAY()),"Nog betalen","Betaald"))</f>
        <v/>
      </c>
    </row>
    <row r="635">
      <c r="A635" s="53" t="n"/>
      <c r="B635" s="54">
        <f>IF(A635="","",YEAR(A635)&amp;" Q"&amp;ROUNDUP(MONTH(A635)/3,0))</f>
        <v/>
      </c>
      <c r="C635" s="55" t="n"/>
      <c r="D635" s="55" t="n"/>
      <c r="E635" s="55" t="n"/>
      <c r="F635" s="55" t="n"/>
      <c r="G635" s="56" t="n"/>
      <c r="H635" s="57" t="n"/>
      <c r="I635" s="58">
        <f>IF(G635="","",ROUND(G635*H635,2))</f>
        <v/>
      </c>
      <c r="J635" s="58">
        <f>IF(G635="","",G635+N(I635))</f>
        <v/>
      </c>
      <c r="K635" s="53" t="n"/>
      <c r="L635" s="54">
        <f>IF(G635="","",IF(OR(K635="",K635&gt;TODAY()),"Nog betalen","Betaald"))</f>
        <v/>
      </c>
    </row>
    <row r="636">
      <c r="A636" s="53" t="n"/>
      <c r="B636" s="54">
        <f>IF(A636="","",YEAR(A636)&amp;" Q"&amp;ROUNDUP(MONTH(A636)/3,0))</f>
        <v/>
      </c>
      <c r="C636" s="55" t="n"/>
      <c r="D636" s="55" t="n"/>
      <c r="E636" s="55" t="n"/>
      <c r="F636" s="55" t="n"/>
      <c r="G636" s="56" t="n"/>
      <c r="H636" s="57" t="n"/>
      <c r="I636" s="58">
        <f>IF(G636="","",ROUND(G636*H636,2))</f>
        <v/>
      </c>
      <c r="J636" s="58">
        <f>IF(G636="","",G636+N(I636))</f>
        <v/>
      </c>
      <c r="K636" s="53" t="n"/>
      <c r="L636" s="54">
        <f>IF(G636="","",IF(OR(K636="",K636&gt;TODAY()),"Nog betalen","Betaald"))</f>
        <v/>
      </c>
    </row>
    <row r="637">
      <c r="A637" s="53" t="n"/>
      <c r="B637" s="54">
        <f>IF(A637="","",YEAR(A637)&amp;" Q"&amp;ROUNDUP(MONTH(A637)/3,0))</f>
        <v/>
      </c>
      <c r="C637" s="55" t="n"/>
      <c r="D637" s="55" t="n"/>
      <c r="E637" s="55" t="n"/>
      <c r="F637" s="55" t="n"/>
      <c r="G637" s="56" t="n"/>
      <c r="H637" s="57" t="n"/>
      <c r="I637" s="58">
        <f>IF(G637="","",ROUND(G637*H637,2))</f>
        <v/>
      </c>
      <c r="J637" s="58">
        <f>IF(G637="","",G637+N(I637))</f>
        <v/>
      </c>
      <c r="K637" s="53" t="n"/>
      <c r="L637" s="54">
        <f>IF(G637="","",IF(OR(K637="",K637&gt;TODAY()),"Nog betalen","Betaald"))</f>
        <v/>
      </c>
    </row>
    <row r="638">
      <c r="A638" s="53" t="n"/>
      <c r="B638" s="54">
        <f>IF(A638="","",YEAR(A638)&amp;" Q"&amp;ROUNDUP(MONTH(A638)/3,0))</f>
        <v/>
      </c>
      <c r="C638" s="55" t="n"/>
      <c r="D638" s="55" t="n"/>
      <c r="E638" s="55" t="n"/>
      <c r="F638" s="55" t="n"/>
      <c r="G638" s="56" t="n"/>
      <c r="H638" s="57" t="n"/>
      <c r="I638" s="58">
        <f>IF(G638="","",ROUND(G638*H638,2))</f>
        <v/>
      </c>
      <c r="J638" s="58">
        <f>IF(G638="","",G638+N(I638))</f>
        <v/>
      </c>
      <c r="K638" s="53" t="n"/>
      <c r="L638" s="54">
        <f>IF(G638="","",IF(OR(K638="",K638&gt;TODAY()),"Nog betalen","Betaald"))</f>
        <v/>
      </c>
    </row>
    <row r="639">
      <c r="A639" s="53" t="n"/>
      <c r="B639" s="54">
        <f>IF(A639="","",YEAR(A639)&amp;" Q"&amp;ROUNDUP(MONTH(A639)/3,0))</f>
        <v/>
      </c>
      <c r="C639" s="55" t="n"/>
      <c r="D639" s="55" t="n"/>
      <c r="E639" s="55" t="n"/>
      <c r="F639" s="55" t="n"/>
      <c r="G639" s="56" t="n"/>
      <c r="H639" s="57" t="n"/>
      <c r="I639" s="58">
        <f>IF(G639="","",ROUND(G639*H639,2))</f>
        <v/>
      </c>
      <c r="J639" s="58">
        <f>IF(G639="","",G639+N(I639))</f>
        <v/>
      </c>
      <c r="K639" s="53" t="n"/>
      <c r="L639" s="54">
        <f>IF(G639="","",IF(OR(K639="",K639&gt;TODAY()),"Nog betalen","Betaald"))</f>
        <v/>
      </c>
    </row>
    <row r="640">
      <c r="A640" s="53" t="n"/>
      <c r="B640" s="54">
        <f>IF(A640="","",YEAR(A640)&amp;" Q"&amp;ROUNDUP(MONTH(A640)/3,0))</f>
        <v/>
      </c>
      <c r="C640" s="55" t="n"/>
      <c r="D640" s="55" t="n"/>
      <c r="E640" s="55" t="n"/>
      <c r="F640" s="55" t="n"/>
      <c r="G640" s="56" t="n"/>
      <c r="H640" s="57" t="n"/>
      <c r="I640" s="58">
        <f>IF(G640="","",ROUND(G640*H640,2))</f>
        <v/>
      </c>
      <c r="J640" s="58">
        <f>IF(G640="","",G640+N(I640))</f>
        <v/>
      </c>
      <c r="K640" s="53" t="n"/>
      <c r="L640" s="54">
        <f>IF(G640="","",IF(OR(K640="",K640&gt;TODAY()),"Nog betalen","Betaald"))</f>
        <v/>
      </c>
    </row>
    <row r="641">
      <c r="A641" s="53" t="n"/>
      <c r="B641" s="54">
        <f>IF(A641="","",YEAR(A641)&amp;" Q"&amp;ROUNDUP(MONTH(A641)/3,0))</f>
        <v/>
      </c>
      <c r="C641" s="55" t="n"/>
      <c r="D641" s="55" t="n"/>
      <c r="E641" s="55" t="n"/>
      <c r="F641" s="55" t="n"/>
      <c r="G641" s="56" t="n"/>
      <c r="H641" s="57" t="n"/>
      <c r="I641" s="58">
        <f>IF(G641="","",ROUND(G641*H641,2))</f>
        <v/>
      </c>
      <c r="J641" s="58">
        <f>IF(G641="","",G641+N(I641))</f>
        <v/>
      </c>
      <c r="K641" s="53" t="n"/>
      <c r="L641" s="54">
        <f>IF(G641="","",IF(OR(K641="",K641&gt;TODAY()),"Nog betalen","Betaald"))</f>
        <v/>
      </c>
    </row>
    <row r="642">
      <c r="A642" s="53" t="n"/>
      <c r="B642" s="54">
        <f>IF(A642="","",YEAR(A642)&amp;" Q"&amp;ROUNDUP(MONTH(A642)/3,0))</f>
        <v/>
      </c>
      <c r="C642" s="55" t="n"/>
      <c r="D642" s="55" t="n"/>
      <c r="E642" s="55" t="n"/>
      <c r="F642" s="55" t="n"/>
      <c r="G642" s="56" t="n"/>
      <c r="H642" s="57" t="n"/>
      <c r="I642" s="58">
        <f>IF(G642="","",ROUND(G642*H642,2))</f>
        <v/>
      </c>
      <c r="J642" s="58">
        <f>IF(G642="","",G642+N(I642))</f>
        <v/>
      </c>
      <c r="K642" s="53" t="n"/>
      <c r="L642" s="54">
        <f>IF(G642="","",IF(OR(K642="",K642&gt;TODAY()),"Nog betalen","Betaald"))</f>
        <v/>
      </c>
    </row>
    <row r="643">
      <c r="A643" s="53" t="n"/>
      <c r="B643" s="54">
        <f>IF(A643="","",YEAR(A643)&amp;" Q"&amp;ROUNDUP(MONTH(A643)/3,0))</f>
        <v/>
      </c>
      <c r="C643" s="55" t="n"/>
      <c r="D643" s="55" t="n"/>
      <c r="E643" s="55" t="n"/>
      <c r="F643" s="55" t="n"/>
      <c r="G643" s="56" t="n"/>
      <c r="H643" s="57" t="n"/>
      <c r="I643" s="58">
        <f>IF(G643="","",ROUND(G643*H643,2))</f>
        <v/>
      </c>
      <c r="J643" s="58">
        <f>IF(G643="","",G643+N(I643))</f>
        <v/>
      </c>
      <c r="K643" s="53" t="n"/>
      <c r="L643" s="54">
        <f>IF(G643="","",IF(OR(K643="",K643&gt;TODAY()),"Nog betalen","Betaald"))</f>
        <v/>
      </c>
    </row>
    <row r="644">
      <c r="A644" s="53" t="n"/>
      <c r="B644" s="54">
        <f>IF(A644="","",YEAR(A644)&amp;" Q"&amp;ROUNDUP(MONTH(A644)/3,0))</f>
        <v/>
      </c>
      <c r="C644" s="55" t="n"/>
      <c r="D644" s="55" t="n"/>
      <c r="E644" s="55" t="n"/>
      <c r="F644" s="55" t="n"/>
      <c r="G644" s="56" t="n"/>
      <c r="H644" s="57" t="n"/>
      <c r="I644" s="58">
        <f>IF(G644="","",ROUND(G644*H644,2))</f>
        <v/>
      </c>
      <c r="J644" s="58">
        <f>IF(G644="","",G644+N(I644))</f>
        <v/>
      </c>
      <c r="K644" s="53" t="n"/>
      <c r="L644" s="54">
        <f>IF(G644="","",IF(OR(K644="",K644&gt;TODAY()),"Nog betalen","Betaald"))</f>
        <v/>
      </c>
    </row>
    <row r="645">
      <c r="A645" s="53" t="n"/>
      <c r="B645" s="54">
        <f>IF(A645="","",YEAR(A645)&amp;" Q"&amp;ROUNDUP(MONTH(A645)/3,0))</f>
        <v/>
      </c>
      <c r="C645" s="55" t="n"/>
      <c r="D645" s="55" t="n"/>
      <c r="E645" s="55" t="n"/>
      <c r="F645" s="55" t="n"/>
      <c r="G645" s="56" t="n"/>
      <c r="H645" s="57" t="n"/>
      <c r="I645" s="58">
        <f>IF(G645="","",ROUND(G645*H645,2))</f>
        <v/>
      </c>
      <c r="J645" s="58">
        <f>IF(G645="","",G645+N(I645))</f>
        <v/>
      </c>
      <c r="K645" s="53" t="n"/>
      <c r="L645" s="54">
        <f>IF(G645="","",IF(OR(K645="",K645&gt;TODAY()),"Nog betalen","Betaald"))</f>
        <v/>
      </c>
    </row>
    <row r="646">
      <c r="A646" s="53" t="n"/>
      <c r="B646" s="54">
        <f>IF(A646="","",YEAR(A646)&amp;" Q"&amp;ROUNDUP(MONTH(A646)/3,0))</f>
        <v/>
      </c>
      <c r="C646" s="55" t="n"/>
      <c r="D646" s="55" t="n"/>
      <c r="E646" s="55" t="n"/>
      <c r="F646" s="55" t="n"/>
      <c r="G646" s="56" t="n"/>
      <c r="H646" s="57" t="n"/>
      <c r="I646" s="58">
        <f>IF(G646="","",ROUND(G646*H646,2))</f>
        <v/>
      </c>
      <c r="J646" s="58">
        <f>IF(G646="","",G646+N(I646))</f>
        <v/>
      </c>
      <c r="K646" s="53" t="n"/>
      <c r="L646" s="54">
        <f>IF(G646="","",IF(OR(K646="",K646&gt;TODAY()),"Nog betalen","Betaald"))</f>
        <v/>
      </c>
    </row>
    <row r="647">
      <c r="A647" s="53" t="n"/>
      <c r="B647" s="54">
        <f>IF(A647="","",YEAR(A647)&amp;" Q"&amp;ROUNDUP(MONTH(A647)/3,0))</f>
        <v/>
      </c>
      <c r="C647" s="55" t="n"/>
      <c r="D647" s="55" t="n"/>
      <c r="E647" s="55" t="n"/>
      <c r="F647" s="55" t="n"/>
      <c r="G647" s="56" t="n"/>
      <c r="H647" s="57" t="n"/>
      <c r="I647" s="58">
        <f>IF(G647="","",ROUND(G647*H647,2))</f>
        <v/>
      </c>
      <c r="J647" s="58">
        <f>IF(G647="","",G647+N(I647))</f>
        <v/>
      </c>
      <c r="K647" s="53" t="n"/>
      <c r="L647" s="54">
        <f>IF(G647="","",IF(OR(K647="",K647&gt;TODAY()),"Nog betalen","Betaald"))</f>
        <v/>
      </c>
    </row>
    <row r="648">
      <c r="A648" s="53" t="n"/>
      <c r="B648" s="54">
        <f>IF(A648="","",YEAR(A648)&amp;" Q"&amp;ROUNDUP(MONTH(A648)/3,0))</f>
        <v/>
      </c>
      <c r="C648" s="55" t="n"/>
      <c r="D648" s="55" t="n"/>
      <c r="E648" s="55" t="n"/>
      <c r="F648" s="55" t="n"/>
      <c r="G648" s="56" t="n"/>
      <c r="H648" s="57" t="n"/>
      <c r="I648" s="58">
        <f>IF(G648="","",ROUND(G648*H648,2))</f>
        <v/>
      </c>
      <c r="J648" s="58">
        <f>IF(G648="","",G648+N(I648))</f>
        <v/>
      </c>
      <c r="K648" s="53" t="n"/>
      <c r="L648" s="54">
        <f>IF(G648="","",IF(OR(K648="",K648&gt;TODAY()),"Nog betalen","Betaald"))</f>
        <v/>
      </c>
    </row>
    <row r="649">
      <c r="A649" s="53" t="n"/>
      <c r="B649" s="54">
        <f>IF(A649="","",YEAR(A649)&amp;" Q"&amp;ROUNDUP(MONTH(A649)/3,0))</f>
        <v/>
      </c>
      <c r="C649" s="55" t="n"/>
      <c r="D649" s="55" t="n"/>
      <c r="E649" s="55" t="n"/>
      <c r="F649" s="55" t="n"/>
      <c r="G649" s="56" t="n"/>
      <c r="H649" s="57" t="n"/>
      <c r="I649" s="58">
        <f>IF(G649="","",ROUND(G649*H649,2))</f>
        <v/>
      </c>
      <c r="J649" s="58">
        <f>IF(G649="","",G649+N(I649))</f>
        <v/>
      </c>
      <c r="K649" s="53" t="n"/>
      <c r="L649" s="54">
        <f>IF(G649="","",IF(OR(K649="",K649&gt;TODAY()),"Nog betalen","Betaald"))</f>
        <v/>
      </c>
    </row>
    <row r="650">
      <c r="A650" s="53" t="n"/>
      <c r="B650" s="54">
        <f>IF(A650="","",YEAR(A650)&amp;" Q"&amp;ROUNDUP(MONTH(A650)/3,0))</f>
        <v/>
      </c>
      <c r="C650" s="55" t="n"/>
      <c r="D650" s="55" t="n"/>
      <c r="E650" s="55" t="n"/>
      <c r="F650" s="55" t="n"/>
      <c r="G650" s="56" t="n"/>
      <c r="H650" s="57" t="n"/>
      <c r="I650" s="58">
        <f>IF(G650="","",ROUND(G650*H650,2))</f>
        <v/>
      </c>
      <c r="J650" s="58">
        <f>IF(G650="","",G650+N(I650))</f>
        <v/>
      </c>
      <c r="K650" s="53" t="n"/>
      <c r="L650" s="54">
        <f>IF(G650="","",IF(OR(K650="",K650&gt;TODAY()),"Nog betalen","Betaald"))</f>
        <v/>
      </c>
    </row>
    <row r="651">
      <c r="A651" s="53" t="n"/>
      <c r="B651" s="54">
        <f>IF(A651="","",YEAR(A651)&amp;" Q"&amp;ROUNDUP(MONTH(A651)/3,0))</f>
        <v/>
      </c>
      <c r="C651" s="55" t="n"/>
      <c r="D651" s="55" t="n"/>
      <c r="E651" s="55" t="n"/>
      <c r="F651" s="55" t="n"/>
      <c r="G651" s="56" t="n"/>
      <c r="H651" s="57" t="n"/>
      <c r="I651" s="58">
        <f>IF(G651="","",ROUND(G651*H651,2))</f>
        <v/>
      </c>
      <c r="J651" s="58">
        <f>IF(G651="","",G651+N(I651))</f>
        <v/>
      </c>
      <c r="K651" s="53" t="n"/>
      <c r="L651" s="54">
        <f>IF(G651="","",IF(OR(K651="",K651&gt;TODAY()),"Nog betalen","Betaald"))</f>
        <v/>
      </c>
    </row>
    <row r="652">
      <c r="A652" s="53" t="n"/>
      <c r="B652" s="54">
        <f>IF(A652="","",YEAR(A652)&amp;" Q"&amp;ROUNDUP(MONTH(A652)/3,0))</f>
        <v/>
      </c>
      <c r="C652" s="55" t="n"/>
      <c r="D652" s="55" t="n"/>
      <c r="E652" s="55" t="n"/>
      <c r="F652" s="55" t="n"/>
      <c r="G652" s="56" t="n"/>
      <c r="H652" s="57" t="n"/>
      <c r="I652" s="58">
        <f>IF(G652="","",ROUND(G652*H652,2))</f>
        <v/>
      </c>
      <c r="J652" s="58">
        <f>IF(G652="","",G652+N(I652))</f>
        <v/>
      </c>
      <c r="K652" s="53" t="n"/>
      <c r="L652" s="54">
        <f>IF(G652="","",IF(OR(K652="",K652&gt;TODAY()),"Nog betalen","Betaald"))</f>
        <v/>
      </c>
    </row>
    <row r="653">
      <c r="A653" s="53" t="n"/>
      <c r="B653" s="54">
        <f>IF(A653="","",YEAR(A653)&amp;" Q"&amp;ROUNDUP(MONTH(A653)/3,0))</f>
        <v/>
      </c>
      <c r="C653" s="55" t="n"/>
      <c r="D653" s="55" t="n"/>
      <c r="E653" s="55" t="n"/>
      <c r="F653" s="55" t="n"/>
      <c r="G653" s="56" t="n"/>
      <c r="H653" s="57" t="n"/>
      <c r="I653" s="58">
        <f>IF(G653="","",ROUND(G653*H653,2))</f>
        <v/>
      </c>
      <c r="J653" s="58">
        <f>IF(G653="","",G653+N(I653))</f>
        <v/>
      </c>
      <c r="K653" s="53" t="n"/>
      <c r="L653" s="54">
        <f>IF(G653="","",IF(OR(K653="",K653&gt;TODAY()),"Nog betalen","Betaald"))</f>
        <v/>
      </c>
    </row>
    <row r="654">
      <c r="A654" s="53" t="n"/>
      <c r="B654" s="54">
        <f>IF(A654="","",YEAR(A654)&amp;" Q"&amp;ROUNDUP(MONTH(A654)/3,0))</f>
        <v/>
      </c>
      <c r="C654" s="55" t="n"/>
      <c r="D654" s="55" t="n"/>
      <c r="E654" s="55" t="n"/>
      <c r="F654" s="55" t="n"/>
      <c r="G654" s="56" t="n"/>
      <c r="H654" s="57" t="n"/>
      <c r="I654" s="58">
        <f>IF(G654="","",ROUND(G654*H654,2))</f>
        <v/>
      </c>
      <c r="J654" s="58">
        <f>IF(G654="","",G654+N(I654))</f>
        <v/>
      </c>
      <c r="K654" s="53" t="n"/>
      <c r="L654" s="54">
        <f>IF(G654="","",IF(OR(K654="",K654&gt;TODAY()),"Nog betalen","Betaald"))</f>
        <v/>
      </c>
    </row>
    <row r="655">
      <c r="A655" s="53" t="n"/>
      <c r="B655" s="54">
        <f>IF(A655="","",YEAR(A655)&amp;" Q"&amp;ROUNDUP(MONTH(A655)/3,0))</f>
        <v/>
      </c>
      <c r="C655" s="55" t="n"/>
      <c r="D655" s="55" t="n"/>
      <c r="E655" s="55" t="n"/>
      <c r="F655" s="55" t="n"/>
      <c r="G655" s="56" t="n"/>
      <c r="H655" s="57" t="n"/>
      <c r="I655" s="58">
        <f>IF(G655="","",ROUND(G655*H655,2))</f>
        <v/>
      </c>
      <c r="J655" s="58">
        <f>IF(G655="","",G655+N(I655))</f>
        <v/>
      </c>
      <c r="K655" s="53" t="n"/>
      <c r="L655" s="54">
        <f>IF(G655="","",IF(OR(K655="",K655&gt;TODAY()),"Nog betalen","Betaald"))</f>
        <v/>
      </c>
    </row>
    <row r="656">
      <c r="A656" s="53" t="n"/>
      <c r="B656" s="54">
        <f>IF(A656="","",YEAR(A656)&amp;" Q"&amp;ROUNDUP(MONTH(A656)/3,0))</f>
        <v/>
      </c>
      <c r="C656" s="55" t="n"/>
      <c r="D656" s="55" t="n"/>
      <c r="E656" s="55" t="n"/>
      <c r="F656" s="55" t="n"/>
      <c r="G656" s="56" t="n"/>
      <c r="H656" s="57" t="n"/>
      <c r="I656" s="58">
        <f>IF(G656="","",ROUND(G656*H656,2))</f>
        <v/>
      </c>
      <c r="J656" s="58">
        <f>IF(G656="","",G656+N(I656))</f>
        <v/>
      </c>
      <c r="K656" s="53" t="n"/>
      <c r="L656" s="54">
        <f>IF(G656="","",IF(OR(K656="",K656&gt;TODAY()),"Nog betalen","Betaald"))</f>
        <v/>
      </c>
    </row>
    <row r="657">
      <c r="A657" s="53" t="n"/>
      <c r="B657" s="54">
        <f>IF(A657="","",YEAR(A657)&amp;" Q"&amp;ROUNDUP(MONTH(A657)/3,0))</f>
        <v/>
      </c>
      <c r="C657" s="55" t="n"/>
      <c r="D657" s="55" t="n"/>
      <c r="E657" s="55" t="n"/>
      <c r="F657" s="55" t="n"/>
      <c r="G657" s="56" t="n"/>
      <c r="H657" s="57" t="n"/>
      <c r="I657" s="58">
        <f>IF(G657="","",ROUND(G657*H657,2))</f>
        <v/>
      </c>
      <c r="J657" s="58">
        <f>IF(G657="","",G657+N(I657))</f>
        <v/>
      </c>
      <c r="K657" s="53" t="n"/>
      <c r="L657" s="54">
        <f>IF(G657="","",IF(OR(K657="",K657&gt;TODAY()),"Nog betalen","Betaald"))</f>
        <v/>
      </c>
    </row>
    <row r="658">
      <c r="A658" s="53" t="n"/>
      <c r="B658" s="54">
        <f>IF(A658="","",YEAR(A658)&amp;" Q"&amp;ROUNDUP(MONTH(A658)/3,0))</f>
        <v/>
      </c>
      <c r="C658" s="55" t="n"/>
      <c r="D658" s="55" t="n"/>
      <c r="E658" s="55" t="n"/>
      <c r="F658" s="55" t="n"/>
      <c r="G658" s="56" t="n"/>
      <c r="H658" s="57" t="n"/>
      <c r="I658" s="58">
        <f>IF(G658="","",ROUND(G658*H658,2))</f>
        <v/>
      </c>
      <c r="J658" s="58">
        <f>IF(G658="","",G658+N(I658))</f>
        <v/>
      </c>
      <c r="K658" s="53" t="n"/>
      <c r="L658" s="54">
        <f>IF(G658="","",IF(OR(K658="",K658&gt;TODAY()),"Nog betalen","Betaald"))</f>
        <v/>
      </c>
    </row>
    <row r="659">
      <c r="A659" s="53" t="n"/>
      <c r="B659" s="54">
        <f>IF(A659="","",YEAR(A659)&amp;" Q"&amp;ROUNDUP(MONTH(A659)/3,0))</f>
        <v/>
      </c>
      <c r="C659" s="55" t="n"/>
      <c r="D659" s="55" t="n"/>
      <c r="E659" s="55" t="n"/>
      <c r="F659" s="55" t="n"/>
      <c r="G659" s="56" t="n"/>
      <c r="H659" s="57" t="n"/>
      <c r="I659" s="58">
        <f>IF(G659="","",ROUND(G659*H659,2))</f>
        <v/>
      </c>
      <c r="J659" s="58">
        <f>IF(G659="","",G659+N(I659))</f>
        <v/>
      </c>
      <c r="K659" s="53" t="n"/>
      <c r="L659" s="54">
        <f>IF(G659="","",IF(OR(K659="",K659&gt;TODAY()),"Nog betalen","Betaald"))</f>
        <v/>
      </c>
    </row>
    <row r="660">
      <c r="A660" s="53" t="n"/>
      <c r="B660" s="54">
        <f>IF(A660="","",YEAR(A660)&amp;" Q"&amp;ROUNDUP(MONTH(A660)/3,0))</f>
        <v/>
      </c>
      <c r="C660" s="55" t="n"/>
      <c r="D660" s="55" t="n"/>
      <c r="E660" s="55" t="n"/>
      <c r="F660" s="55" t="n"/>
      <c r="G660" s="56" t="n"/>
      <c r="H660" s="57" t="n"/>
      <c r="I660" s="58">
        <f>IF(G660="","",ROUND(G660*H660,2))</f>
        <v/>
      </c>
      <c r="J660" s="58">
        <f>IF(G660="","",G660+N(I660))</f>
        <v/>
      </c>
      <c r="K660" s="53" t="n"/>
      <c r="L660" s="54">
        <f>IF(G660="","",IF(OR(K660="",K660&gt;TODAY()),"Nog betalen","Betaald"))</f>
        <v/>
      </c>
    </row>
    <row r="661">
      <c r="A661" s="53" t="n"/>
      <c r="B661" s="54">
        <f>IF(A661="","",YEAR(A661)&amp;" Q"&amp;ROUNDUP(MONTH(A661)/3,0))</f>
        <v/>
      </c>
      <c r="C661" s="55" t="n"/>
      <c r="D661" s="55" t="n"/>
      <c r="E661" s="55" t="n"/>
      <c r="F661" s="55" t="n"/>
      <c r="G661" s="56" t="n"/>
      <c r="H661" s="57" t="n"/>
      <c r="I661" s="58">
        <f>IF(G661="","",ROUND(G661*H661,2))</f>
        <v/>
      </c>
      <c r="J661" s="58">
        <f>IF(G661="","",G661+N(I661))</f>
        <v/>
      </c>
      <c r="K661" s="53" t="n"/>
      <c r="L661" s="54">
        <f>IF(G661="","",IF(OR(K661="",K661&gt;TODAY()),"Nog betalen","Betaald"))</f>
        <v/>
      </c>
    </row>
    <row r="662">
      <c r="A662" s="53" t="n"/>
      <c r="B662" s="54">
        <f>IF(A662="","",YEAR(A662)&amp;" Q"&amp;ROUNDUP(MONTH(A662)/3,0))</f>
        <v/>
      </c>
      <c r="C662" s="55" t="n"/>
      <c r="D662" s="55" t="n"/>
      <c r="E662" s="55" t="n"/>
      <c r="F662" s="55" t="n"/>
      <c r="G662" s="56" t="n"/>
      <c r="H662" s="57" t="n"/>
      <c r="I662" s="58">
        <f>IF(G662="","",ROUND(G662*H662,2))</f>
        <v/>
      </c>
      <c r="J662" s="58">
        <f>IF(G662="","",G662+N(I662))</f>
        <v/>
      </c>
      <c r="K662" s="53" t="n"/>
      <c r="L662" s="54">
        <f>IF(G662="","",IF(OR(K662="",K662&gt;TODAY()),"Nog betalen","Betaald"))</f>
        <v/>
      </c>
    </row>
    <row r="663">
      <c r="A663" s="53" t="n"/>
      <c r="B663" s="54">
        <f>IF(A663="","",YEAR(A663)&amp;" Q"&amp;ROUNDUP(MONTH(A663)/3,0))</f>
        <v/>
      </c>
      <c r="C663" s="55" t="n"/>
      <c r="D663" s="55" t="n"/>
      <c r="E663" s="55" t="n"/>
      <c r="F663" s="55" t="n"/>
      <c r="G663" s="56" t="n"/>
      <c r="H663" s="57" t="n"/>
      <c r="I663" s="58">
        <f>IF(G663="","",ROUND(G663*H663,2))</f>
        <v/>
      </c>
      <c r="J663" s="58">
        <f>IF(G663="","",G663+N(I663))</f>
        <v/>
      </c>
      <c r="K663" s="53" t="n"/>
      <c r="L663" s="54">
        <f>IF(G663="","",IF(OR(K663="",K663&gt;TODAY()),"Nog betalen","Betaald"))</f>
        <v/>
      </c>
    </row>
    <row r="664">
      <c r="A664" s="53" t="n"/>
      <c r="B664" s="54">
        <f>IF(A664="","",YEAR(A664)&amp;" Q"&amp;ROUNDUP(MONTH(A664)/3,0))</f>
        <v/>
      </c>
      <c r="C664" s="55" t="n"/>
      <c r="D664" s="55" t="n"/>
      <c r="E664" s="55" t="n"/>
      <c r="F664" s="55" t="n"/>
      <c r="G664" s="56" t="n"/>
      <c r="H664" s="57" t="n"/>
      <c r="I664" s="58">
        <f>IF(G664="","",ROUND(G664*H664,2))</f>
        <v/>
      </c>
      <c r="J664" s="58">
        <f>IF(G664="","",G664+N(I664))</f>
        <v/>
      </c>
      <c r="K664" s="53" t="n"/>
      <c r="L664" s="54">
        <f>IF(G664="","",IF(OR(K664="",K664&gt;TODAY()),"Nog betalen","Betaald"))</f>
        <v/>
      </c>
    </row>
    <row r="665">
      <c r="A665" s="53" t="n"/>
      <c r="B665" s="54">
        <f>IF(A665="","",YEAR(A665)&amp;" Q"&amp;ROUNDUP(MONTH(A665)/3,0))</f>
        <v/>
      </c>
      <c r="C665" s="55" t="n"/>
      <c r="D665" s="55" t="n"/>
      <c r="E665" s="55" t="n"/>
      <c r="F665" s="55" t="n"/>
      <c r="G665" s="56" t="n"/>
      <c r="H665" s="57" t="n"/>
      <c r="I665" s="58">
        <f>IF(G665="","",ROUND(G665*H665,2))</f>
        <v/>
      </c>
      <c r="J665" s="58">
        <f>IF(G665="","",G665+N(I665))</f>
        <v/>
      </c>
      <c r="K665" s="53" t="n"/>
      <c r="L665" s="54">
        <f>IF(G665="","",IF(OR(K665="",K665&gt;TODAY()),"Nog betalen","Betaald"))</f>
        <v/>
      </c>
    </row>
    <row r="666">
      <c r="A666" s="53" t="n"/>
      <c r="B666" s="54">
        <f>IF(A666="","",YEAR(A666)&amp;" Q"&amp;ROUNDUP(MONTH(A666)/3,0))</f>
        <v/>
      </c>
      <c r="C666" s="55" t="n"/>
      <c r="D666" s="55" t="n"/>
      <c r="E666" s="55" t="n"/>
      <c r="F666" s="55" t="n"/>
      <c r="G666" s="56" t="n"/>
      <c r="H666" s="57" t="n"/>
      <c r="I666" s="58">
        <f>IF(G666="","",ROUND(G666*H666,2))</f>
        <v/>
      </c>
      <c r="J666" s="58">
        <f>IF(G666="","",G666+N(I666))</f>
        <v/>
      </c>
      <c r="K666" s="53" t="n"/>
      <c r="L666" s="54">
        <f>IF(G666="","",IF(OR(K666="",K666&gt;TODAY()),"Nog betalen","Betaald"))</f>
        <v/>
      </c>
    </row>
    <row r="667">
      <c r="A667" s="53" t="n"/>
      <c r="B667" s="54">
        <f>IF(A667="","",YEAR(A667)&amp;" Q"&amp;ROUNDUP(MONTH(A667)/3,0))</f>
        <v/>
      </c>
      <c r="C667" s="55" t="n"/>
      <c r="D667" s="55" t="n"/>
      <c r="E667" s="55" t="n"/>
      <c r="F667" s="55" t="n"/>
      <c r="G667" s="56" t="n"/>
      <c r="H667" s="57" t="n"/>
      <c r="I667" s="58">
        <f>IF(G667="","",ROUND(G667*H667,2))</f>
        <v/>
      </c>
      <c r="J667" s="58">
        <f>IF(G667="","",G667+N(I667))</f>
        <v/>
      </c>
      <c r="K667" s="53" t="n"/>
      <c r="L667" s="54">
        <f>IF(G667="","",IF(OR(K667="",K667&gt;TODAY()),"Nog betalen","Betaald"))</f>
        <v/>
      </c>
    </row>
    <row r="668">
      <c r="A668" s="53" t="n"/>
      <c r="B668" s="54">
        <f>IF(A668="","",YEAR(A668)&amp;" Q"&amp;ROUNDUP(MONTH(A668)/3,0))</f>
        <v/>
      </c>
      <c r="C668" s="55" t="n"/>
      <c r="D668" s="55" t="n"/>
      <c r="E668" s="55" t="n"/>
      <c r="F668" s="55" t="n"/>
      <c r="G668" s="56" t="n"/>
      <c r="H668" s="57" t="n"/>
      <c r="I668" s="58">
        <f>IF(G668="","",ROUND(G668*H668,2))</f>
        <v/>
      </c>
      <c r="J668" s="58">
        <f>IF(G668="","",G668+N(I668))</f>
        <v/>
      </c>
      <c r="K668" s="53" t="n"/>
      <c r="L668" s="54">
        <f>IF(G668="","",IF(OR(K668="",K668&gt;TODAY()),"Nog betalen","Betaald"))</f>
        <v/>
      </c>
    </row>
    <row r="669">
      <c r="A669" s="53" t="n"/>
      <c r="B669" s="54">
        <f>IF(A669="","",YEAR(A669)&amp;" Q"&amp;ROUNDUP(MONTH(A669)/3,0))</f>
        <v/>
      </c>
      <c r="C669" s="55" t="n"/>
      <c r="D669" s="55" t="n"/>
      <c r="E669" s="55" t="n"/>
      <c r="F669" s="55" t="n"/>
      <c r="G669" s="56" t="n"/>
      <c r="H669" s="57" t="n"/>
      <c r="I669" s="58">
        <f>IF(G669="","",ROUND(G669*H669,2))</f>
        <v/>
      </c>
      <c r="J669" s="58">
        <f>IF(G669="","",G669+N(I669))</f>
        <v/>
      </c>
      <c r="K669" s="53" t="n"/>
      <c r="L669" s="54">
        <f>IF(G669="","",IF(OR(K669="",K669&gt;TODAY()),"Nog betalen","Betaald"))</f>
        <v/>
      </c>
    </row>
    <row r="670">
      <c r="A670" s="53" t="n"/>
      <c r="B670" s="54">
        <f>IF(A670="","",YEAR(A670)&amp;" Q"&amp;ROUNDUP(MONTH(A670)/3,0))</f>
        <v/>
      </c>
      <c r="C670" s="55" t="n"/>
      <c r="D670" s="55" t="n"/>
      <c r="E670" s="55" t="n"/>
      <c r="F670" s="55" t="n"/>
      <c r="G670" s="56" t="n"/>
      <c r="H670" s="57" t="n"/>
      <c r="I670" s="58">
        <f>IF(G670="","",ROUND(G670*H670,2))</f>
        <v/>
      </c>
      <c r="J670" s="58">
        <f>IF(G670="","",G670+N(I670))</f>
        <v/>
      </c>
      <c r="K670" s="53" t="n"/>
      <c r="L670" s="54">
        <f>IF(G670="","",IF(OR(K670="",K670&gt;TODAY()),"Nog betalen","Betaald"))</f>
        <v/>
      </c>
    </row>
    <row r="671">
      <c r="A671" s="53" t="n"/>
      <c r="B671" s="54">
        <f>IF(A671="","",YEAR(A671)&amp;" Q"&amp;ROUNDUP(MONTH(A671)/3,0))</f>
        <v/>
      </c>
      <c r="C671" s="55" t="n"/>
      <c r="D671" s="55" t="n"/>
      <c r="E671" s="55" t="n"/>
      <c r="F671" s="55" t="n"/>
      <c r="G671" s="56" t="n"/>
      <c r="H671" s="57" t="n"/>
      <c r="I671" s="58">
        <f>IF(G671="","",ROUND(G671*H671,2))</f>
        <v/>
      </c>
      <c r="J671" s="58">
        <f>IF(G671="","",G671+N(I671))</f>
        <v/>
      </c>
      <c r="K671" s="53" t="n"/>
      <c r="L671" s="54">
        <f>IF(G671="","",IF(OR(K671="",K671&gt;TODAY()),"Nog betalen","Betaald"))</f>
        <v/>
      </c>
    </row>
    <row r="672">
      <c r="A672" s="53" t="n"/>
      <c r="B672" s="54">
        <f>IF(A672="","",YEAR(A672)&amp;" Q"&amp;ROUNDUP(MONTH(A672)/3,0))</f>
        <v/>
      </c>
      <c r="C672" s="55" t="n"/>
      <c r="D672" s="55" t="n"/>
      <c r="E672" s="55" t="n"/>
      <c r="F672" s="55" t="n"/>
      <c r="G672" s="56" t="n"/>
      <c r="H672" s="57" t="n"/>
      <c r="I672" s="58">
        <f>IF(G672="","",ROUND(G672*H672,2))</f>
        <v/>
      </c>
      <c r="J672" s="58">
        <f>IF(G672="","",G672+N(I672))</f>
        <v/>
      </c>
      <c r="K672" s="53" t="n"/>
      <c r="L672" s="54">
        <f>IF(G672="","",IF(OR(K672="",K672&gt;TODAY()),"Nog betalen","Betaald"))</f>
        <v/>
      </c>
    </row>
    <row r="673">
      <c r="A673" s="53" t="n"/>
      <c r="B673" s="54">
        <f>IF(A673="","",YEAR(A673)&amp;" Q"&amp;ROUNDUP(MONTH(A673)/3,0))</f>
        <v/>
      </c>
      <c r="C673" s="55" t="n"/>
      <c r="D673" s="55" t="n"/>
      <c r="E673" s="55" t="n"/>
      <c r="F673" s="55" t="n"/>
      <c r="G673" s="56" t="n"/>
      <c r="H673" s="57" t="n"/>
      <c r="I673" s="58">
        <f>IF(G673="","",ROUND(G673*H673,2))</f>
        <v/>
      </c>
      <c r="J673" s="58">
        <f>IF(G673="","",G673+N(I673))</f>
        <v/>
      </c>
      <c r="K673" s="53" t="n"/>
      <c r="L673" s="54">
        <f>IF(G673="","",IF(OR(K673="",K673&gt;TODAY()),"Nog betalen","Betaald"))</f>
        <v/>
      </c>
    </row>
    <row r="674">
      <c r="A674" s="53" t="n"/>
      <c r="B674" s="54">
        <f>IF(A674="","",YEAR(A674)&amp;" Q"&amp;ROUNDUP(MONTH(A674)/3,0))</f>
        <v/>
      </c>
      <c r="C674" s="55" t="n"/>
      <c r="D674" s="55" t="n"/>
      <c r="E674" s="55" t="n"/>
      <c r="F674" s="55" t="n"/>
      <c r="G674" s="56" t="n"/>
      <c r="H674" s="57" t="n"/>
      <c r="I674" s="58">
        <f>IF(G674="","",ROUND(G674*H674,2))</f>
        <v/>
      </c>
      <c r="J674" s="58">
        <f>IF(G674="","",G674+N(I674))</f>
        <v/>
      </c>
      <c r="K674" s="53" t="n"/>
      <c r="L674" s="54">
        <f>IF(G674="","",IF(OR(K674="",K674&gt;TODAY()),"Nog betalen","Betaald"))</f>
        <v/>
      </c>
    </row>
    <row r="675">
      <c r="A675" s="53" t="n"/>
      <c r="B675" s="54">
        <f>IF(A675="","",YEAR(A675)&amp;" Q"&amp;ROUNDUP(MONTH(A675)/3,0))</f>
        <v/>
      </c>
      <c r="C675" s="55" t="n"/>
      <c r="D675" s="55" t="n"/>
      <c r="E675" s="55" t="n"/>
      <c r="F675" s="55" t="n"/>
      <c r="G675" s="56" t="n"/>
      <c r="H675" s="57" t="n"/>
      <c r="I675" s="58">
        <f>IF(G675="","",ROUND(G675*H675,2))</f>
        <v/>
      </c>
      <c r="J675" s="58">
        <f>IF(G675="","",G675+N(I675))</f>
        <v/>
      </c>
      <c r="K675" s="53" t="n"/>
      <c r="L675" s="54">
        <f>IF(G675="","",IF(OR(K675="",K675&gt;TODAY()),"Nog betalen","Betaald"))</f>
        <v/>
      </c>
    </row>
    <row r="676">
      <c r="A676" s="53" t="n"/>
      <c r="B676" s="54">
        <f>IF(A676="","",YEAR(A676)&amp;" Q"&amp;ROUNDUP(MONTH(A676)/3,0))</f>
        <v/>
      </c>
      <c r="C676" s="55" t="n"/>
      <c r="D676" s="55" t="n"/>
      <c r="E676" s="55" t="n"/>
      <c r="F676" s="55" t="n"/>
      <c r="G676" s="56" t="n"/>
      <c r="H676" s="57" t="n"/>
      <c r="I676" s="58">
        <f>IF(G676="","",ROUND(G676*H676,2))</f>
        <v/>
      </c>
      <c r="J676" s="58">
        <f>IF(G676="","",G676+N(I676))</f>
        <v/>
      </c>
      <c r="K676" s="53" t="n"/>
      <c r="L676" s="54">
        <f>IF(G676="","",IF(OR(K676="",K676&gt;TODAY()),"Nog betalen","Betaald"))</f>
        <v/>
      </c>
    </row>
    <row r="677">
      <c r="A677" s="53" t="n"/>
      <c r="B677" s="54">
        <f>IF(A677="","",YEAR(A677)&amp;" Q"&amp;ROUNDUP(MONTH(A677)/3,0))</f>
        <v/>
      </c>
      <c r="C677" s="55" t="n"/>
      <c r="D677" s="55" t="n"/>
      <c r="E677" s="55" t="n"/>
      <c r="F677" s="55" t="n"/>
      <c r="G677" s="56" t="n"/>
      <c r="H677" s="57" t="n"/>
      <c r="I677" s="58">
        <f>IF(G677="","",ROUND(G677*H677,2))</f>
        <v/>
      </c>
      <c r="J677" s="58">
        <f>IF(G677="","",G677+N(I677))</f>
        <v/>
      </c>
      <c r="K677" s="53" t="n"/>
      <c r="L677" s="54">
        <f>IF(G677="","",IF(OR(K677="",K677&gt;TODAY()),"Nog betalen","Betaald"))</f>
        <v/>
      </c>
    </row>
    <row r="678">
      <c r="A678" s="53" t="n"/>
      <c r="B678" s="54">
        <f>IF(A678="","",YEAR(A678)&amp;" Q"&amp;ROUNDUP(MONTH(A678)/3,0))</f>
        <v/>
      </c>
      <c r="C678" s="55" t="n"/>
      <c r="D678" s="55" t="n"/>
      <c r="E678" s="55" t="n"/>
      <c r="F678" s="55" t="n"/>
      <c r="G678" s="56" t="n"/>
      <c r="H678" s="57" t="n"/>
      <c r="I678" s="58">
        <f>IF(G678="","",ROUND(G678*H678,2))</f>
        <v/>
      </c>
      <c r="J678" s="58">
        <f>IF(G678="","",G678+N(I678))</f>
        <v/>
      </c>
      <c r="K678" s="53" t="n"/>
      <c r="L678" s="54">
        <f>IF(G678="","",IF(OR(K678="",K678&gt;TODAY()),"Nog betalen","Betaald"))</f>
        <v/>
      </c>
    </row>
    <row r="679">
      <c r="A679" s="53" t="n"/>
      <c r="B679" s="54">
        <f>IF(A679="","",YEAR(A679)&amp;" Q"&amp;ROUNDUP(MONTH(A679)/3,0))</f>
        <v/>
      </c>
      <c r="C679" s="55" t="n"/>
      <c r="D679" s="55" t="n"/>
      <c r="E679" s="55" t="n"/>
      <c r="F679" s="55" t="n"/>
      <c r="G679" s="56" t="n"/>
      <c r="H679" s="57" t="n"/>
      <c r="I679" s="58">
        <f>IF(G679="","",ROUND(G679*H679,2))</f>
        <v/>
      </c>
      <c r="J679" s="58">
        <f>IF(G679="","",G679+N(I679))</f>
        <v/>
      </c>
      <c r="K679" s="53" t="n"/>
      <c r="L679" s="54">
        <f>IF(G679="","",IF(OR(K679="",K679&gt;TODAY()),"Nog betalen","Betaald"))</f>
        <v/>
      </c>
    </row>
    <row r="680">
      <c r="A680" s="53" t="n"/>
      <c r="B680" s="54">
        <f>IF(A680="","",YEAR(A680)&amp;" Q"&amp;ROUNDUP(MONTH(A680)/3,0))</f>
        <v/>
      </c>
      <c r="C680" s="55" t="n"/>
      <c r="D680" s="55" t="n"/>
      <c r="E680" s="55" t="n"/>
      <c r="F680" s="55" t="n"/>
      <c r="G680" s="56" t="n"/>
      <c r="H680" s="57" t="n"/>
      <c r="I680" s="58">
        <f>IF(G680="","",ROUND(G680*H680,2))</f>
        <v/>
      </c>
      <c r="J680" s="58">
        <f>IF(G680="","",G680+N(I680))</f>
        <v/>
      </c>
      <c r="K680" s="53" t="n"/>
      <c r="L680" s="54">
        <f>IF(G680="","",IF(OR(K680="",K680&gt;TODAY()),"Nog betalen","Betaald"))</f>
        <v/>
      </c>
    </row>
    <row r="681">
      <c r="A681" s="53" t="n"/>
      <c r="B681" s="54">
        <f>IF(A681="","",YEAR(A681)&amp;" Q"&amp;ROUNDUP(MONTH(A681)/3,0))</f>
        <v/>
      </c>
      <c r="C681" s="55" t="n"/>
      <c r="D681" s="55" t="n"/>
      <c r="E681" s="55" t="n"/>
      <c r="F681" s="55" t="n"/>
      <c r="G681" s="56" t="n"/>
      <c r="H681" s="57" t="n"/>
      <c r="I681" s="58">
        <f>IF(G681="","",ROUND(G681*H681,2))</f>
        <v/>
      </c>
      <c r="J681" s="58">
        <f>IF(G681="","",G681+N(I681))</f>
        <v/>
      </c>
      <c r="K681" s="53" t="n"/>
      <c r="L681" s="54">
        <f>IF(G681="","",IF(OR(K681="",K681&gt;TODAY()),"Nog betalen","Betaald"))</f>
        <v/>
      </c>
    </row>
    <row r="682">
      <c r="A682" s="53" t="n"/>
      <c r="B682" s="54">
        <f>IF(A682="","",YEAR(A682)&amp;" Q"&amp;ROUNDUP(MONTH(A682)/3,0))</f>
        <v/>
      </c>
      <c r="C682" s="55" t="n"/>
      <c r="D682" s="55" t="n"/>
      <c r="E682" s="55" t="n"/>
      <c r="F682" s="55" t="n"/>
      <c r="G682" s="56" t="n"/>
      <c r="H682" s="57" t="n"/>
      <c r="I682" s="58">
        <f>IF(G682="","",ROUND(G682*H682,2))</f>
        <v/>
      </c>
      <c r="J682" s="58">
        <f>IF(G682="","",G682+N(I682))</f>
        <v/>
      </c>
      <c r="K682" s="53" t="n"/>
      <c r="L682" s="54">
        <f>IF(G682="","",IF(OR(K682="",K682&gt;TODAY()),"Nog betalen","Betaald"))</f>
        <v/>
      </c>
    </row>
    <row r="683">
      <c r="A683" s="53" t="n"/>
      <c r="B683" s="54">
        <f>IF(A683="","",YEAR(A683)&amp;" Q"&amp;ROUNDUP(MONTH(A683)/3,0))</f>
        <v/>
      </c>
      <c r="C683" s="55" t="n"/>
      <c r="D683" s="55" t="n"/>
      <c r="E683" s="55" t="n"/>
      <c r="F683" s="55" t="n"/>
      <c r="G683" s="56" t="n"/>
      <c r="H683" s="57" t="n"/>
      <c r="I683" s="58">
        <f>IF(G683="","",ROUND(G683*H683,2))</f>
        <v/>
      </c>
      <c r="J683" s="58">
        <f>IF(G683="","",G683+N(I683))</f>
        <v/>
      </c>
      <c r="K683" s="53" t="n"/>
      <c r="L683" s="54">
        <f>IF(G683="","",IF(OR(K683="",K683&gt;TODAY()),"Nog betalen","Betaald"))</f>
        <v/>
      </c>
    </row>
    <row r="684">
      <c r="A684" s="53" t="n"/>
      <c r="B684" s="54">
        <f>IF(A684="","",YEAR(A684)&amp;" Q"&amp;ROUNDUP(MONTH(A684)/3,0))</f>
        <v/>
      </c>
      <c r="C684" s="55" t="n"/>
      <c r="D684" s="55" t="n"/>
      <c r="E684" s="55" t="n"/>
      <c r="F684" s="55" t="n"/>
      <c r="G684" s="56" t="n"/>
      <c r="H684" s="57" t="n"/>
      <c r="I684" s="58">
        <f>IF(G684="","",ROUND(G684*H684,2))</f>
        <v/>
      </c>
      <c r="J684" s="58">
        <f>IF(G684="","",G684+N(I684))</f>
        <v/>
      </c>
      <c r="K684" s="53" t="n"/>
      <c r="L684" s="54">
        <f>IF(G684="","",IF(OR(K684="",K684&gt;TODAY()),"Nog betalen","Betaald"))</f>
        <v/>
      </c>
    </row>
    <row r="685">
      <c r="A685" s="53" t="n"/>
      <c r="B685" s="54">
        <f>IF(A685="","",YEAR(A685)&amp;" Q"&amp;ROUNDUP(MONTH(A685)/3,0))</f>
        <v/>
      </c>
      <c r="C685" s="55" t="n"/>
      <c r="D685" s="55" t="n"/>
      <c r="E685" s="55" t="n"/>
      <c r="F685" s="55" t="n"/>
      <c r="G685" s="56" t="n"/>
      <c r="H685" s="57" t="n"/>
      <c r="I685" s="58">
        <f>IF(G685="","",ROUND(G685*H685,2))</f>
        <v/>
      </c>
      <c r="J685" s="58">
        <f>IF(G685="","",G685+N(I685))</f>
        <v/>
      </c>
      <c r="K685" s="53" t="n"/>
      <c r="L685" s="54">
        <f>IF(G685="","",IF(OR(K685="",K685&gt;TODAY()),"Nog betalen","Betaald"))</f>
        <v/>
      </c>
    </row>
    <row r="686">
      <c r="A686" s="53" t="n"/>
      <c r="B686" s="54">
        <f>IF(A686="","",YEAR(A686)&amp;" Q"&amp;ROUNDUP(MONTH(A686)/3,0))</f>
        <v/>
      </c>
      <c r="C686" s="55" t="n"/>
      <c r="D686" s="55" t="n"/>
      <c r="E686" s="55" t="n"/>
      <c r="F686" s="55" t="n"/>
      <c r="G686" s="56" t="n"/>
      <c r="H686" s="57" t="n"/>
      <c r="I686" s="58">
        <f>IF(G686="","",ROUND(G686*H686,2))</f>
        <v/>
      </c>
      <c r="J686" s="58">
        <f>IF(G686="","",G686+N(I686))</f>
        <v/>
      </c>
      <c r="K686" s="53" t="n"/>
      <c r="L686" s="54">
        <f>IF(G686="","",IF(OR(K686="",K686&gt;TODAY()),"Nog betalen","Betaald"))</f>
        <v/>
      </c>
    </row>
    <row r="687">
      <c r="A687" s="53" t="n"/>
      <c r="B687" s="54">
        <f>IF(A687="","",YEAR(A687)&amp;" Q"&amp;ROUNDUP(MONTH(A687)/3,0))</f>
        <v/>
      </c>
      <c r="C687" s="55" t="n"/>
      <c r="D687" s="55" t="n"/>
      <c r="E687" s="55" t="n"/>
      <c r="F687" s="55" t="n"/>
      <c r="G687" s="56" t="n"/>
      <c r="H687" s="57" t="n"/>
      <c r="I687" s="58">
        <f>IF(G687="","",ROUND(G687*H687,2))</f>
        <v/>
      </c>
      <c r="J687" s="58">
        <f>IF(G687="","",G687+N(I687))</f>
        <v/>
      </c>
      <c r="K687" s="53" t="n"/>
      <c r="L687" s="54">
        <f>IF(G687="","",IF(OR(K687="",K687&gt;TODAY()),"Nog betalen","Betaald"))</f>
        <v/>
      </c>
    </row>
    <row r="688">
      <c r="A688" s="53" t="n"/>
      <c r="B688" s="54">
        <f>IF(A688="","",YEAR(A688)&amp;" Q"&amp;ROUNDUP(MONTH(A688)/3,0))</f>
        <v/>
      </c>
      <c r="C688" s="55" t="n"/>
      <c r="D688" s="55" t="n"/>
      <c r="E688" s="55" t="n"/>
      <c r="F688" s="55" t="n"/>
      <c r="G688" s="56" t="n"/>
      <c r="H688" s="57" t="n"/>
      <c r="I688" s="58">
        <f>IF(G688="","",ROUND(G688*H688,2))</f>
        <v/>
      </c>
      <c r="J688" s="58">
        <f>IF(G688="","",G688+N(I688))</f>
        <v/>
      </c>
      <c r="K688" s="53" t="n"/>
      <c r="L688" s="54">
        <f>IF(G688="","",IF(OR(K688="",K688&gt;TODAY()),"Nog betalen","Betaald"))</f>
        <v/>
      </c>
    </row>
    <row r="689">
      <c r="A689" s="53" t="n"/>
      <c r="B689" s="54">
        <f>IF(A689="","",YEAR(A689)&amp;" Q"&amp;ROUNDUP(MONTH(A689)/3,0))</f>
        <v/>
      </c>
      <c r="C689" s="55" t="n"/>
      <c r="D689" s="55" t="n"/>
      <c r="E689" s="55" t="n"/>
      <c r="F689" s="55" t="n"/>
      <c r="G689" s="56" t="n"/>
      <c r="H689" s="57" t="n"/>
      <c r="I689" s="58">
        <f>IF(G689="","",ROUND(G689*H689,2))</f>
        <v/>
      </c>
      <c r="J689" s="58">
        <f>IF(G689="","",G689+N(I689))</f>
        <v/>
      </c>
      <c r="K689" s="53" t="n"/>
      <c r="L689" s="54">
        <f>IF(G689="","",IF(OR(K689="",K689&gt;TODAY()),"Nog betalen","Betaald"))</f>
        <v/>
      </c>
    </row>
    <row r="690">
      <c r="A690" s="53" t="n"/>
      <c r="B690" s="54">
        <f>IF(A690="","",YEAR(A690)&amp;" Q"&amp;ROUNDUP(MONTH(A690)/3,0))</f>
        <v/>
      </c>
      <c r="C690" s="55" t="n"/>
      <c r="D690" s="55" t="n"/>
      <c r="E690" s="55" t="n"/>
      <c r="F690" s="55" t="n"/>
      <c r="G690" s="56" t="n"/>
      <c r="H690" s="57" t="n"/>
      <c r="I690" s="58">
        <f>IF(G690="","",ROUND(G690*H690,2))</f>
        <v/>
      </c>
      <c r="J690" s="58">
        <f>IF(G690="","",G690+N(I690))</f>
        <v/>
      </c>
      <c r="K690" s="53" t="n"/>
      <c r="L690" s="54">
        <f>IF(G690="","",IF(OR(K690="",K690&gt;TODAY()),"Nog betalen","Betaald"))</f>
        <v/>
      </c>
    </row>
    <row r="691">
      <c r="A691" s="53" t="n"/>
      <c r="B691" s="54">
        <f>IF(A691="","",YEAR(A691)&amp;" Q"&amp;ROUNDUP(MONTH(A691)/3,0))</f>
        <v/>
      </c>
      <c r="C691" s="55" t="n"/>
      <c r="D691" s="55" t="n"/>
      <c r="E691" s="55" t="n"/>
      <c r="F691" s="55" t="n"/>
      <c r="G691" s="56" t="n"/>
      <c r="H691" s="57" t="n"/>
      <c r="I691" s="58">
        <f>IF(G691="","",ROUND(G691*H691,2))</f>
        <v/>
      </c>
      <c r="J691" s="58">
        <f>IF(G691="","",G691+N(I691))</f>
        <v/>
      </c>
      <c r="K691" s="53" t="n"/>
      <c r="L691" s="54">
        <f>IF(G691="","",IF(OR(K691="",K691&gt;TODAY()),"Nog betalen","Betaald"))</f>
        <v/>
      </c>
    </row>
    <row r="692">
      <c r="A692" s="53" t="n"/>
      <c r="B692" s="54">
        <f>IF(A692="","",YEAR(A692)&amp;" Q"&amp;ROUNDUP(MONTH(A692)/3,0))</f>
        <v/>
      </c>
      <c r="C692" s="55" t="n"/>
      <c r="D692" s="55" t="n"/>
      <c r="E692" s="55" t="n"/>
      <c r="F692" s="55" t="n"/>
      <c r="G692" s="56" t="n"/>
      <c r="H692" s="57" t="n"/>
      <c r="I692" s="58">
        <f>IF(G692="","",ROUND(G692*H692,2))</f>
        <v/>
      </c>
      <c r="J692" s="58">
        <f>IF(G692="","",G692+N(I692))</f>
        <v/>
      </c>
      <c r="K692" s="53" t="n"/>
      <c r="L692" s="54">
        <f>IF(G692="","",IF(OR(K692="",K692&gt;TODAY()),"Nog betalen","Betaald"))</f>
        <v/>
      </c>
    </row>
    <row r="693">
      <c r="A693" s="53" t="n"/>
      <c r="B693" s="54">
        <f>IF(A693="","",YEAR(A693)&amp;" Q"&amp;ROUNDUP(MONTH(A693)/3,0))</f>
        <v/>
      </c>
      <c r="C693" s="55" t="n"/>
      <c r="D693" s="55" t="n"/>
      <c r="E693" s="55" t="n"/>
      <c r="F693" s="55" t="n"/>
      <c r="G693" s="56" t="n"/>
      <c r="H693" s="57" t="n"/>
      <c r="I693" s="58">
        <f>IF(G693="","",ROUND(G693*H693,2))</f>
        <v/>
      </c>
      <c r="J693" s="58">
        <f>IF(G693="","",G693+N(I693))</f>
        <v/>
      </c>
      <c r="K693" s="53" t="n"/>
      <c r="L693" s="54">
        <f>IF(G693="","",IF(OR(K693="",K693&gt;TODAY()),"Nog betalen","Betaald"))</f>
        <v/>
      </c>
    </row>
    <row r="694">
      <c r="A694" s="53" t="n"/>
      <c r="B694" s="54">
        <f>IF(A694="","",YEAR(A694)&amp;" Q"&amp;ROUNDUP(MONTH(A694)/3,0))</f>
        <v/>
      </c>
      <c r="C694" s="55" t="n"/>
      <c r="D694" s="55" t="n"/>
      <c r="E694" s="55" t="n"/>
      <c r="F694" s="55" t="n"/>
      <c r="G694" s="56" t="n"/>
      <c r="H694" s="57" t="n"/>
      <c r="I694" s="58">
        <f>IF(G694="","",ROUND(G694*H694,2))</f>
        <v/>
      </c>
      <c r="J694" s="58">
        <f>IF(G694="","",G694+N(I694))</f>
        <v/>
      </c>
      <c r="K694" s="53" t="n"/>
      <c r="L694" s="54">
        <f>IF(G694="","",IF(OR(K694="",K694&gt;TODAY()),"Nog betalen","Betaald"))</f>
        <v/>
      </c>
    </row>
    <row r="695">
      <c r="A695" s="53" t="n"/>
      <c r="B695" s="54">
        <f>IF(A695="","",YEAR(A695)&amp;" Q"&amp;ROUNDUP(MONTH(A695)/3,0))</f>
        <v/>
      </c>
      <c r="C695" s="55" t="n"/>
      <c r="D695" s="55" t="n"/>
      <c r="E695" s="55" t="n"/>
      <c r="F695" s="55" t="n"/>
      <c r="G695" s="56" t="n"/>
      <c r="H695" s="57" t="n"/>
      <c r="I695" s="58">
        <f>IF(G695="","",ROUND(G695*H695,2))</f>
        <v/>
      </c>
      <c r="J695" s="58">
        <f>IF(G695="","",G695+N(I695))</f>
        <v/>
      </c>
      <c r="K695" s="53" t="n"/>
      <c r="L695" s="54">
        <f>IF(G695="","",IF(OR(K695="",K695&gt;TODAY()),"Nog betalen","Betaald"))</f>
        <v/>
      </c>
    </row>
    <row r="696">
      <c r="A696" s="53" t="n"/>
      <c r="B696" s="54">
        <f>IF(A696="","",YEAR(A696)&amp;" Q"&amp;ROUNDUP(MONTH(A696)/3,0))</f>
        <v/>
      </c>
      <c r="C696" s="55" t="n"/>
      <c r="D696" s="55" t="n"/>
      <c r="E696" s="55" t="n"/>
      <c r="F696" s="55" t="n"/>
      <c r="G696" s="56" t="n"/>
      <c r="H696" s="57" t="n"/>
      <c r="I696" s="58">
        <f>IF(G696="","",ROUND(G696*H696,2))</f>
        <v/>
      </c>
      <c r="J696" s="58">
        <f>IF(G696="","",G696+N(I696))</f>
        <v/>
      </c>
      <c r="K696" s="53" t="n"/>
      <c r="L696" s="54">
        <f>IF(G696="","",IF(OR(K696="",K696&gt;TODAY()),"Nog betalen","Betaald"))</f>
        <v/>
      </c>
    </row>
    <row r="697">
      <c r="A697" s="53" t="n"/>
      <c r="B697" s="54">
        <f>IF(A697="","",YEAR(A697)&amp;" Q"&amp;ROUNDUP(MONTH(A697)/3,0))</f>
        <v/>
      </c>
      <c r="C697" s="55" t="n"/>
      <c r="D697" s="55" t="n"/>
      <c r="E697" s="55" t="n"/>
      <c r="F697" s="55" t="n"/>
      <c r="G697" s="56" t="n"/>
      <c r="H697" s="57" t="n"/>
      <c r="I697" s="58">
        <f>IF(G697="","",ROUND(G697*H697,2))</f>
        <v/>
      </c>
      <c r="J697" s="58">
        <f>IF(G697="","",G697+N(I697))</f>
        <v/>
      </c>
      <c r="K697" s="53" t="n"/>
      <c r="L697" s="54">
        <f>IF(G697="","",IF(OR(K697="",K697&gt;TODAY()),"Nog betalen","Betaald"))</f>
        <v/>
      </c>
    </row>
    <row r="698">
      <c r="A698" s="53" t="n"/>
      <c r="B698" s="54">
        <f>IF(A698="","",YEAR(A698)&amp;" Q"&amp;ROUNDUP(MONTH(A698)/3,0))</f>
        <v/>
      </c>
      <c r="C698" s="55" t="n"/>
      <c r="D698" s="55" t="n"/>
      <c r="E698" s="55" t="n"/>
      <c r="F698" s="55" t="n"/>
      <c r="G698" s="56" t="n"/>
      <c r="H698" s="57" t="n"/>
      <c r="I698" s="58">
        <f>IF(G698="","",ROUND(G698*H698,2))</f>
        <v/>
      </c>
      <c r="J698" s="58">
        <f>IF(G698="","",G698+N(I698))</f>
        <v/>
      </c>
      <c r="K698" s="53" t="n"/>
      <c r="L698" s="54">
        <f>IF(G698="","",IF(OR(K698="",K698&gt;TODAY()),"Nog betalen","Betaald"))</f>
        <v/>
      </c>
    </row>
    <row r="699">
      <c r="A699" s="53" t="n"/>
      <c r="B699" s="54">
        <f>IF(A699="","",YEAR(A699)&amp;" Q"&amp;ROUNDUP(MONTH(A699)/3,0))</f>
        <v/>
      </c>
      <c r="C699" s="55" t="n"/>
      <c r="D699" s="55" t="n"/>
      <c r="E699" s="55" t="n"/>
      <c r="F699" s="55" t="n"/>
      <c r="G699" s="56" t="n"/>
      <c r="H699" s="57" t="n"/>
      <c r="I699" s="58">
        <f>IF(G699="","",ROUND(G699*H699,2))</f>
        <v/>
      </c>
      <c r="J699" s="58">
        <f>IF(G699="","",G699+N(I699))</f>
        <v/>
      </c>
      <c r="K699" s="53" t="n"/>
      <c r="L699" s="54">
        <f>IF(G699="","",IF(OR(K699="",K699&gt;TODAY()),"Nog betalen","Betaald"))</f>
        <v/>
      </c>
    </row>
    <row r="700">
      <c r="A700" s="53" t="n"/>
      <c r="B700" s="54">
        <f>IF(A700="","",YEAR(A700)&amp;" Q"&amp;ROUNDUP(MONTH(A700)/3,0))</f>
        <v/>
      </c>
      <c r="C700" s="55" t="n"/>
      <c r="D700" s="55" t="n"/>
      <c r="E700" s="55" t="n"/>
      <c r="F700" s="55" t="n"/>
      <c r="G700" s="56" t="n"/>
      <c r="H700" s="57" t="n"/>
      <c r="I700" s="58">
        <f>IF(G700="","",ROUND(G700*H700,2))</f>
        <v/>
      </c>
      <c r="J700" s="58">
        <f>IF(G700="","",G700+N(I700))</f>
        <v/>
      </c>
      <c r="K700" s="53" t="n"/>
      <c r="L700" s="54">
        <f>IF(G700="","",IF(OR(K700="",K700&gt;TODAY()),"Nog betalen","Betaald"))</f>
        <v/>
      </c>
    </row>
    <row r="701">
      <c r="A701" s="53" t="n"/>
      <c r="B701" s="54">
        <f>IF(A701="","",YEAR(A701)&amp;" Q"&amp;ROUNDUP(MONTH(A701)/3,0))</f>
        <v/>
      </c>
      <c r="C701" s="55" t="n"/>
      <c r="D701" s="55" t="n"/>
      <c r="E701" s="55" t="n"/>
      <c r="F701" s="55" t="n"/>
      <c r="G701" s="56" t="n"/>
      <c r="H701" s="57" t="n"/>
      <c r="I701" s="58">
        <f>IF(G701="","",ROUND(G701*H701,2))</f>
        <v/>
      </c>
      <c r="J701" s="58">
        <f>IF(G701="","",G701+N(I701))</f>
        <v/>
      </c>
      <c r="K701" s="53" t="n"/>
      <c r="L701" s="54">
        <f>IF(G701="","",IF(OR(K701="",K701&gt;TODAY()),"Nog betalen","Betaald"))</f>
        <v/>
      </c>
    </row>
    <row r="702">
      <c r="A702" s="53" t="n"/>
      <c r="B702" s="54">
        <f>IF(A702="","",YEAR(A702)&amp;" Q"&amp;ROUNDUP(MONTH(A702)/3,0))</f>
        <v/>
      </c>
      <c r="C702" s="55" t="n"/>
      <c r="D702" s="55" t="n"/>
      <c r="E702" s="55" t="n"/>
      <c r="F702" s="55" t="n"/>
      <c r="G702" s="56" t="n"/>
      <c r="H702" s="57" t="n"/>
      <c r="I702" s="58">
        <f>IF(G702="","",ROUND(G702*H702,2))</f>
        <v/>
      </c>
      <c r="J702" s="58">
        <f>IF(G702="","",G702+N(I702))</f>
        <v/>
      </c>
      <c r="K702" s="53" t="n"/>
      <c r="L702" s="54">
        <f>IF(G702="","",IF(OR(K702="",K702&gt;TODAY()),"Nog betalen","Betaald"))</f>
        <v/>
      </c>
    </row>
    <row r="703">
      <c r="A703" s="53" t="n"/>
      <c r="B703" s="54">
        <f>IF(A703="","",YEAR(A703)&amp;" Q"&amp;ROUNDUP(MONTH(A703)/3,0))</f>
        <v/>
      </c>
      <c r="C703" s="55" t="n"/>
      <c r="D703" s="55" t="n"/>
      <c r="E703" s="55" t="n"/>
      <c r="F703" s="55" t="n"/>
      <c r="G703" s="56" t="n"/>
      <c r="H703" s="57" t="n"/>
      <c r="I703" s="58">
        <f>IF(G703="","",ROUND(G703*H703,2))</f>
        <v/>
      </c>
      <c r="J703" s="58">
        <f>IF(G703="","",G703+N(I703))</f>
        <v/>
      </c>
      <c r="K703" s="53" t="n"/>
      <c r="L703" s="54">
        <f>IF(G703="","",IF(OR(K703="",K703&gt;TODAY()),"Nog betalen","Betaald"))</f>
        <v/>
      </c>
    </row>
    <row r="704">
      <c r="A704" s="53" t="n"/>
      <c r="B704" s="54">
        <f>IF(A704="","",YEAR(A704)&amp;" Q"&amp;ROUNDUP(MONTH(A704)/3,0))</f>
        <v/>
      </c>
      <c r="C704" s="55" t="n"/>
      <c r="D704" s="55" t="n"/>
      <c r="E704" s="55" t="n"/>
      <c r="F704" s="55" t="n"/>
      <c r="G704" s="56" t="n"/>
      <c r="H704" s="57" t="n"/>
      <c r="I704" s="58">
        <f>IF(G704="","",ROUND(G704*H704,2))</f>
        <v/>
      </c>
      <c r="J704" s="58">
        <f>IF(G704="","",G704+N(I704))</f>
        <v/>
      </c>
      <c r="K704" s="53" t="n"/>
      <c r="L704" s="54">
        <f>IF(G704="","",IF(OR(K704="",K704&gt;TODAY()),"Nog betalen","Betaald"))</f>
        <v/>
      </c>
    </row>
    <row r="705">
      <c r="A705" s="53" t="n"/>
      <c r="B705" s="54">
        <f>IF(A705="","",YEAR(A705)&amp;" Q"&amp;ROUNDUP(MONTH(A705)/3,0))</f>
        <v/>
      </c>
      <c r="C705" s="55" t="n"/>
      <c r="D705" s="55" t="n"/>
      <c r="E705" s="55" t="n"/>
      <c r="F705" s="55" t="n"/>
      <c r="G705" s="56" t="n"/>
      <c r="H705" s="57" t="n"/>
      <c r="I705" s="58">
        <f>IF(G705="","",ROUND(G705*H705,2))</f>
        <v/>
      </c>
      <c r="J705" s="58">
        <f>IF(G705="","",G705+N(I705))</f>
        <v/>
      </c>
      <c r="K705" s="53" t="n"/>
      <c r="L705" s="54">
        <f>IF(G705="","",IF(OR(K705="",K705&gt;TODAY()),"Nog betalen","Betaald"))</f>
        <v/>
      </c>
    </row>
    <row r="706">
      <c r="A706" s="53" t="n"/>
      <c r="B706" s="54">
        <f>IF(A706="","",YEAR(A706)&amp;" Q"&amp;ROUNDUP(MONTH(A706)/3,0))</f>
        <v/>
      </c>
      <c r="C706" s="55" t="n"/>
      <c r="D706" s="55" t="n"/>
      <c r="E706" s="55" t="n"/>
      <c r="F706" s="55" t="n"/>
      <c r="G706" s="56" t="n"/>
      <c r="H706" s="57" t="n"/>
      <c r="I706" s="58">
        <f>IF(G706="","",ROUND(G706*H706,2))</f>
        <v/>
      </c>
      <c r="J706" s="58">
        <f>IF(G706="","",G706+N(I706))</f>
        <v/>
      </c>
      <c r="K706" s="53" t="n"/>
      <c r="L706" s="54">
        <f>IF(G706="","",IF(OR(K706="",K706&gt;TODAY()),"Nog betalen","Betaald"))</f>
        <v/>
      </c>
    </row>
    <row r="707">
      <c r="A707" s="53" t="n"/>
      <c r="B707" s="54">
        <f>IF(A707="","",YEAR(A707)&amp;" Q"&amp;ROUNDUP(MONTH(A707)/3,0))</f>
        <v/>
      </c>
      <c r="C707" s="55" t="n"/>
      <c r="D707" s="55" t="n"/>
      <c r="E707" s="55" t="n"/>
      <c r="F707" s="55" t="n"/>
      <c r="G707" s="56" t="n"/>
      <c r="H707" s="57" t="n"/>
      <c r="I707" s="58">
        <f>IF(G707="","",ROUND(G707*H707,2))</f>
        <v/>
      </c>
      <c r="J707" s="58">
        <f>IF(G707="","",G707+N(I707))</f>
        <v/>
      </c>
      <c r="K707" s="53" t="n"/>
      <c r="L707" s="54">
        <f>IF(G707="","",IF(OR(K707="",K707&gt;TODAY()),"Nog betalen","Betaald"))</f>
        <v/>
      </c>
    </row>
    <row r="708">
      <c r="A708" s="53" t="n"/>
      <c r="B708" s="54">
        <f>IF(A708="","",YEAR(A708)&amp;" Q"&amp;ROUNDUP(MONTH(A708)/3,0))</f>
        <v/>
      </c>
      <c r="C708" s="55" t="n"/>
      <c r="D708" s="55" t="n"/>
      <c r="E708" s="55" t="n"/>
      <c r="F708" s="55" t="n"/>
      <c r="G708" s="56" t="n"/>
      <c r="H708" s="57" t="n"/>
      <c r="I708" s="58">
        <f>IF(G708="","",ROUND(G708*H708,2))</f>
        <v/>
      </c>
      <c r="J708" s="58">
        <f>IF(G708="","",G708+N(I708))</f>
        <v/>
      </c>
      <c r="K708" s="53" t="n"/>
      <c r="L708" s="54">
        <f>IF(G708="","",IF(OR(K708="",K708&gt;TODAY()),"Nog betalen","Betaald"))</f>
        <v/>
      </c>
    </row>
    <row r="709">
      <c r="A709" s="53" t="n"/>
      <c r="B709" s="54">
        <f>IF(A709="","",YEAR(A709)&amp;" Q"&amp;ROUNDUP(MONTH(A709)/3,0))</f>
        <v/>
      </c>
      <c r="C709" s="55" t="n"/>
      <c r="D709" s="55" t="n"/>
      <c r="E709" s="55" t="n"/>
      <c r="F709" s="55" t="n"/>
      <c r="G709" s="56" t="n"/>
      <c r="H709" s="57" t="n"/>
      <c r="I709" s="58">
        <f>IF(G709="","",ROUND(G709*H709,2))</f>
        <v/>
      </c>
      <c r="J709" s="58">
        <f>IF(G709="","",G709+N(I709))</f>
        <v/>
      </c>
      <c r="K709" s="53" t="n"/>
      <c r="L709" s="54">
        <f>IF(G709="","",IF(OR(K709="",K709&gt;TODAY()),"Nog betalen","Betaald"))</f>
        <v/>
      </c>
    </row>
    <row r="710">
      <c r="A710" s="53" t="n"/>
      <c r="B710" s="54">
        <f>IF(A710="","",YEAR(A710)&amp;" Q"&amp;ROUNDUP(MONTH(A710)/3,0))</f>
        <v/>
      </c>
      <c r="C710" s="55" t="n"/>
      <c r="D710" s="55" t="n"/>
      <c r="E710" s="55" t="n"/>
      <c r="F710" s="55" t="n"/>
      <c r="G710" s="56" t="n"/>
      <c r="H710" s="57" t="n"/>
      <c r="I710" s="58">
        <f>IF(G710="","",ROUND(G710*H710,2))</f>
        <v/>
      </c>
      <c r="J710" s="58">
        <f>IF(G710="","",G710+N(I710))</f>
        <v/>
      </c>
      <c r="K710" s="53" t="n"/>
      <c r="L710" s="54">
        <f>IF(G710="","",IF(OR(K710="",K710&gt;TODAY()),"Nog betalen","Betaald"))</f>
        <v/>
      </c>
    </row>
    <row r="711">
      <c r="A711" s="53" t="n"/>
      <c r="B711" s="54">
        <f>IF(A711="","",YEAR(A711)&amp;" Q"&amp;ROUNDUP(MONTH(A711)/3,0))</f>
        <v/>
      </c>
      <c r="C711" s="55" t="n"/>
      <c r="D711" s="55" t="n"/>
      <c r="E711" s="55" t="n"/>
      <c r="F711" s="55" t="n"/>
      <c r="G711" s="56" t="n"/>
      <c r="H711" s="57" t="n"/>
      <c r="I711" s="58">
        <f>IF(G711="","",ROUND(G711*H711,2))</f>
        <v/>
      </c>
      <c r="J711" s="58">
        <f>IF(G711="","",G711+N(I711))</f>
        <v/>
      </c>
      <c r="K711" s="53" t="n"/>
      <c r="L711" s="54">
        <f>IF(G711="","",IF(OR(K711="",K711&gt;TODAY()),"Nog betalen","Betaald"))</f>
        <v/>
      </c>
    </row>
    <row r="712">
      <c r="A712" s="53" t="n"/>
      <c r="B712" s="54">
        <f>IF(A712="","",YEAR(A712)&amp;" Q"&amp;ROUNDUP(MONTH(A712)/3,0))</f>
        <v/>
      </c>
      <c r="C712" s="55" t="n"/>
      <c r="D712" s="55" t="n"/>
      <c r="E712" s="55" t="n"/>
      <c r="F712" s="55" t="n"/>
      <c r="G712" s="56" t="n"/>
      <c r="H712" s="57" t="n"/>
      <c r="I712" s="58">
        <f>IF(G712="","",ROUND(G712*H712,2))</f>
        <v/>
      </c>
      <c r="J712" s="58">
        <f>IF(G712="","",G712+N(I712))</f>
        <v/>
      </c>
      <c r="K712" s="53" t="n"/>
      <c r="L712" s="54">
        <f>IF(G712="","",IF(OR(K712="",K712&gt;TODAY()),"Nog betalen","Betaald"))</f>
        <v/>
      </c>
    </row>
    <row r="713">
      <c r="A713" s="53" t="n"/>
      <c r="B713" s="54">
        <f>IF(A713="","",YEAR(A713)&amp;" Q"&amp;ROUNDUP(MONTH(A713)/3,0))</f>
        <v/>
      </c>
      <c r="C713" s="55" t="n"/>
      <c r="D713" s="55" t="n"/>
      <c r="E713" s="55" t="n"/>
      <c r="F713" s="55" t="n"/>
      <c r="G713" s="56" t="n"/>
      <c r="H713" s="57" t="n"/>
      <c r="I713" s="58">
        <f>IF(G713="","",ROUND(G713*H713,2))</f>
        <v/>
      </c>
      <c r="J713" s="58">
        <f>IF(G713="","",G713+N(I713))</f>
        <v/>
      </c>
      <c r="K713" s="53" t="n"/>
      <c r="L713" s="54">
        <f>IF(G713="","",IF(OR(K713="",K713&gt;TODAY()),"Nog betalen","Betaald"))</f>
        <v/>
      </c>
    </row>
    <row r="714">
      <c r="A714" s="53" t="n"/>
      <c r="B714" s="54">
        <f>IF(A714="","",YEAR(A714)&amp;" Q"&amp;ROUNDUP(MONTH(A714)/3,0))</f>
        <v/>
      </c>
      <c r="C714" s="55" t="n"/>
      <c r="D714" s="55" t="n"/>
      <c r="E714" s="55" t="n"/>
      <c r="F714" s="55" t="n"/>
      <c r="G714" s="56" t="n"/>
      <c r="H714" s="57" t="n"/>
      <c r="I714" s="58">
        <f>IF(G714="","",ROUND(G714*H714,2))</f>
        <v/>
      </c>
      <c r="J714" s="58">
        <f>IF(G714="","",G714+N(I714))</f>
        <v/>
      </c>
      <c r="K714" s="53" t="n"/>
      <c r="L714" s="54">
        <f>IF(G714="","",IF(OR(K714="",K714&gt;TODAY()),"Nog betalen","Betaald"))</f>
        <v/>
      </c>
    </row>
    <row r="715">
      <c r="A715" s="53" t="n"/>
      <c r="B715" s="54">
        <f>IF(A715="","",YEAR(A715)&amp;" Q"&amp;ROUNDUP(MONTH(A715)/3,0))</f>
        <v/>
      </c>
      <c r="C715" s="55" t="n"/>
      <c r="D715" s="55" t="n"/>
      <c r="E715" s="55" t="n"/>
      <c r="F715" s="55" t="n"/>
      <c r="G715" s="56" t="n"/>
      <c r="H715" s="57" t="n"/>
      <c r="I715" s="58">
        <f>IF(G715="","",ROUND(G715*H715,2))</f>
        <v/>
      </c>
      <c r="J715" s="58">
        <f>IF(G715="","",G715+N(I715))</f>
        <v/>
      </c>
      <c r="K715" s="53" t="n"/>
      <c r="L715" s="54">
        <f>IF(G715="","",IF(OR(K715="",K715&gt;TODAY()),"Nog betalen","Betaald"))</f>
        <v/>
      </c>
    </row>
    <row r="716">
      <c r="A716" s="53" t="n"/>
      <c r="B716" s="54">
        <f>IF(A716="","",YEAR(A716)&amp;" Q"&amp;ROUNDUP(MONTH(A716)/3,0))</f>
        <v/>
      </c>
      <c r="C716" s="55" t="n"/>
      <c r="D716" s="55" t="n"/>
      <c r="E716" s="55" t="n"/>
      <c r="F716" s="55" t="n"/>
      <c r="G716" s="56" t="n"/>
      <c r="H716" s="57" t="n"/>
      <c r="I716" s="58">
        <f>IF(G716="","",ROUND(G716*H716,2))</f>
        <v/>
      </c>
      <c r="J716" s="58">
        <f>IF(G716="","",G716+N(I716))</f>
        <v/>
      </c>
      <c r="K716" s="53" t="n"/>
      <c r="L716" s="54">
        <f>IF(G716="","",IF(OR(K716="",K716&gt;TODAY()),"Nog betalen","Betaald"))</f>
        <v/>
      </c>
    </row>
    <row r="717">
      <c r="A717" s="53" t="n"/>
      <c r="B717" s="54">
        <f>IF(A717="","",YEAR(A717)&amp;" Q"&amp;ROUNDUP(MONTH(A717)/3,0))</f>
        <v/>
      </c>
      <c r="C717" s="55" t="n"/>
      <c r="D717" s="55" t="n"/>
      <c r="E717" s="55" t="n"/>
      <c r="F717" s="55" t="n"/>
      <c r="G717" s="56" t="n"/>
      <c r="H717" s="57" t="n"/>
      <c r="I717" s="58">
        <f>IF(G717="","",ROUND(G717*H717,2))</f>
        <v/>
      </c>
      <c r="J717" s="58">
        <f>IF(G717="","",G717+N(I717))</f>
        <v/>
      </c>
      <c r="K717" s="53" t="n"/>
      <c r="L717" s="54">
        <f>IF(G717="","",IF(OR(K717="",K717&gt;TODAY()),"Nog betalen","Betaald"))</f>
        <v/>
      </c>
    </row>
    <row r="718">
      <c r="A718" s="53" t="n"/>
      <c r="B718" s="54">
        <f>IF(A718="","",YEAR(A718)&amp;" Q"&amp;ROUNDUP(MONTH(A718)/3,0))</f>
        <v/>
      </c>
      <c r="C718" s="55" t="n"/>
      <c r="D718" s="55" t="n"/>
      <c r="E718" s="55" t="n"/>
      <c r="F718" s="55" t="n"/>
      <c r="G718" s="56" t="n"/>
      <c r="H718" s="57" t="n"/>
      <c r="I718" s="58">
        <f>IF(G718="","",ROUND(G718*H718,2))</f>
        <v/>
      </c>
      <c r="J718" s="58">
        <f>IF(G718="","",G718+N(I718))</f>
        <v/>
      </c>
      <c r="K718" s="53" t="n"/>
      <c r="L718" s="54">
        <f>IF(G718="","",IF(OR(K718="",K718&gt;TODAY()),"Nog betalen","Betaald"))</f>
        <v/>
      </c>
    </row>
    <row r="719">
      <c r="A719" s="53" t="n"/>
      <c r="B719" s="54">
        <f>IF(A719="","",YEAR(A719)&amp;" Q"&amp;ROUNDUP(MONTH(A719)/3,0))</f>
        <v/>
      </c>
      <c r="C719" s="55" t="n"/>
      <c r="D719" s="55" t="n"/>
      <c r="E719" s="55" t="n"/>
      <c r="F719" s="55" t="n"/>
      <c r="G719" s="56" t="n"/>
      <c r="H719" s="57" t="n"/>
      <c r="I719" s="58">
        <f>IF(G719="","",ROUND(G719*H719,2))</f>
        <v/>
      </c>
      <c r="J719" s="58">
        <f>IF(G719="","",G719+N(I719))</f>
        <v/>
      </c>
      <c r="K719" s="53" t="n"/>
      <c r="L719" s="54">
        <f>IF(G719="","",IF(OR(K719="",K719&gt;TODAY()),"Nog betalen","Betaald"))</f>
        <v/>
      </c>
    </row>
    <row r="720">
      <c r="A720" s="53" t="n"/>
      <c r="B720" s="54">
        <f>IF(A720="","",YEAR(A720)&amp;" Q"&amp;ROUNDUP(MONTH(A720)/3,0))</f>
        <v/>
      </c>
      <c r="C720" s="55" t="n"/>
      <c r="D720" s="55" t="n"/>
      <c r="E720" s="55" t="n"/>
      <c r="F720" s="55" t="n"/>
      <c r="G720" s="56" t="n"/>
      <c r="H720" s="57" t="n"/>
      <c r="I720" s="58">
        <f>IF(G720="","",ROUND(G720*H720,2))</f>
        <v/>
      </c>
      <c r="J720" s="58">
        <f>IF(G720="","",G720+N(I720))</f>
        <v/>
      </c>
      <c r="K720" s="53" t="n"/>
      <c r="L720" s="54">
        <f>IF(G720="","",IF(OR(K720="",K720&gt;TODAY()),"Nog betalen","Betaald"))</f>
        <v/>
      </c>
    </row>
    <row r="721">
      <c r="A721" s="53" t="n"/>
      <c r="B721" s="54">
        <f>IF(A721="","",YEAR(A721)&amp;" Q"&amp;ROUNDUP(MONTH(A721)/3,0))</f>
        <v/>
      </c>
      <c r="C721" s="55" t="n"/>
      <c r="D721" s="55" t="n"/>
      <c r="E721" s="55" t="n"/>
      <c r="F721" s="55" t="n"/>
      <c r="G721" s="56" t="n"/>
      <c r="H721" s="57" t="n"/>
      <c r="I721" s="58">
        <f>IF(G721="","",ROUND(G721*H721,2))</f>
        <v/>
      </c>
      <c r="J721" s="58">
        <f>IF(G721="","",G721+N(I721))</f>
        <v/>
      </c>
      <c r="K721" s="53" t="n"/>
      <c r="L721" s="54">
        <f>IF(G721="","",IF(OR(K721="",K721&gt;TODAY()),"Nog betalen","Betaald"))</f>
        <v/>
      </c>
    </row>
    <row r="722">
      <c r="A722" s="53" t="n"/>
      <c r="B722" s="54">
        <f>IF(A722="","",YEAR(A722)&amp;" Q"&amp;ROUNDUP(MONTH(A722)/3,0))</f>
        <v/>
      </c>
      <c r="C722" s="55" t="n"/>
      <c r="D722" s="55" t="n"/>
      <c r="E722" s="55" t="n"/>
      <c r="F722" s="55" t="n"/>
      <c r="G722" s="56" t="n"/>
      <c r="H722" s="57" t="n"/>
      <c r="I722" s="58">
        <f>IF(G722="","",ROUND(G722*H722,2))</f>
        <v/>
      </c>
      <c r="J722" s="58">
        <f>IF(G722="","",G722+N(I722))</f>
        <v/>
      </c>
      <c r="K722" s="53" t="n"/>
      <c r="L722" s="54">
        <f>IF(G722="","",IF(OR(K722="",K722&gt;TODAY()),"Nog betalen","Betaald"))</f>
        <v/>
      </c>
    </row>
    <row r="723">
      <c r="A723" s="53" t="n"/>
      <c r="B723" s="54">
        <f>IF(A723="","",YEAR(A723)&amp;" Q"&amp;ROUNDUP(MONTH(A723)/3,0))</f>
        <v/>
      </c>
      <c r="C723" s="55" t="n"/>
      <c r="D723" s="55" t="n"/>
      <c r="E723" s="55" t="n"/>
      <c r="F723" s="55" t="n"/>
      <c r="G723" s="56" t="n"/>
      <c r="H723" s="57" t="n"/>
      <c r="I723" s="58">
        <f>IF(G723="","",ROUND(G723*H723,2))</f>
        <v/>
      </c>
      <c r="J723" s="58">
        <f>IF(G723="","",G723+N(I723))</f>
        <v/>
      </c>
      <c r="K723" s="53" t="n"/>
      <c r="L723" s="54">
        <f>IF(G723="","",IF(OR(K723="",K723&gt;TODAY()),"Nog betalen","Betaald"))</f>
        <v/>
      </c>
    </row>
    <row r="724">
      <c r="A724" s="53" t="n"/>
      <c r="B724" s="54">
        <f>IF(A724="","",YEAR(A724)&amp;" Q"&amp;ROUNDUP(MONTH(A724)/3,0))</f>
        <v/>
      </c>
      <c r="C724" s="55" t="n"/>
      <c r="D724" s="55" t="n"/>
      <c r="E724" s="55" t="n"/>
      <c r="F724" s="55" t="n"/>
      <c r="G724" s="56" t="n"/>
      <c r="H724" s="57" t="n"/>
      <c r="I724" s="58">
        <f>IF(G724="","",ROUND(G724*H724,2))</f>
        <v/>
      </c>
      <c r="J724" s="58">
        <f>IF(G724="","",G724+N(I724))</f>
        <v/>
      </c>
      <c r="K724" s="53" t="n"/>
      <c r="L724" s="54">
        <f>IF(G724="","",IF(OR(K724="",K724&gt;TODAY()),"Nog betalen","Betaald"))</f>
        <v/>
      </c>
    </row>
    <row r="725">
      <c r="A725" s="53" t="n"/>
      <c r="B725" s="54">
        <f>IF(A725="","",YEAR(A725)&amp;" Q"&amp;ROUNDUP(MONTH(A725)/3,0))</f>
        <v/>
      </c>
      <c r="C725" s="55" t="n"/>
      <c r="D725" s="55" t="n"/>
      <c r="E725" s="55" t="n"/>
      <c r="F725" s="55" t="n"/>
      <c r="G725" s="56" t="n"/>
      <c r="H725" s="57" t="n"/>
      <c r="I725" s="58">
        <f>IF(G725="","",ROUND(G725*H725,2))</f>
        <v/>
      </c>
      <c r="J725" s="58">
        <f>IF(G725="","",G725+N(I725))</f>
        <v/>
      </c>
      <c r="K725" s="53" t="n"/>
      <c r="L725" s="54">
        <f>IF(G725="","",IF(OR(K725="",K725&gt;TODAY()),"Nog betalen","Betaald"))</f>
        <v/>
      </c>
    </row>
    <row r="726">
      <c r="A726" s="53" t="n"/>
      <c r="B726" s="54">
        <f>IF(A726="","",YEAR(A726)&amp;" Q"&amp;ROUNDUP(MONTH(A726)/3,0))</f>
        <v/>
      </c>
      <c r="C726" s="55" t="n"/>
      <c r="D726" s="55" t="n"/>
      <c r="E726" s="55" t="n"/>
      <c r="F726" s="55" t="n"/>
      <c r="G726" s="56" t="n"/>
      <c r="H726" s="57" t="n"/>
      <c r="I726" s="58">
        <f>IF(G726="","",ROUND(G726*H726,2))</f>
        <v/>
      </c>
      <c r="J726" s="58">
        <f>IF(G726="","",G726+N(I726))</f>
        <v/>
      </c>
      <c r="K726" s="53" t="n"/>
      <c r="L726" s="54">
        <f>IF(G726="","",IF(OR(K726="",K726&gt;TODAY()),"Nog betalen","Betaald"))</f>
        <v/>
      </c>
    </row>
    <row r="727">
      <c r="A727" s="53" t="n"/>
      <c r="B727" s="54">
        <f>IF(A727="","",YEAR(A727)&amp;" Q"&amp;ROUNDUP(MONTH(A727)/3,0))</f>
        <v/>
      </c>
      <c r="C727" s="55" t="n"/>
      <c r="D727" s="55" t="n"/>
      <c r="E727" s="55" t="n"/>
      <c r="F727" s="55" t="n"/>
      <c r="G727" s="56" t="n"/>
      <c r="H727" s="57" t="n"/>
      <c r="I727" s="58">
        <f>IF(G727="","",ROUND(G727*H727,2))</f>
        <v/>
      </c>
      <c r="J727" s="58">
        <f>IF(G727="","",G727+N(I727))</f>
        <v/>
      </c>
      <c r="K727" s="53" t="n"/>
      <c r="L727" s="54">
        <f>IF(G727="","",IF(OR(K727="",K727&gt;TODAY()),"Nog betalen","Betaald"))</f>
        <v/>
      </c>
    </row>
    <row r="728">
      <c r="A728" s="53" t="n"/>
      <c r="B728" s="54">
        <f>IF(A728="","",YEAR(A728)&amp;" Q"&amp;ROUNDUP(MONTH(A728)/3,0))</f>
        <v/>
      </c>
      <c r="C728" s="55" t="n"/>
      <c r="D728" s="55" t="n"/>
      <c r="E728" s="55" t="n"/>
      <c r="F728" s="55" t="n"/>
      <c r="G728" s="56" t="n"/>
      <c r="H728" s="57" t="n"/>
      <c r="I728" s="58">
        <f>IF(G728="","",ROUND(G728*H728,2))</f>
        <v/>
      </c>
      <c r="J728" s="58">
        <f>IF(G728="","",G728+N(I728))</f>
        <v/>
      </c>
      <c r="K728" s="53" t="n"/>
      <c r="L728" s="54">
        <f>IF(G728="","",IF(OR(K728="",K728&gt;TODAY()),"Nog betalen","Betaald"))</f>
        <v/>
      </c>
    </row>
    <row r="729">
      <c r="A729" s="53" t="n"/>
      <c r="B729" s="54">
        <f>IF(A729="","",YEAR(A729)&amp;" Q"&amp;ROUNDUP(MONTH(A729)/3,0))</f>
        <v/>
      </c>
      <c r="C729" s="55" t="n"/>
      <c r="D729" s="55" t="n"/>
      <c r="E729" s="55" t="n"/>
      <c r="F729" s="55" t="n"/>
      <c r="G729" s="56" t="n"/>
      <c r="H729" s="57" t="n"/>
      <c r="I729" s="58">
        <f>IF(G729="","",ROUND(G729*H729,2))</f>
        <v/>
      </c>
      <c r="J729" s="58">
        <f>IF(G729="","",G729+N(I729))</f>
        <v/>
      </c>
      <c r="K729" s="53" t="n"/>
      <c r="L729" s="54">
        <f>IF(G729="","",IF(OR(K729="",K729&gt;TODAY()),"Nog betalen","Betaald"))</f>
        <v/>
      </c>
    </row>
    <row r="730">
      <c r="A730" s="53" t="n"/>
      <c r="B730" s="54">
        <f>IF(A730="","",YEAR(A730)&amp;" Q"&amp;ROUNDUP(MONTH(A730)/3,0))</f>
        <v/>
      </c>
      <c r="C730" s="55" t="n"/>
      <c r="D730" s="55" t="n"/>
      <c r="E730" s="55" t="n"/>
      <c r="F730" s="55" t="n"/>
      <c r="G730" s="56" t="n"/>
      <c r="H730" s="57" t="n"/>
      <c r="I730" s="58">
        <f>IF(G730="","",ROUND(G730*H730,2))</f>
        <v/>
      </c>
      <c r="J730" s="58">
        <f>IF(G730="","",G730+N(I730))</f>
        <v/>
      </c>
      <c r="K730" s="53" t="n"/>
      <c r="L730" s="54">
        <f>IF(G730="","",IF(OR(K730="",K730&gt;TODAY()),"Nog betalen","Betaald"))</f>
        <v/>
      </c>
    </row>
    <row r="731">
      <c r="A731" s="53" t="n"/>
      <c r="B731" s="54">
        <f>IF(A731="","",YEAR(A731)&amp;" Q"&amp;ROUNDUP(MONTH(A731)/3,0))</f>
        <v/>
      </c>
      <c r="C731" s="55" t="n"/>
      <c r="D731" s="55" t="n"/>
      <c r="E731" s="55" t="n"/>
      <c r="F731" s="55" t="n"/>
      <c r="G731" s="56" t="n"/>
      <c r="H731" s="57" t="n"/>
      <c r="I731" s="58">
        <f>IF(G731="","",ROUND(G731*H731,2))</f>
        <v/>
      </c>
      <c r="J731" s="58">
        <f>IF(G731="","",G731+N(I731))</f>
        <v/>
      </c>
      <c r="K731" s="53" t="n"/>
      <c r="L731" s="54">
        <f>IF(G731="","",IF(OR(K731="",K731&gt;TODAY()),"Nog betalen","Betaald"))</f>
        <v/>
      </c>
    </row>
    <row r="732">
      <c r="A732" s="53" t="n"/>
      <c r="B732" s="54">
        <f>IF(A732="","",YEAR(A732)&amp;" Q"&amp;ROUNDUP(MONTH(A732)/3,0))</f>
        <v/>
      </c>
      <c r="C732" s="55" t="n"/>
      <c r="D732" s="55" t="n"/>
      <c r="E732" s="55" t="n"/>
      <c r="F732" s="55" t="n"/>
      <c r="G732" s="56" t="n"/>
      <c r="H732" s="57" t="n"/>
      <c r="I732" s="58">
        <f>IF(G732="","",ROUND(G732*H732,2))</f>
        <v/>
      </c>
      <c r="J732" s="58">
        <f>IF(G732="","",G732+N(I732))</f>
        <v/>
      </c>
      <c r="K732" s="53" t="n"/>
      <c r="L732" s="54">
        <f>IF(G732="","",IF(OR(K732="",K732&gt;TODAY()),"Nog betalen","Betaald"))</f>
        <v/>
      </c>
    </row>
    <row r="733">
      <c r="A733" s="53" t="n"/>
      <c r="B733" s="54">
        <f>IF(A733="","",YEAR(A733)&amp;" Q"&amp;ROUNDUP(MONTH(A733)/3,0))</f>
        <v/>
      </c>
      <c r="C733" s="55" t="n"/>
      <c r="D733" s="55" t="n"/>
      <c r="E733" s="55" t="n"/>
      <c r="F733" s="55" t="n"/>
      <c r="G733" s="56" t="n"/>
      <c r="H733" s="57" t="n"/>
      <c r="I733" s="58">
        <f>IF(G733="","",ROUND(G733*H733,2))</f>
        <v/>
      </c>
      <c r="J733" s="58">
        <f>IF(G733="","",G733+N(I733))</f>
        <v/>
      </c>
      <c r="K733" s="53" t="n"/>
      <c r="L733" s="54">
        <f>IF(G733="","",IF(OR(K733="",K733&gt;TODAY()),"Nog betalen","Betaald"))</f>
        <v/>
      </c>
    </row>
    <row r="734">
      <c r="A734" s="53" t="n"/>
      <c r="B734" s="54">
        <f>IF(A734="","",YEAR(A734)&amp;" Q"&amp;ROUNDUP(MONTH(A734)/3,0))</f>
        <v/>
      </c>
      <c r="C734" s="55" t="n"/>
      <c r="D734" s="55" t="n"/>
      <c r="E734" s="55" t="n"/>
      <c r="F734" s="55" t="n"/>
      <c r="G734" s="56" t="n"/>
      <c r="H734" s="57" t="n"/>
      <c r="I734" s="58">
        <f>IF(G734="","",ROUND(G734*H734,2))</f>
        <v/>
      </c>
      <c r="J734" s="58">
        <f>IF(G734="","",G734+N(I734))</f>
        <v/>
      </c>
      <c r="K734" s="53" t="n"/>
      <c r="L734" s="54">
        <f>IF(G734="","",IF(OR(K734="",K734&gt;TODAY()),"Nog betalen","Betaald"))</f>
        <v/>
      </c>
    </row>
    <row r="735">
      <c r="A735" s="53" t="n"/>
      <c r="B735" s="54">
        <f>IF(A735="","",YEAR(A735)&amp;" Q"&amp;ROUNDUP(MONTH(A735)/3,0))</f>
        <v/>
      </c>
      <c r="C735" s="55" t="n"/>
      <c r="D735" s="55" t="n"/>
      <c r="E735" s="55" t="n"/>
      <c r="F735" s="55" t="n"/>
      <c r="G735" s="56" t="n"/>
      <c r="H735" s="57" t="n"/>
      <c r="I735" s="58">
        <f>IF(G735="","",ROUND(G735*H735,2))</f>
        <v/>
      </c>
      <c r="J735" s="58">
        <f>IF(G735="","",G735+N(I735))</f>
        <v/>
      </c>
      <c r="K735" s="53" t="n"/>
      <c r="L735" s="54">
        <f>IF(G735="","",IF(OR(K735="",K735&gt;TODAY()),"Nog betalen","Betaald"))</f>
        <v/>
      </c>
    </row>
    <row r="736">
      <c r="A736" s="53" t="n"/>
      <c r="B736" s="54">
        <f>IF(A736="","",YEAR(A736)&amp;" Q"&amp;ROUNDUP(MONTH(A736)/3,0))</f>
        <v/>
      </c>
      <c r="C736" s="55" t="n"/>
      <c r="D736" s="55" t="n"/>
      <c r="E736" s="55" t="n"/>
      <c r="F736" s="55" t="n"/>
      <c r="G736" s="56" t="n"/>
      <c r="H736" s="57" t="n"/>
      <c r="I736" s="58">
        <f>IF(G736="","",ROUND(G736*H736,2))</f>
        <v/>
      </c>
      <c r="J736" s="58">
        <f>IF(G736="","",G736+N(I736))</f>
        <v/>
      </c>
      <c r="K736" s="53" t="n"/>
      <c r="L736" s="54">
        <f>IF(G736="","",IF(OR(K736="",K736&gt;TODAY()),"Nog betalen","Betaald"))</f>
        <v/>
      </c>
    </row>
    <row r="737">
      <c r="A737" s="53" t="n"/>
      <c r="B737" s="54">
        <f>IF(A737="","",YEAR(A737)&amp;" Q"&amp;ROUNDUP(MONTH(A737)/3,0))</f>
        <v/>
      </c>
      <c r="C737" s="55" t="n"/>
      <c r="D737" s="55" t="n"/>
      <c r="E737" s="55" t="n"/>
      <c r="F737" s="55" t="n"/>
      <c r="G737" s="56" t="n"/>
      <c r="H737" s="57" t="n"/>
      <c r="I737" s="58">
        <f>IF(G737="","",ROUND(G737*H737,2))</f>
        <v/>
      </c>
      <c r="J737" s="58">
        <f>IF(G737="","",G737+N(I737))</f>
        <v/>
      </c>
      <c r="K737" s="53" t="n"/>
      <c r="L737" s="54">
        <f>IF(G737="","",IF(OR(K737="",K737&gt;TODAY()),"Nog betalen","Betaald"))</f>
        <v/>
      </c>
    </row>
    <row r="738">
      <c r="A738" s="53" t="n"/>
      <c r="B738" s="54">
        <f>IF(A738="","",YEAR(A738)&amp;" Q"&amp;ROUNDUP(MONTH(A738)/3,0))</f>
        <v/>
      </c>
      <c r="C738" s="55" t="n"/>
      <c r="D738" s="55" t="n"/>
      <c r="E738" s="55" t="n"/>
      <c r="F738" s="55" t="n"/>
      <c r="G738" s="56" t="n"/>
      <c r="H738" s="57" t="n"/>
      <c r="I738" s="58">
        <f>IF(G738="","",ROUND(G738*H738,2))</f>
        <v/>
      </c>
      <c r="J738" s="58">
        <f>IF(G738="","",G738+N(I738))</f>
        <v/>
      </c>
      <c r="K738" s="53" t="n"/>
      <c r="L738" s="54">
        <f>IF(G738="","",IF(OR(K738="",K738&gt;TODAY()),"Nog betalen","Betaald"))</f>
        <v/>
      </c>
    </row>
    <row r="739">
      <c r="A739" s="53" t="n"/>
      <c r="B739" s="54">
        <f>IF(A739="","",YEAR(A739)&amp;" Q"&amp;ROUNDUP(MONTH(A739)/3,0))</f>
        <v/>
      </c>
      <c r="C739" s="55" t="n"/>
      <c r="D739" s="55" t="n"/>
      <c r="E739" s="55" t="n"/>
      <c r="F739" s="55" t="n"/>
      <c r="G739" s="56" t="n"/>
      <c r="H739" s="57" t="n"/>
      <c r="I739" s="58">
        <f>IF(G739="","",ROUND(G739*H739,2))</f>
        <v/>
      </c>
      <c r="J739" s="58">
        <f>IF(G739="","",G739+N(I739))</f>
        <v/>
      </c>
      <c r="K739" s="53" t="n"/>
      <c r="L739" s="54">
        <f>IF(G739="","",IF(OR(K739="",K739&gt;TODAY()),"Nog betalen","Betaald"))</f>
        <v/>
      </c>
    </row>
    <row r="740">
      <c r="A740" s="53" t="n"/>
      <c r="B740" s="54">
        <f>IF(A740="","",YEAR(A740)&amp;" Q"&amp;ROUNDUP(MONTH(A740)/3,0))</f>
        <v/>
      </c>
      <c r="C740" s="55" t="n"/>
      <c r="D740" s="55" t="n"/>
      <c r="E740" s="55" t="n"/>
      <c r="F740" s="55" t="n"/>
      <c r="G740" s="56" t="n"/>
      <c r="H740" s="57" t="n"/>
      <c r="I740" s="58">
        <f>IF(G740="","",ROUND(G740*H740,2))</f>
        <v/>
      </c>
      <c r="J740" s="58">
        <f>IF(G740="","",G740+N(I740))</f>
        <v/>
      </c>
      <c r="K740" s="53" t="n"/>
      <c r="L740" s="54">
        <f>IF(G740="","",IF(OR(K740="",K740&gt;TODAY()),"Nog betalen","Betaald"))</f>
        <v/>
      </c>
    </row>
    <row r="741">
      <c r="A741" s="53" t="n"/>
      <c r="B741" s="54">
        <f>IF(A741="","",YEAR(A741)&amp;" Q"&amp;ROUNDUP(MONTH(A741)/3,0))</f>
        <v/>
      </c>
      <c r="C741" s="55" t="n"/>
      <c r="D741" s="55" t="n"/>
      <c r="E741" s="55" t="n"/>
      <c r="F741" s="55" t="n"/>
      <c r="G741" s="56" t="n"/>
      <c r="H741" s="57" t="n"/>
      <c r="I741" s="58">
        <f>IF(G741="","",ROUND(G741*H741,2))</f>
        <v/>
      </c>
      <c r="J741" s="58">
        <f>IF(G741="","",G741+N(I741))</f>
        <v/>
      </c>
      <c r="K741" s="53" t="n"/>
      <c r="L741" s="54">
        <f>IF(G741="","",IF(OR(K741="",K741&gt;TODAY()),"Nog betalen","Betaald"))</f>
        <v/>
      </c>
    </row>
    <row r="742">
      <c r="A742" s="53" t="n"/>
      <c r="B742" s="54">
        <f>IF(A742="","",YEAR(A742)&amp;" Q"&amp;ROUNDUP(MONTH(A742)/3,0))</f>
        <v/>
      </c>
      <c r="C742" s="55" t="n"/>
      <c r="D742" s="55" t="n"/>
      <c r="E742" s="55" t="n"/>
      <c r="F742" s="55" t="n"/>
      <c r="G742" s="56" t="n"/>
      <c r="H742" s="57" t="n"/>
      <c r="I742" s="58">
        <f>IF(G742="","",ROUND(G742*H742,2))</f>
        <v/>
      </c>
      <c r="J742" s="58">
        <f>IF(G742="","",G742+N(I742))</f>
        <v/>
      </c>
      <c r="K742" s="53" t="n"/>
      <c r="L742" s="54">
        <f>IF(G742="","",IF(OR(K742="",K742&gt;TODAY()),"Nog betalen","Betaald"))</f>
        <v/>
      </c>
    </row>
    <row r="743">
      <c r="A743" s="53" t="n"/>
      <c r="B743" s="54">
        <f>IF(A743="","",YEAR(A743)&amp;" Q"&amp;ROUNDUP(MONTH(A743)/3,0))</f>
        <v/>
      </c>
      <c r="C743" s="55" t="n"/>
      <c r="D743" s="55" t="n"/>
      <c r="E743" s="55" t="n"/>
      <c r="F743" s="55" t="n"/>
      <c r="G743" s="56" t="n"/>
      <c r="H743" s="57" t="n"/>
      <c r="I743" s="58">
        <f>IF(G743="","",ROUND(G743*H743,2))</f>
        <v/>
      </c>
      <c r="J743" s="58">
        <f>IF(G743="","",G743+N(I743))</f>
        <v/>
      </c>
      <c r="K743" s="53" t="n"/>
      <c r="L743" s="54">
        <f>IF(G743="","",IF(OR(K743="",K743&gt;TODAY()),"Nog betalen","Betaald"))</f>
        <v/>
      </c>
    </row>
    <row r="744">
      <c r="A744" s="53" t="n"/>
      <c r="B744" s="54">
        <f>IF(A744="","",YEAR(A744)&amp;" Q"&amp;ROUNDUP(MONTH(A744)/3,0))</f>
        <v/>
      </c>
      <c r="C744" s="55" t="n"/>
      <c r="D744" s="55" t="n"/>
      <c r="E744" s="55" t="n"/>
      <c r="F744" s="55" t="n"/>
      <c r="G744" s="56" t="n"/>
      <c r="H744" s="57" t="n"/>
      <c r="I744" s="58">
        <f>IF(G744="","",ROUND(G744*H744,2))</f>
        <v/>
      </c>
      <c r="J744" s="58">
        <f>IF(G744="","",G744+N(I744))</f>
        <v/>
      </c>
      <c r="K744" s="53" t="n"/>
      <c r="L744" s="54">
        <f>IF(G744="","",IF(OR(K744="",K744&gt;TODAY()),"Nog betalen","Betaald"))</f>
        <v/>
      </c>
    </row>
    <row r="745">
      <c r="A745" s="53" t="n"/>
      <c r="B745" s="54">
        <f>IF(A745="","",YEAR(A745)&amp;" Q"&amp;ROUNDUP(MONTH(A745)/3,0))</f>
        <v/>
      </c>
      <c r="C745" s="55" t="n"/>
      <c r="D745" s="55" t="n"/>
      <c r="E745" s="55" t="n"/>
      <c r="F745" s="55" t="n"/>
      <c r="G745" s="56" t="n"/>
      <c r="H745" s="57" t="n"/>
      <c r="I745" s="58">
        <f>IF(G745="","",ROUND(G745*H745,2))</f>
        <v/>
      </c>
      <c r="J745" s="58">
        <f>IF(G745="","",G745+N(I745))</f>
        <v/>
      </c>
      <c r="K745" s="53" t="n"/>
      <c r="L745" s="54">
        <f>IF(G745="","",IF(OR(K745="",K745&gt;TODAY()),"Nog betalen","Betaald"))</f>
        <v/>
      </c>
    </row>
    <row r="746">
      <c r="A746" s="53" t="n"/>
      <c r="B746" s="54">
        <f>IF(A746="","",YEAR(A746)&amp;" Q"&amp;ROUNDUP(MONTH(A746)/3,0))</f>
        <v/>
      </c>
      <c r="C746" s="55" t="n"/>
      <c r="D746" s="55" t="n"/>
      <c r="E746" s="55" t="n"/>
      <c r="F746" s="55" t="n"/>
      <c r="G746" s="56" t="n"/>
      <c r="H746" s="57" t="n"/>
      <c r="I746" s="58">
        <f>IF(G746="","",ROUND(G746*H746,2))</f>
        <v/>
      </c>
      <c r="J746" s="58">
        <f>IF(G746="","",G746+N(I746))</f>
        <v/>
      </c>
      <c r="K746" s="53" t="n"/>
      <c r="L746" s="54">
        <f>IF(G746="","",IF(OR(K746="",K746&gt;TODAY()),"Nog betalen","Betaald"))</f>
        <v/>
      </c>
    </row>
    <row r="747">
      <c r="A747" s="53" t="n"/>
      <c r="B747" s="54">
        <f>IF(A747="","",YEAR(A747)&amp;" Q"&amp;ROUNDUP(MONTH(A747)/3,0))</f>
        <v/>
      </c>
      <c r="C747" s="55" t="n"/>
      <c r="D747" s="55" t="n"/>
      <c r="E747" s="55" t="n"/>
      <c r="F747" s="55" t="n"/>
      <c r="G747" s="56" t="n"/>
      <c r="H747" s="57" t="n"/>
      <c r="I747" s="58">
        <f>IF(G747="","",ROUND(G747*H747,2))</f>
        <v/>
      </c>
      <c r="J747" s="58">
        <f>IF(G747="","",G747+N(I747))</f>
        <v/>
      </c>
      <c r="K747" s="53" t="n"/>
      <c r="L747" s="54">
        <f>IF(G747="","",IF(OR(K747="",K747&gt;TODAY()),"Nog betalen","Betaald"))</f>
        <v/>
      </c>
    </row>
    <row r="748">
      <c r="A748" s="53" t="n"/>
      <c r="B748" s="54">
        <f>IF(A748="","",YEAR(A748)&amp;" Q"&amp;ROUNDUP(MONTH(A748)/3,0))</f>
        <v/>
      </c>
      <c r="C748" s="55" t="n"/>
      <c r="D748" s="55" t="n"/>
      <c r="E748" s="55" t="n"/>
      <c r="F748" s="55" t="n"/>
      <c r="G748" s="56" t="n"/>
      <c r="H748" s="57" t="n"/>
      <c r="I748" s="58">
        <f>IF(G748="","",ROUND(G748*H748,2))</f>
        <v/>
      </c>
      <c r="J748" s="58">
        <f>IF(G748="","",G748+N(I748))</f>
        <v/>
      </c>
      <c r="K748" s="53" t="n"/>
      <c r="L748" s="54">
        <f>IF(G748="","",IF(OR(K748="",K748&gt;TODAY()),"Nog betalen","Betaald"))</f>
        <v/>
      </c>
    </row>
    <row r="749">
      <c r="A749" s="53" t="n"/>
      <c r="B749" s="54">
        <f>IF(A749="","",YEAR(A749)&amp;" Q"&amp;ROUNDUP(MONTH(A749)/3,0))</f>
        <v/>
      </c>
      <c r="C749" s="55" t="n"/>
      <c r="D749" s="55" t="n"/>
      <c r="E749" s="55" t="n"/>
      <c r="F749" s="55" t="n"/>
      <c r="G749" s="56" t="n"/>
      <c r="H749" s="57" t="n"/>
      <c r="I749" s="58">
        <f>IF(G749="","",ROUND(G749*H749,2))</f>
        <v/>
      </c>
      <c r="J749" s="58">
        <f>IF(G749="","",G749+N(I749))</f>
        <v/>
      </c>
      <c r="K749" s="53" t="n"/>
      <c r="L749" s="54">
        <f>IF(G749="","",IF(OR(K749="",K749&gt;TODAY()),"Nog betalen","Betaald"))</f>
        <v/>
      </c>
    </row>
    <row r="750">
      <c r="A750" s="53" t="n"/>
      <c r="B750" s="54">
        <f>IF(A750="","",YEAR(A750)&amp;" Q"&amp;ROUNDUP(MONTH(A750)/3,0))</f>
        <v/>
      </c>
      <c r="C750" s="55" t="n"/>
      <c r="D750" s="55" t="n"/>
      <c r="E750" s="55" t="n"/>
      <c r="F750" s="55" t="n"/>
      <c r="G750" s="56" t="n"/>
      <c r="H750" s="57" t="n"/>
      <c r="I750" s="58">
        <f>IF(G750="","",ROUND(G750*H750,2))</f>
        <v/>
      </c>
      <c r="J750" s="58">
        <f>IF(G750="","",G750+N(I750))</f>
        <v/>
      </c>
      <c r="K750" s="53" t="n"/>
      <c r="L750" s="54">
        <f>IF(G750="","",IF(OR(K750="",K750&gt;TODAY()),"Nog betalen","Betaald"))</f>
        <v/>
      </c>
    </row>
    <row r="751">
      <c r="A751" s="53" t="n"/>
      <c r="B751" s="54">
        <f>IF(A751="","",YEAR(A751)&amp;" Q"&amp;ROUNDUP(MONTH(A751)/3,0))</f>
        <v/>
      </c>
      <c r="C751" s="55" t="n"/>
      <c r="D751" s="55" t="n"/>
      <c r="E751" s="55" t="n"/>
      <c r="F751" s="55" t="n"/>
      <c r="G751" s="56" t="n"/>
      <c r="H751" s="57" t="n"/>
      <c r="I751" s="58">
        <f>IF(G751="","",ROUND(G751*H751,2))</f>
        <v/>
      </c>
      <c r="J751" s="58">
        <f>IF(G751="","",G751+N(I751))</f>
        <v/>
      </c>
      <c r="K751" s="53" t="n"/>
      <c r="L751" s="54">
        <f>IF(G751="","",IF(OR(K751="",K751&gt;TODAY()),"Nog betalen","Betaald"))</f>
        <v/>
      </c>
    </row>
    <row r="752">
      <c r="A752" s="53" t="n"/>
      <c r="B752" s="54">
        <f>IF(A752="","",YEAR(A752)&amp;" Q"&amp;ROUNDUP(MONTH(A752)/3,0))</f>
        <v/>
      </c>
      <c r="C752" s="55" t="n"/>
      <c r="D752" s="55" t="n"/>
      <c r="E752" s="55" t="n"/>
      <c r="F752" s="55" t="n"/>
      <c r="G752" s="56" t="n"/>
      <c r="H752" s="57" t="n"/>
      <c r="I752" s="58">
        <f>IF(G752="","",ROUND(G752*H752,2))</f>
        <v/>
      </c>
      <c r="J752" s="58">
        <f>IF(G752="","",G752+N(I752))</f>
        <v/>
      </c>
      <c r="K752" s="53" t="n"/>
      <c r="L752" s="54">
        <f>IF(G752="","",IF(OR(K752="",K752&gt;TODAY()),"Nog betalen","Betaald"))</f>
        <v/>
      </c>
    </row>
    <row r="753">
      <c r="A753" s="53" t="n"/>
      <c r="B753" s="54">
        <f>IF(A753="","",YEAR(A753)&amp;" Q"&amp;ROUNDUP(MONTH(A753)/3,0))</f>
        <v/>
      </c>
      <c r="C753" s="55" t="n"/>
      <c r="D753" s="55" t="n"/>
      <c r="E753" s="55" t="n"/>
      <c r="F753" s="55" t="n"/>
      <c r="G753" s="56" t="n"/>
      <c r="H753" s="57" t="n"/>
      <c r="I753" s="58">
        <f>IF(G753="","",ROUND(G753*H753,2))</f>
        <v/>
      </c>
      <c r="J753" s="58">
        <f>IF(G753="","",G753+N(I753))</f>
        <v/>
      </c>
      <c r="K753" s="53" t="n"/>
      <c r="L753" s="54">
        <f>IF(G753="","",IF(OR(K753="",K753&gt;TODAY()),"Nog betalen","Betaald"))</f>
        <v/>
      </c>
    </row>
    <row r="754">
      <c r="A754" s="53" t="n"/>
      <c r="B754" s="54">
        <f>IF(A754="","",YEAR(A754)&amp;" Q"&amp;ROUNDUP(MONTH(A754)/3,0))</f>
        <v/>
      </c>
      <c r="C754" s="55" t="n"/>
      <c r="D754" s="55" t="n"/>
      <c r="E754" s="55" t="n"/>
      <c r="F754" s="55" t="n"/>
      <c r="G754" s="56" t="n"/>
      <c r="H754" s="57" t="n"/>
      <c r="I754" s="58">
        <f>IF(G754="","",ROUND(G754*H754,2))</f>
        <v/>
      </c>
      <c r="J754" s="58">
        <f>IF(G754="","",G754+N(I754))</f>
        <v/>
      </c>
      <c r="K754" s="53" t="n"/>
      <c r="L754" s="54">
        <f>IF(G754="","",IF(OR(K754="",K754&gt;TODAY()),"Nog betalen","Betaald"))</f>
        <v/>
      </c>
    </row>
    <row r="755">
      <c r="A755" s="53" t="n"/>
      <c r="B755" s="54">
        <f>IF(A755="","",YEAR(A755)&amp;" Q"&amp;ROUNDUP(MONTH(A755)/3,0))</f>
        <v/>
      </c>
      <c r="C755" s="55" t="n"/>
      <c r="D755" s="55" t="n"/>
      <c r="E755" s="55" t="n"/>
      <c r="F755" s="55" t="n"/>
      <c r="G755" s="56" t="n"/>
      <c r="H755" s="57" t="n"/>
      <c r="I755" s="58">
        <f>IF(G755="","",ROUND(G755*H755,2))</f>
        <v/>
      </c>
      <c r="J755" s="58">
        <f>IF(G755="","",G755+N(I755))</f>
        <v/>
      </c>
      <c r="K755" s="53" t="n"/>
      <c r="L755" s="54">
        <f>IF(G755="","",IF(OR(K755="",K755&gt;TODAY()),"Nog betalen","Betaald"))</f>
        <v/>
      </c>
    </row>
    <row r="756">
      <c r="A756" s="53" t="n"/>
      <c r="B756" s="54">
        <f>IF(A756="","",YEAR(A756)&amp;" Q"&amp;ROUNDUP(MONTH(A756)/3,0))</f>
        <v/>
      </c>
      <c r="C756" s="55" t="n"/>
      <c r="D756" s="55" t="n"/>
      <c r="E756" s="55" t="n"/>
      <c r="F756" s="55" t="n"/>
      <c r="G756" s="56" t="n"/>
      <c r="H756" s="57" t="n"/>
      <c r="I756" s="58">
        <f>IF(G756="","",ROUND(G756*H756,2))</f>
        <v/>
      </c>
      <c r="J756" s="58">
        <f>IF(G756="","",G756+N(I756))</f>
        <v/>
      </c>
      <c r="K756" s="53" t="n"/>
      <c r="L756" s="54">
        <f>IF(G756="","",IF(OR(K756="",K756&gt;TODAY()),"Nog betalen","Betaald"))</f>
        <v/>
      </c>
    </row>
    <row r="757">
      <c r="A757" s="53" t="n"/>
      <c r="B757" s="54">
        <f>IF(A757="","",YEAR(A757)&amp;" Q"&amp;ROUNDUP(MONTH(A757)/3,0))</f>
        <v/>
      </c>
      <c r="C757" s="55" t="n"/>
      <c r="D757" s="55" t="n"/>
      <c r="E757" s="55" t="n"/>
      <c r="F757" s="55" t="n"/>
      <c r="G757" s="56" t="n"/>
      <c r="H757" s="57" t="n"/>
      <c r="I757" s="58">
        <f>IF(G757="","",ROUND(G757*H757,2))</f>
        <v/>
      </c>
      <c r="J757" s="58">
        <f>IF(G757="","",G757+N(I757))</f>
        <v/>
      </c>
      <c r="K757" s="53" t="n"/>
      <c r="L757" s="54">
        <f>IF(G757="","",IF(OR(K757="",K757&gt;TODAY()),"Nog betalen","Betaald"))</f>
        <v/>
      </c>
    </row>
    <row r="758">
      <c r="A758" s="53" t="n"/>
      <c r="B758" s="54">
        <f>IF(A758="","",YEAR(A758)&amp;" Q"&amp;ROUNDUP(MONTH(A758)/3,0))</f>
        <v/>
      </c>
      <c r="C758" s="55" t="n"/>
      <c r="D758" s="55" t="n"/>
      <c r="E758" s="55" t="n"/>
      <c r="F758" s="55" t="n"/>
      <c r="G758" s="56" t="n"/>
      <c r="H758" s="57" t="n"/>
      <c r="I758" s="58">
        <f>IF(G758="","",ROUND(G758*H758,2))</f>
        <v/>
      </c>
      <c r="J758" s="58">
        <f>IF(G758="","",G758+N(I758))</f>
        <v/>
      </c>
      <c r="K758" s="53" t="n"/>
      <c r="L758" s="54">
        <f>IF(G758="","",IF(OR(K758="",K758&gt;TODAY()),"Nog betalen","Betaald"))</f>
        <v/>
      </c>
    </row>
    <row r="759">
      <c r="A759" s="53" t="n"/>
      <c r="B759" s="54">
        <f>IF(A759="","",YEAR(A759)&amp;" Q"&amp;ROUNDUP(MONTH(A759)/3,0))</f>
        <v/>
      </c>
      <c r="C759" s="55" t="n"/>
      <c r="D759" s="55" t="n"/>
      <c r="E759" s="55" t="n"/>
      <c r="F759" s="55" t="n"/>
      <c r="G759" s="56" t="n"/>
      <c r="H759" s="57" t="n"/>
      <c r="I759" s="58">
        <f>IF(G759="","",ROUND(G759*H759,2))</f>
        <v/>
      </c>
      <c r="J759" s="58">
        <f>IF(G759="","",G759+N(I759))</f>
        <v/>
      </c>
      <c r="K759" s="53" t="n"/>
      <c r="L759" s="54">
        <f>IF(G759="","",IF(OR(K759="",K759&gt;TODAY()),"Nog betalen","Betaald"))</f>
        <v/>
      </c>
    </row>
    <row r="760">
      <c r="A760" s="53" t="n"/>
      <c r="B760" s="54">
        <f>IF(A760="","",YEAR(A760)&amp;" Q"&amp;ROUNDUP(MONTH(A760)/3,0))</f>
        <v/>
      </c>
      <c r="C760" s="55" t="n"/>
      <c r="D760" s="55" t="n"/>
      <c r="E760" s="55" t="n"/>
      <c r="F760" s="55" t="n"/>
      <c r="G760" s="56" t="n"/>
      <c r="H760" s="57" t="n"/>
      <c r="I760" s="58">
        <f>IF(G760="","",ROUND(G760*H760,2))</f>
        <v/>
      </c>
      <c r="J760" s="58">
        <f>IF(G760="","",G760+N(I760))</f>
        <v/>
      </c>
      <c r="K760" s="53" t="n"/>
      <c r="L760" s="54">
        <f>IF(G760="","",IF(OR(K760="",K760&gt;TODAY()),"Nog betalen","Betaald"))</f>
        <v/>
      </c>
    </row>
    <row r="761">
      <c r="A761" s="53" t="n"/>
      <c r="B761" s="54">
        <f>IF(A761="","",YEAR(A761)&amp;" Q"&amp;ROUNDUP(MONTH(A761)/3,0))</f>
        <v/>
      </c>
      <c r="C761" s="55" t="n"/>
      <c r="D761" s="55" t="n"/>
      <c r="E761" s="55" t="n"/>
      <c r="F761" s="55" t="n"/>
      <c r="G761" s="56" t="n"/>
      <c r="H761" s="57" t="n"/>
      <c r="I761" s="58">
        <f>IF(G761="","",ROUND(G761*H761,2))</f>
        <v/>
      </c>
      <c r="J761" s="58">
        <f>IF(G761="","",G761+N(I761))</f>
        <v/>
      </c>
      <c r="K761" s="53" t="n"/>
      <c r="L761" s="54">
        <f>IF(G761="","",IF(OR(K761="",K761&gt;TODAY()),"Nog betalen","Betaald"))</f>
        <v/>
      </c>
    </row>
    <row r="762">
      <c r="A762" s="53" t="n"/>
      <c r="B762" s="54">
        <f>IF(A762="","",YEAR(A762)&amp;" Q"&amp;ROUNDUP(MONTH(A762)/3,0))</f>
        <v/>
      </c>
      <c r="C762" s="55" t="n"/>
      <c r="D762" s="55" t="n"/>
      <c r="E762" s="55" t="n"/>
      <c r="F762" s="55" t="n"/>
      <c r="G762" s="56" t="n"/>
      <c r="H762" s="57" t="n"/>
      <c r="I762" s="58">
        <f>IF(G762="","",ROUND(G762*H762,2))</f>
        <v/>
      </c>
      <c r="J762" s="58">
        <f>IF(G762="","",G762+N(I762))</f>
        <v/>
      </c>
      <c r="K762" s="53" t="n"/>
      <c r="L762" s="54">
        <f>IF(G762="","",IF(OR(K762="",K762&gt;TODAY()),"Nog betalen","Betaald"))</f>
        <v/>
      </c>
    </row>
    <row r="763">
      <c r="A763" s="53" t="n"/>
      <c r="B763" s="54">
        <f>IF(A763="","",YEAR(A763)&amp;" Q"&amp;ROUNDUP(MONTH(A763)/3,0))</f>
        <v/>
      </c>
      <c r="C763" s="55" t="n"/>
      <c r="D763" s="55" t="n"/>
      <c r="E763" s="55" t="n"/>
      <c r="F763" s="55" t="n"/>
      <c r="G763" s="56" t="n"/>
      <c r="H763" s="57" t="n"/>
      <c r="I763" s="58">
        <f>IF(G763="","",ROUND(G763*H763,2))</f>
        <v/>
      </c>
      <c r="J763" s="58">
        <f>IF(G763="","",G763+N(I763))</f>
        <v/>
      </c>
      <c r="K763" s="53" t="n"/>
      <c r="L763" s="54">
        <f>IF(G763="","",IF(OR(K763="",K763&gt;TODAY()),"Nog betalen","Betaald"))</f>
        <v/>
      </c>
    </row>
    <row r="764">
      <c r="A764" s="53" t="n"/>
      <c r="B764" s="54">
        <f>IF(A764="","",YEAR(A764)&amp;" Q"&amp;ROUNDUP(MONTH(A764)/3,0))</f>
        <v/>
      </c>
      <c r="C764" s="55" t="n"/>
      <c r="D764" s="55" t="n"/>
      <c r="E764" s="55" t="n"/>
      <c r="F764" s="55" t="n"/>
      <c r="G764" s="56" t="n"/>
      <c r="H764" s="57" t="n"/>
      <c r="I764" s="58">
        <f>IF(G764="","",ROUND(G764*H764,2))</f>
        <v/>
      </c>
      <c r="J764" s="58">
        <f>IF(G764="","",G764+N(I764))</f>
        <v/>
      </c>
      <c r="K764" s="53" t="n"/>
      <c r="L764" s="54">
        <f>IF(G764="","",IF(OR(K764="",K764&gt;TODAY()),"Nog betalen","Betaald"))</f>
        <v/>
      </c>
    </row>
    <row r="765">
      <c r="A765" s="53" t="n"/>
      <c r="B765" s="54">
        <f>IF(A765="","",YEAR(A765)&amp;" Q"&amp;ROUNDUP(MONTH(A765)/3,0))</f>
        <v/>
      </c>
      <c r="C765" s="55" t="n"/>
      <c r="D765" s="55" t="n"/>
      <c r="E765" s="55" t="n"/>
      <c r="F765" s="55" t="n"/>
      <c r="G765" s="56" t="n"/>
      <c r="H765" s="57" t="n"/>
      <c r="I765" s="58">
        <f>IF(G765="","",ROUND(G765*H765,2))</f>
        <v/>
      </c>
      <c r="J765" s="58">
        <f>IF(G765="","",G765+N(I765))</f>
        <v/>
      </c>
      <c r="K765" s="53" t="n"/>
      <c r="L765" s="54">
        <f>IF(G765="","",IF(OR(K765="",K765&gt;TODAY()),"Nog betalen","Betaald"))</f>
        <v/>
      </c>
    </row>
    <row r="766">
      <c r="A766" s="53" t="n"/>
      <c r="B766" s="54">
        <f>IF(A766="","",YEAR(A766)&amp;" Q"&amp;ROUNDUP(MONTH(A766)/3,0))</f>
        <v/>
      </c>
      <c r="C766" s="55" t="n"/>
      <c r="D766" s="55" t="n"/>
      <c r="E766" s="55" t="n"/>
      <c r="F766" s="55" t="n"/>
      <c r="G766" s="56" t="n"/>
      <c r="H766" s="57" t="n"/>
      <c r="I766" s="58">
        <f>IF(G766="","",ROUND(G766*H766,2))</f>
        <v/>
      </c>
      <c r="J766" s="58">
        <f>IF(G766="","",G766+N(I766))</f>
        <v/>
      </c>
      <c r="K766" s="53" t="n"/>
      <c r="L766" s="54">
        <f>IF(G766="","",IF(OR(K766="",K766&gt;TODAY()),"Nog betalen","Betaald"))</f>
        <v/>
      </c>
    </row>
    <row r="767">
      <c r="A767" s="53" t="n"/>
      <c r="B767" s="54">
        <f>IF(A767="","",YEAR(A767)&amp;" Q"&amp;ROUNDUP(MONTH(A767)/3,0))</f>
        <v/>
      </c>
      <c r="C767" s="55" t="n"/>
      <c r="D767" s="55" t="n"/>
      <c r="E767" s="55" t="n"/>
      <c r="F767" s="55" t="n"/>
      <c r="G767" s="56" t="n"/>
      <c r="H767" s="57" t="n"/>
      <c r="I767" s="58">
        <f>IF(G767="","",ROUND(G767*H767,2))</f>
        <v/>
      </c>
      <c r="J767" s="58">
        <f>IF(G767="","",G767+N(I767))</f>
        <v/>
      </c>
      <c r="K767" s="53" t="n"/>
      <c r="L767" s="54">
        <f>IF(G767="","",IF(OR(K767="",K767&gt;TODAY()),"Nog betalen","Betaald"))</f>
        <v/>
      </c>
    </row>
    <row r="768">
      <c r="A768" s="53" t="n"/>
      <c r="B768" s="54">
        <f>IF(A768="","",YEAR(A768)&amp;" Q"&amp;ROUNDUP(MONTH(A768)/3,0))</f>
        <v/>
      </c>
      <c r="C768" s="55" t="n"/>
      <c r="D768" s="55" t="n"/>
      <c r="E768" s="55" t="n"/>
      <c r="F768" s="55" t="n"/>
      <c r="G768" s="56" t="n"/>
      <c r="H768" s="57" t="n"/>
      <c r="I768" s="58">
        <f>IF(G768="","",ROUND(G768*H768,2))</f>
        <v/>
      </c>
      <c r="J768" s="58">
        <f>IF(G768="","",G768+N(I768))</f>
        <v/>
      </c>
      <c r="K768" s="53" t="n"/>
      <c r="L768" s="54">
        <f>IF(G768="","",IF(OR(K768="",K768&gt;TODAY()),"Nog betalen","Betaald"))</f>
        <v/>
      </c>
    </row>
    <row r="769">
      <c r="A769" s="53" t="n"/>
      <c r="B769" s="54">
        <f>IF(A769="","",YEAR(A769)&amp;" Q"&amp;ROUNDUP(MONTH(A769)/3,0))</f>
        <v/>
      </c>
      <c r="C769" s="55" t="n"/>
      <c r="D769" s="55" t="n"/>
      <c r="E769" s="55" t="n"/>
      <c r="F769" s="55" t="n"/>
      <c r="G769" s="56" t="n"/>
      <c r="H769" s="57" t="n"/>
      <c r="I769" s="58">
        <f>IF(G769="","",ROUND(G769*H769,2))</f>
        <v/>
      </c>
      <c r="J769" s="58">
        <f>IF(G769="","",G769+N(I769))</f>
        <v/>
      </c>
      <c r="K769" s="53" t="n"/>
      <c r="L769" s="54">
        <f>IF(G769="","",IF(OR(K769="",K769&gt;TODAY()),"Nog betalen","Betaald"))</f>
        <v/>
      </c>
    </row>
    <row r="770">
      <c r="A770" s="53" t="n"/>
      <c r="B770" s="54">
        <f>IF(A770="","",YEAR(A770)&amp;" Q"&amp;ROUNDUP(MONTH(A770)/3,0))</f>
        <v/>
      </c>
      <c r="C770" s="55" t="n"/>
      <c r="D770" s="55" t="n"/>
      <c r="E770" s="55" t="n"/>
      <c r="F770" s="55" t="n"/>
      <c r="G770" s="56" t="n"/>
      <c r="H770" s="57" t="n"/>
      <c r="I770" s="58">
        <f>IF(G770="","",ROUND(G770*H770,2))</f>
        <v/>
      </c>
      <c r="J770" s="58">
        <f>IF(G770="","",G770+N(I770))</f>
        <v/>
      </c>
      <c r="K770" s="53" t="n"/>
      <c r="L770" s="54">
        <f>IF(G770="","",IF(OR(K770="",K770&gt;TODAY()),"Nog betalen","Betaald"))</f>
        <v/>
      </c>
    </row>
    <row r="771">
      <c r="A771" s="53" t="n"/>
      <c r="B771" s="54">
        <f>IF(A771="","",YEAR(A771)&amp;" Q"&amp;ROUNDUP(MONTH(A771)/3,0))</f>
        <v/>
      </c>
      <c r="C771" s="55" t="n"/>
      <c r="D771" s="55" t="n"/>
      <c r="E771" s="55" t="n"/>
      <c r="F771" s="55" t="n"/>
      <c r="G771" s="56" t="n"/>
      <c r="H771" s="57" t="n"/>
      <c r="I771" s="58">
        <f>IF(G771="","",ROUND(G771*H771,2))</f>
        <v/>
      </c>
      <c r="J771" s="58">
        <f>IF(G771="","",G771+N(I771))</f>
        <v/>
      </c>
      <c r="K771" s="53" t="n"/>
      <c r="L771" s="54">
        <f>IF(G771="","",IF(OR(K771="",K771&gt;TODAY()),"Nog betalen","Betaald"))</f>
        <v/>
      </c>
    </row>
    <row r="772">
      <c r="A772" s="53" t="n"/>
      <c r="B772" s="54">
        <f>IF(A772="","",YEAR(A772)&amp;" Q"&amp;ROUNDUP(MONTH(A772)/3,0))</f>
        <v/>
      </c>
      <c r="C772" s="55" t="n"/>
      <c r="D772" s="55" t="n"/>
      <c r="E772" s="55" t="n"/>
      <c r="F772" s="55" t="n"/>
      <c r="G772" s="56" t="n"/>
      <c r="H772" s="57" t="n"/>
      <c r="I772" s="58">
        <f>IF(G772="","",ROUND(G772*H772,2))</f>
        <v/>
      </c>
      <c r="J772" s="58">
        <f>IF(G772="","",G772+N(I772))</f>
        <v/>
      </c>
      <c r="K772" s="53" t="n"/>
      <c r="L772" s="54">
        <f>IF(G772="","",IF(OR(K772="",K772&gt;TODAY()),"Nog betalen","Betaald"))</f>
        <v/>
      </c>
    </row>
    <row r="773">
      <c r="A773" s="53" t="n"/>
      <c r="B773" s="54">
        <f>IF(A773="","",YEAR(A773)&amp;" Q"&amp;ROUNDUP(MONTH(A773)/3,0))</f>
        <v/>
      </c>
      <c r="C773" s="55" t="n"/>
      <c r="D773" s="55" t="n"/>
      <c r="E773" s="55" t="n"/>
      <c r="F773" s="55" t="n"/>
      <c r="G773" s="56" t="n"/>
      <c r="H773" s="57" t="n"/>
      <c r="I773" s="58">
        <f>IF(G773="","",ROUND(G773*H773,2))</f>
        <v/>
      </c>
      <c r="J773" s="58">
        <f>IF(G773="","",G773+N(I773))</f>
        <v/>
      </c>
      <c r="K773" s="53" t="n"/>
      <c r="L773" s="54">
        <f>IF(G773="","",IF(OR(K773="",K773&gt;TODAY()),"Nog betalen","Betaald"))</f>
        <v/>
      </c>
    </row>
    <row r="774">
      <c r="A774" s="53" t="n"/>
      <c r="B774" s="54">
        <f>IF(A774="","",YEAR(A774)&amp;" Q"&amp;ROUNDUP(MONTH(A774)/3,0))</f>
        <v/>
      </c>
      <c r="C774" s="55" t="n"/>
      <c r="D774" s="55" t="n"/>
      <c r="E774" s="55" t="n"/>
      <c r="F774" s="55" t="n"/>
      <c r="G774" s="56" t="n"/>
      <c r="H774" s="57" t="n"/>
      <c r="I774" s="58">
        <f>IF(G774="","",ROUND(G774*H774,2))</f>
        <v/>
      </c>
      <c r="J774" s="58">
        <f>IF(G774="","",G774+N(I774))</f>
        <v/>
      </c>
      <c r="K774" s="53" t="n"/>
      <c r="L774" s="54">
        <f>IF(G774="","",IF(OR(K774="",K774&gt;TODAY()),"Nog betalen","Betaald"))</f>
        <v/>
      </c>
    </row>
    <row r="775">
      <c r="A775" s="53" t="n"/>
      <c r="B775" s="54">
        <f>IF(A775="","",YEAR(A775)&amp;" Q"&amp;ROUNDUP(MONTH(A775)/3,0))</f>
        <v/>
      </c>
      <c r="C775" s="55" t="n"/>
      <c r="D775" s="55" t="n"/>
      <c r="E775" s="55" t="n"/>
      <c r="F775" s="55" t="n"/>
      <c r="G775" s="56" t="n"/>
      <c r="H775" s="57" t="n"/>
      <c r="I775" s="58">
        <f>IF(G775="","",ROUND(G775*H775,2))</f>
        <v/>
      </c>
      <c r="J775" s="58">
        <f>IF(G775="","",G775+N(I775))</f>
        <v/>
      </c>
      <c r="K775" s="53" t="n"/>
      <c r="L775" s="54">
        <f>IF(G775="","",IF(OR(K775="",K775&gt;TODAY()),"Nog betalen","Betaald"))</f>
        <v/>
      </c>
    </row>
    <row r="776">
      <c r="A776" s="53" t="n"/>
      <c r="B776" s="54">
        <f>IF(A776="","",YEAR(A776)&amp;" Q"&amp;ROUNDUP(MONTH(A776)/3,0))</f>
        <v/>
      </c>
      <c r="C776" s="55" t="n"/>
      <c r="D776" s="55" t="n"/>
      <c r="E776" s="55" t="n"/>
      <c r="F776" s="55" t="n"/>
      <c r="G776" s="56" t="n"/>
      <c r="H776" s="57" t="n"/>
      <c r="I776" s="58">
        <f>IF(G776="","",ROUND(G776*H776,2))</f>
        <v/>
      </c>
      <c r="J776" s="58">
        <f>IF(G776="","",G776+N(I776))</f>
        <v/>
      </c>
      <c r="K776" s="53" t="n"/>
      <c r="L776" s="54">
        <f>IF(G776="","",IF(OR(K776="",K776&gt;TODAY()),"Nog betalen","Betaald"))</f>
        <v/>
      </c>
    </row>
    <row r="777">
      <c r="A777" s="53" t="n"/>
      <c r="B777" s="54">
        <f>IF(A777="","",YEAR(A777)&amp;" Q"&amp;ROUNDUP(MONTH(A777)/3,0))</f>
        <v/>
      </c>
      <c r="C777" s="55" t="n"/>
      <c r="D777" s="55" t="n"/>
      <c r="E777" s="55" t="n"/>
      <c r="F777" s="55" t="n"/>
      <c r="G777" s="56" t="n"/>
      <c r="H777" s="57" t="n"/>
      <c r="I777" s="58">
        <f>IF(G777="","",ROUND(G777*H777,2))</f>
        <v/>
      </c>
      <c r="J777" s="58">
        <f>IF(G777="","",G777+N(I777))</f>
        <v/>
      </c>
      <c r="K777" s="53" t="n"/>
      <c r="L777" s="54">
        <f>IF(G777="","",IF(OR(K777="",K777&gt;TODAY()),"Nog betalen","Betaald"))</f>
        <v/>
      </c>
    </row>
    <row r="778">
      <c r="A778" s="53" t="n"/>
      <c r="B778" s="54">
        <f>IF(A778="","",YEAR(A778)&amp;" Q"&amp;ROUNDUP(MONTH(A778)/3,0))</f>
        <v/>
      </c>
      <c r="C778" s="55" t="n"/>
      <c r="D778" s="55" t="n"/>
      <c r="E778" s="55" t="n"/>
      <c r="F778" s="55" t="n"/>
      <c r="G778" s="56" t="n"/>
      <c r="H778" s="57" t="n"/>
      <c r="I778" s="58">
        <f>IF(G778="","",ROUND(G778*H778,2))</f>
        <v/>
      </c>
      <c r="J778" s="58">
        <f>IF(G778="","",G778+N(I778))</f>
        <v/>
      </c>
      <c r="K778" s="53" t="n"/>
      <c r="L778" s="54">
        <f>IF(G778="","",IF(OR(K778="",K778&gt;TODAY()),"Nog betalen","Betaald"))</f>
        <v/>
      </c>
    </row>
    <row r="779">
      <c r="A779" s="53" t="n"/>
      <c r="B779" s="54">
        <f>IF(A779="","",YEAR(A779)&amp;" Q"&amp;ROUNDUP(MONTH(A779)/3,0))</f>
        <v/>
      </c>
      <c r="C779" s="55" t="n"/>
      <c r="D779" s="55" t="n"/>
      <c r="E779" s="55" t="n"/>
      <c r="F779" s="55" t="n"/>
      <c r="G779" s="56" t="n"/>
      <c r="H779" s="57" t="n"/>
      <c r="I779" s="58">
        <f>IF(G779="","",ROUND(G779*H779,2))</f>
        <v/>
      </c>
      <c r="J779" s="58">
        <f>IF(G779="","",G779+N(I779))</f>
        <v/>
      </c>
      <c r="K779" s="53" t="n"/>
      <c r="L779" s="54">
        <f>IF(G779="","",IF(OR(K779="",K779&gt;TODAY()),"Nog betalen","Betaald"))</f>
        <v/>
      </c>
    </row>
    <row r="780">
      <c r="A780" s="53" t="n"/>
      <c r="B780" s="54">
        <f>IF(A780="","",YEAR(A780)&amp;" Q"&amp;ROUNDUP(MONTH(A780)/3,0))</f>
        <v/>
      </c>
      <c r="C780" s="55" t="n"/>
      <c r="D780" s="55" t="n"/>
      <c r="E780" s="55" t="n"/>
      <c r="F780" s="55" t="n"/>
      <c r="G780" s="56" t="n"/>
      <c r="H780" s="57" t="n"/>
      <c r="I780" s="58">
        <f>IF(G780="","",ROUND(G780*H780,2))</f>
        <v/>
      </c>
      <c r="J780" s="58">
        <f>IF(G780="","",G780+N(I780))</f>
        <v/>
      </c>
      <c r="K780" s="53" t="n"/>
      <c r="L780" s="54">
        <f>IF(G780="","",IF(OR(K780="",K780&gt;TODAY()),"Nog betalen","Betaald"))</f>
        <v/>
      </c>
    </row>
    <row r="781">
      <c r="A781" s="53" t="n"/>
      <c r="B781" s="54">
        <f>IF(A781="","",YEAR(A781)&amp;" Q"&amp;ROUNDUP(MONTH(A781)/3,0))</f>
        <v/>
      </c>
      <c r="C781" s="55" t="n"/>
      <c r="D781" s="55" t="n"/>
      <c r="E781" s="55" t="n"/>
      <c r="F781" s="55" t="n"/>
      <c r="G781" s="56" t="n"/>
      <c r="H781" s="57" t="n"/>
      <c r="I781" s="58">
        <f>IF(G781="","",ROUND(G781*H781,2))</f>
        <v/>
      </c>
      <c r="J781" s="58">
        <f>IF(G781="","",G781+N(I781))</f>
        <v/>
      </c>
      <c r="K781" s="53" t="n"/>
      <c r="L781" s="54">
        <f>IF(G781="","",IF(OR(K781="",K781&gt;TODAY()),"Nog betalen","Betaald"))</f>
        <v/>
      </c>
    </row>
    <row r="782">
      <c r="A782" s="53" t="n"/>
      <c r="B782" s="54">
        <f>IF(A782="","",YEAR(A782)&amp;" Q"&amp;ROUNDUP(MONTH(A782)/3,0))</f>
        <v/>
      </c>
      <c r="C782" s="55" t="n"/>
      <c r="D782" s="55" t="n"/>
      <c r="E782" s="55" t="n"/>
      <c r="F782" s="55" t="n"/>
      <c r="G782" s="56" t="n"/>
      <c r="H782" s="57" t="n"/>
      <c r="I782" s="58">
        <f>IF(G782="","",ROUND(G782*H782,2))</f>
        <v/>
      </c>
      <c r="J782" s="58">
        <f>IF(G782="","",G782+N(I782))</f>
        <v/>
      </c>
      <c r="K782" s="53" t="n"/>
      <c r="L782" s="54">
        <f>IF(G782="","",IF(OR(K782="",K782&gt;TODAY()),"Nog betalen","Betaald"))</f>
        <v/>
      </c>
    </row>
    <row r="783">
      <c r="A783" s="53" t="n"/>
      <c r="B783" s="54">
        <f>IF(A783="","",YEAR(A783)&amp;" Q"&amp;ROUNDUP(MONTH(A783)/3,0))</f>
        <v/>
      </c>
      <c r="C783" s="55" t="n"/>
      <c r="D783" s="55" t="n"/>
      <c r="E783" s="55" t="n"/>
      <c r="F783" s="55" t="n"/>
      <c r="G783" s="56" t="n"/>
      <c r="H783" s="57" t="n"/>
      <c r="I783" s="58">
        <f>IF(G783="","",ROUND(G783*H783,2))</f>
        <v/>
      </c>
      <c r="J783" s="58">
        <f>IF(G783="","",G783+N(I783))</f>
        <v/>
      </c>
      <c r="K783" s="53" t="n"/>
      <c r="L783" s="54">
        <f>IF(G783="","",IF(OR(K783="",K783&gt;TODAY()),"Nog betalen","Betaald"))</f>
        <v/>
      </c>
    </row>
    <row r="784">
      <c r="A784" s="53" t="n"/>
      <c r="B784" s="54">
        <f>IF(A784="","",YEAR(A784)&amp;" Q"&amp;ROUNDUP(MONTH(A784)/3,0))</f>
        <v/>
      </c>
      <c r="C784" s="55" t="n"/>
      <c r="D784" s="55" t="n"/>
      <c r="E784" s="55" t="n"/>
      <c r="F784" s="55" t="n"/>
      <c r="G784" s="56" t="n"/>
      <c r="H784" s="57" t="n"/>
      <c r="I784" s="58">
        <f>IF(G784="","",ROUND(G784*H784,2))</f>
        <v/>
      </c>
      <c r="J784" s="58">
        <f>IF(G784="","",G784+N(I784))</f>
        <v/>
      </c>
      <c r="K784" s="53" t="n"/>
      <c r="L784" s="54">
        <f>IF(G784="","",IF(OR(K784="",K784&gt;TODAY()),"Nog betalen","Betaald"))</f>
        <v/>
      </c>
    </row>
    <row r="785">
      <c r="A785" s="53" t="n"/>
      <c r="B785" s="54">
        <f>IF(A785="","",YEAR(A785)&amp;" Q"&amp;ROUNDUP(MONTH(A785)/3,0))</f>
        <v/>
      </c>
      <c r="C785" s="55" t="n"/>
      <c r="D785" s="55" t="n"/>
      <c r="E785" s="55" t="n"/>
      <c r="F785" s="55" t="n"/>
      <c r="G785" s="56" t="n"/>
      <c r="H785" s="57" t="n"/>
      <c r="I785" s="58">
        <f>IF(G785="","",ROUND(G785*H785,2))</f>
        <v/>
      </c>
      <c r="J785" s="58">
        <f>IF(G785="","",G785+N(I785))</f>
        <v/>
      </c>
      <c r="K785" s="53" t="n"/>
      <c r="L785" s="54">
        <f>IF(G785="","",IF(OR(K785="",K785&gt;TODAY()),"Nog betalen","Betaald"))</f>
        <v/>
      </c>
    </row>
    <row r="786">
      <c r="A786" s="53" t="n"/>
      <c r="B786" s="54">
        <f>IF(A786="","",YEAR(A786)&amp;" Q"&amp;ROUNDUP(MONTH(A786)/3,0))</f>
        <v/>
      </c>
      <c r="C786" s="55" t="n"/>
      <c r="D786" s="55" t="n"/>
      <c r="E786" s="55" t="n"/>
      <c r="F786" s="55" t="n"/>
      <c r="G786" s="56" t="n"/>
      <c r="H786" s="57" t="n"/>
      <c r="I786" s="58">
        <f>IF(G786="","",ROUND(G786*H786,2))</f>
        <v/>
      </c>
      <c r="J786" s="58">
        <f>IF(G786="","",G786+N(I786))</f>
        <v/>
      </c>
      <c r="K786" s="53" t="n"/>
      <c r="L786" s="54">
        <f>IF(G786="","",IF(OR(K786="",K786&gt;TODAY()),"Nog betalen","Betaald"))</f>
        <v/>
      </c>
    </row>
    <row r="787">
      <c r="A787" s="53" t="n"/>
      <c r="B787" s="54">
        <f>IF(A787="","",YEAR(A787)&amp;" Q"&amp;ROUNDUP(MONTH(A787)/3,0))</f>
        <v/>
      </c>
      <c r="C787" s="55" t="n"/>
      <c r="D787" s="55" t="n"/>
      <c r="E787" s="55" t="n"/>
      <c r="F787" s="55" t="n"/>
      <c r="G787" s="56" t="n"/>
      <c r="H787" s="57" t="n"/>
      <c r="I787" s="58">
        <f>IF(G787="","",ROUND(G787*H787,2))</f>
        <v/>
      </c>
      <c r="J787" s="58">
        <f>IF(G787="","",G787+N(I787))</f>
        <v/>
      </c>
      <c r="K787" s="53" t="n"/>
      <c r="L787" s="54">
        <f>IF(G787="","",IF(OR(K787="",K787&gt;TODAY()),"Nog betalen","Betaald"))</f>
        <v/>
      </c>
    </row>
    <row r="788">
      <c r="A788" s="53" t="n"/>
      <c r="B788" s="54">
        <f>IF(A788="","",YEAR(A788)&amp;" Q"&amp;ROUNDUP(MONTH(A788)/3,0))</f>
        <v/>
      </c>
      <c r="C788" s="55" t="n"/>
      <c r="D788" s="55" t="n"/>
      <c r="E788" s="55" t="n"/>
      <c r="F788" s="55" t="n"/>
      <c r="G788" s="56" t="n"/>
      <c r="H788" s="57" t="n"/>
      <c r="I788" s="58">
        <f>IF(G788="","",ROUND(G788*H788,2))</f>
        <v/>
      </c>
      <c r="J788" s="58">
        <f>IF(G788="","",G788+N(I788))</f>
        <v/>
      </c>
      <c r="K788" s="53" t="n"/>
      <c r="L788" s="54">
        <f>IF(G788="","",IF(OR(K788="",K788&gt;TODAY()),"Nog betalen","Betaald"))</f>
        <v/>
      </c>
    </row>
    <row r="789">
      <c r="A789" s="53" t="n"/>
      <c r="B789" s="54">
        <f>IF(A789="","",YEAR(A789)&amp;" Q"&amp;ROUNDUP(MONTH(A789)/3,0))</f>
        <v/>
      </c>
      <c r="C789" s="55" t="n"/>
      <c r="D789" s="55" t="n"/>
      <c r="E789" s="55" t="n"/>
      <c r="F789" s="55" t="n"/>
      <c r="G789" s="56" t="n"/>
      <c r="H789" s="57" t="n"/>
      <c r="I789" s="58">
        <f>IF(G789="","",ROUND(G789*H789,2))</f>
        <v/>
      </c>
      <c r="J789" s="58">
        <f>IF(G789="","",G789+N(I789))</f>
        <v/>
      </c>
      <c r="K789" s="53" t="n"/>
      <c r="L789" s="54">
        <f>IF(G789="","",IF(OR(K789="",K789&gt;TODAY()),"Nog betalen","Betaald"))</f>
        <v/>
      </c>
    </row>
    <row r="790">
      <c r="A790" s="53" t="n"/>
      <c r="B790" s="54">
        <f>IF(A790="","",YEAR(A790)&amp;" Q"&amp;ROUNDUP(MONTH(A790)/3,0))</f>
        <v/>
      </c>
      <c r="C790" s="55" t="n"/>
      <c r="D790" s="55" t="n"/>
      <c r="E790" s="55" t="n"/>
      <c r="F790" s="55" t="n"/>
      <c r="G790" s="56" t="n"/>
      <c r="H790" s="57" t="n"/>
      <c r="I790" s="58">
        <f>IF(G790="","",ROUND(G790*H790,2))</f>
        <v/>
      </c>
      <c r="J790" s="58">
        <f>IF(G790="","",G790+N(I790))</f>
        <v/>
      </c>
      <c r="K790" s="53" t="n"/>
      <c r="L790" s="54">
        <f>IF(G790="","",IF(OR(K790="",K790&gt;TODAY()),"Nog betalen","Betaald"))</f>
        <v/>
      </c>
    </row>
    <row r="791">
      <c r="A791" s="53" t="n"/>
      <c r="B791" s="54">
        <f>IF(A791="","",YEAR(A791)&amp;" Q"&amp;ROUNDUP(MONTH(A791)/3,0))</f>
        <v/>
      </c>
      <c r="C791" s="55" t="n"/>
      <c r="D791" s="55" t="n"/>
      <c r="E791" s="55" t="n"/>
      <c r="F791" s="55" t="n"/>
      <c r="G791" s="56" t="n"/>
      <c r="H791" s="57" t="n"/>
      <c r="I791" s="58">
        <f>IF(G791="","",ROUND(G791*H791,2))</f>
        <v/>
      </c>
      <c r="J791" s="58">
        <f>IF(G791="","",G791+N(I791))</f>
        <v/>
      </c>
      <c r="K791" s="53" t="n"/>
      <c r="L791" s="54">
        <f>IF(G791="","",IF(OR(K791="",K791&gt;TODAY()),"Nog betalen","Betaald"))</f>
        <v/>
      </c>
    </row>
    <row r="792">
      <c r="A792" s="53" t="n"/>
      <c r="B792" s="54">
        <f>IF(A792="","",YEAR(A792)&amp;" Q"&amp;ROUNDUP(MONTH(A792)/3,0))</f>
        <v/>
      </c>
      <c r="C792" s="55" t="n"/>
      <c r="D792" s="55" t="n"/>
      <c r="E792" s="55" t="n"/>
      <c r="F792" s="55" t="n"/>
      <c r="G792" s="56" t="n"/>
      <c r="H792" s="57" t="n"/>
      <c r="I792" s="58">
        <f>IF(G792="","",ROUND(G792*H792,2))</f>
        <v/>
      </c>
      <c r="J792" s="58">
        <f>IF(G792="","",G792+N(I792))</f>
        <v/>
      </c>
      <c r="K792" s="53" t="n"/>
      <c r="L792" s="54">
        <f>IF(G792="","",IF(OR(K792="",K792&gt;TODAY()),"Nog betalen","Betaald"))</f>
        <v/>
      </c>
    </row>
    <row r="793">
      <c r="A793" s="53" t="n"/>
      <c r="B793" s="54">
        <f>IF(A793="","",YEAR(A793)&amp;" Q"&amp;ROUNDUP(MONTH(A793)/3,0))</f>
        <v/>
      </c>
      <c r="C793" s="55" t="n"/>
      <c r="D793" s="55" t="n"/>
      <c r="E793" s="55" t="n"/>
      <c r="F793" s="55" t="n"/>
      <c r="G793" s="56" t="n"/>
      <c r="H793" s="57" t="n"/>
      <c r="I793" s="58">
        <f>IF(G793="","",ROUND(G793*H793,2))</f>
        <v/>
      </c>
      <c r="J793" s="58">
        <f>IF(G793="","",G793+N(I793))</f>
        <v/>
      </c>
      <c r="K793" s="53" t="n"/>
      <c r="L793" s="54">
        <f>IF(G793="","",IF(OR(K793="",K793&gt;TODAY()),"Nog betalen","Betaald"))</f>
        <v/>
      </c>
    </row>
    <row r="794">
      <c r="A794" s="53" t="n"/>
      <c r="B794" s="54">
        <f>IF(A794="","",YEAR(A794)&amp;" Q"&amp;ROUNDUP(MONTH(A794)/3,0))</f>
        <v/>
      </c>
      <c r="C794" s="55" t="n"/>
      <c r="D794" s="55" t="n"/>
      <c r="E794" s="55" t="n"/>
      <c r="F794" s="55" t="n"/>
      <c r="G794" s="56" t="n"/>
      <c r="H794" s="57" t="n"/>
      <c r="I794" s="58">
        <f>IF(G794="","",ROUND(G794*H794,2))</f>
        <v/>
      </c>
      <c r="J794" s="58">
        <f>IF(G794="","",G794+N(I794))</f>
        <v/>
      </c>
      <c r="K794" s="53" t="n"/>
      <c r="L794" s="54">
        <f>IF(G794="","",IF(OR(K794="",K794&gt;TODAY()),"Nog betalen","Betaald"))</f>
        <v/>
      </c>
    </row>
    <row r="795">
      <c r="A795" s="53" t="n"/>
      <c r="B795" s="54">
        <f>IF(A795="","",YEAR(A795)&amp;" Q"&amp;ROUNDUP(MONTH(A795)/3,0))</f>
        <v/>
      </c>
      <c r="C795" s="55" t="n"/>
      <c r="D795" s="55" t="n"/>
      <c r="E795" s="55" t="n"/>
      <c r="F795" s="55" t="n"/>
      <c r="G795" s="56" t="n"/>
      <c r="H795" s="57" t="n"/>
      <c r="I795" s="58">
        <f>IF(G795="","",ROUND(G795*H795,2))</f>
        <v/>
      </c>
      <c r="J795" s="58">
        <f>IF(G795="","",G795+N(I795))</f>
        <v/>
      </c>
      <c r="K795" s="53" t="n"/>
      <c r="L795" s="54">
        <f>IF(G795="","",IF(OR(K795="",K795&gt;TODAY()),"Nog betalen","Betaald"))</f>
        <v/>
      </c>
    </row>
    <row r="796">
      <c r="A796" s="53" t="n"/>
      <c r="B796" s="54">
        <f>IF(A796="","",YEAR(A796)&amp;" Q"&amp;ROUNDUP(MONTH(A796)/3,0))</f>
        <v/>
      </c>
      <c r="C796" s="55" t="n"/>
      <c r="D796" s="55" t="n"/>
      <c r="E796" s="55" t="n"/>
      <c r="F796" s="55" t="n"/>
      <c r="G796" s="56" t="n"/>
      <c r="H796" s="57" t="n"/>
      <c r="I796" s="58">
        <f>IF(G796="","",ROUND(G796*H796,2))</f>
        <v/>
      </c>
      <c r="J796" s="58">
        <f>IF(G796="","",G796+N(I796))</f>
        <v/>
      </c>
      <c r="K796" s="53" t="n"/>
      <c r="L796" s="54">
        <f>IF(G796="","",IF(OR(K796="",K796&gt;TODAY()),"Nog betalen","Betaald"))</f>
        <v/>
      </c>
    </row>
    <row r="797">
      <c r="A797" s="53" t="n"/>
      <c r="B797" s="54">
        <f>IF(A797="","",YEAR(A797)&amp;" Q"&amp;ROUNDUP(MONTH(A797)/3,0))</f>
        <v/>
      </c>
      <c r="C797" s="55" t="n"/>
      <c r="D797" s="55" t="n"/>
      <c r="E797" s="55" t="n"/>
      <c r="F797" s="55" t="n"/>
      <c r="G797" s="56" t="n"/>
      <c r="H797" s="57" t="n"/>
      <c r="I797" s="58">
        <f>IF(G797="","",ROUND(G797*H797,2))</f>
        <v/>
      </c>
      <c r="J797" s="58">
        <f>IF(G797="","",G797+N(I797))</f>
        <v/>
      </c>
      <c r="K797" s="53" t="n"/>
      <c r="L797" s="54">
        <f>IF(G797="","",IF(OR(K797="",K797&gt;TODAY()),"Nog betalen","Betaald"))</f>
        <v/>
      </c>
    </row>
    <row r="798">
      <c r="A798" s="53" t="n"/>
      <c r="B798" s="54">
        <f>IF(A798="","",YEAR(A798)&amp;" Q"&amp;ROUNDUP(MONTH(A798)/3,0))</f>
        <v/>
      </c>
      <c r="C798" s="55" t="n"/>
      <c r="D798" s="55" t="n"/>
      <c r="E798" s="55" t="n"/>
      <c r="F798" s="55" t="n"/>
      <c r="G798" s="56" t="n"/>
      <c r="H798" s="57" t="n"/>
      <c r="I798" s="58">
        <f>IF(G798="","",ROUND(G798*H798,2))</f>
        <v/>
      </c>
      <c r="J798" s="58">
        <f>IF(G798="","",G798+N(I798))</f>
        <v/>
      </c>
      <c r="K798" s="53" t="n"/>
      <c r="L798" s="54">
        <f>IF(G798="","",IF(OR(K798="",K798&gt;TODAY()),"Nog betalen","Betaald"))</f>
        <v/>
      </c>
    </row>
    <row r="799">
      <c r="A799" s="53" t="n"/>
      <c r="B799" s="54">
        <f>IF(A799="","",YEAR(A799)&amp;" Q"&amp;ROUNDUP(MONTH(A799)/3,0))</f>
        <v/>
      </c>
      <c r="C799" s="55" t="n"/>
      <c r="D799" s="55" t="n"/>
      <c r="E799" s="55" t="n"/>
      <c r="F799" s="55" t="n"/>
      <c r="G799" s="56" t="n"/>
      <c r="H799" s="57" t="n"/>
      <c r="I799" s="58">
        <f>IF(G799="","",ROUND(G799*H799,2))</f>
        <v/>
      </c>
      <c r="J799" s="58">
        <f>IF(G799="","",G799+N(I799))</f>
        <v/>
      </c>
      <c r="K799" s="53" t="n"/>
      <c r="L799" s="54">
        <f>IF(G799="","",IF(OR(K799="",K799&gt;TODAY()),"Nog betalen","Betaald"))</f>
        <v/>
      </c>
    </row>
    <row r="800">
      <c r="A800" s="53" t="n"/>
      <c r="B800" s="54">
        <f>IF(A800="","",YEAR(A800)&amp;" Q"&amp;ROUNDUP(MONTH(A800)/3,0))</f>
        <v/>
      </c>
      <c r="C800" s="55" t="n"/>
      <c r="D800" s="55" t="n"/>
      <c r="E800" s="55" t="n"/>
      <c r="F800" s="55" t="n"/>
      <c r="G800" s="56" t="n"/>
      <c r="H800" s="57" t="n"/>
      <c r="I800" s="58">
        <f>IF(G800="","",ROUND(G800*H800,2))</f>
        <v/>
      </c>
      <c r="J800" s="58">
        <f>IF(G800="","",G800+N(I800))</f>
        <v/>
      </c>
      <c r="K800" s="53" t="n"/>
      <c r="L800" s="54">
        <f>IF(G800="","",IF(OR(K800="",K800&gt;TODAY()),"Nog betalen","Betaald"))</f>
        <v/>
      </c>
    </row>
    <row r="801">
      <c r="A801" s="53" t="n"/>
      <c r="B801" s="54">
        <f>IF(A801="","",YEAR(A801)&amp;" Q"&amp;ROUNDUP(MONTH(A801)/3,0))</f>
        <v/>
      </c>
      <c r="C801" s="55" t="n"/>
      <c r="D801" s="55" t="n"/>
      <c r="E801" s="55" t="n"/>
      <c r="F801" s="55" t="n"/>
      <c r="G801" s="56" t="n"/>
      <c r="H801" s="57" t="n"/>
      <c r="I801" s="58">
        <f>IF(G801="","",ROUND(G801*H801,2))</f>
        <v/>
      </c>
      <c r="J801" s="58">
        <f>IF(G801="","",G801+N(I801))</f>
        <v/>
      </c>
      <c r="K801" s="53" t="n"/>
      <c r="L801" s="54">
        <f>IF(G801="","",IF(OR(K801="",K801&gt;TODAY()),"Nog betalen","Betaald"))</f>
        <v/>
      </c>
    </row>
    <row r="802">
      <c r="A802" s="53" t="n"/>
      <c r="B802" s="54">
        <f>IF(A802="","",YEAR(A802)&amp;" Q"&amp;ROUNDUP(MONTH(A802)/3,0))</f>
        <v/>
      </c>
      <c r="C802" s="55" t="n"/>
      <c r="D802" s="55" t="n"/>
      <c r="E802" s="55" t="n"/>
      <c r="F802" s="55" t="n"/>
      <c r="G802" s="56" t="n"/>
      <c r="H802" s="57" t="n"/>
      <c r="I802" s="58">
        <f>IF(G802="","",ROUND(G802*H802,2))</f>
        <v/>
      </c>
      <c r="J802" s="58">
        <f>IF(G802="","",G802+N(I802))</f>
        <v/>
      </c>
      <c r="K802" s="53" t="n"/>
      <c r="L802" s="54">
        <f>IF(G802="","",IF(OR(K802="",K802&gt;TODAY()),"Nog betalen","Betaald"))</f>
        <v/>
      </c>
    </row>
    <row r="803">
      <c r="A803" s="53" t="n"/>
      <c r="B803" s="54">
        <f>IF(A803="","",YEAR(A803)&amp;" Q"&amp;ROUNDUP(MONTH(A803)/3,0))</f>
        <v/>
      </c>
      <c r="C803" s="55" t="n"/>
      <c r="D803" s="55" t="n"/>
      <c r="E803" s="55" t="n"/>
      <c r="F803" s="55" t="n"/>
      <c r="G803" s="56" t="n"/>
      <c r="H803" s="57" t="n"/>
      <c r="I803" s="58">
        <f>IF(G803="","",ROUND(G803*H803,2))</f>
        <v/>
      </c>
      <c r="J803" s="58">
        <f>IF(G803="","",G803+N(I803))</f>
        <v/>
      </c>
      <c r="K803" s="53" t="n"/>
      <c r="L803" s="54">
        <f>IF(G803="","",IF(OR(K803="",K803&gt;TODAY()),"Nog betalen","Betaald"))</f>
        <v/>
      </c>
    </row>
    <row r="804">
      <c r="A804" s="53" t="n"/>
      <c r="B804" s="54">
        <f>IF(A804="","",YEAR(A804)&amp;" Q"&amp;ROUNDUP(MONTH(A804)/3,0))</f>
        <v/>
      </c>
      <c r="C804" s="55" t="n"/>
      <c r="D804" s="55" t="n"/>
      <c r="E804" s="55" t="n"/>
      <c r="F804" s="55" t="n"/>
      <c r="G804" s="56" t="n"/>
      <c r="H804" s="57" t="n"/>
      <c r="I804" s="58">
        <f>IF(G804="","",ROUND(G804*H804,2))</f>
        <v/>
      </c>
      <c r="J804" s="58">
        <f>IF(G804="","",G804+N(I804))</f>
        <v/>
      </c>
      <c r="K804" s="53" t="n"/>
      <c r="L804" s="54">
        <f>IF(G804="","",IF(OR(K804="",K804&gt;TODAY()),"Nog betalen","Betaald"))</f>
        <v/>
      </c>
    </row>
    <row r="805">
      <c r="A805" s="53" t="n"/>
      <c r="B805" s="54">
        <f>IF(A805="","",YEAR(A805)&amp;" Q"&amp;ROUNDUP(MONTH(A805)/3,0))</f>
        <v/>
      </c>
      <c r="C805" s="55" t="n"/>
      <c r="D805" s="55" t="n"/>
      <c r="E805" s="55" t="n"/>
      <c r="F805" s="55" t="n"/>
      <c r="G805" s="56" t="n"/>
      <c r="H805" s="57" t="n"/>
      <c r="I805" s="58">
        <f>IF(G805="","",ROUND(G805*H805,2))</f>
        <v/>
      </c>
      <c r="J805" s="58">
        <f>IF(G805="","",G805+N(I805))</f>
        <v/>
      </c>
      <c r="K805" s="53" t="n"/>
      <c r="L805" s="54">
        <f>IF(G805="","",IF(OR(K805="",K805&gt;TODAY()),"Nog betalen","Betaald"))</f>
        <v/>
      </c>
    </row>
  </sheetData>
  <mergeCells count="1">
    <mergeCell ref="A4:L4"/>
  </mergeCells>
  <conditionalFormatting sqref="L6:L805">
    <cfRule type="cellIs" priority="1" operator="equal" dxfId="1">
      <formula>"Betaald"</formula>
    </cfRule>
    <cfRule type="cellIs" priority="2" operator="equal" dxfId="3">
      <formula>"Nog betalen"</formula>
    </cfRule>
  </conditionalFormatting>
  <dataValidations count="3">
    <dataValidation sqref="E6:E805" showDropDown="0" showInputMessage="0" showErrorMessage="0" allowBlank="1" type="list">
      <formula1>Lijsten!$A$2:$A$13</formula1>
    </dataValidation>
    <dataValidation sqref="H6:H805" showDropDown="0" showInputMessage="0" showErrorMessage="0" allowBlank="1" error="Typ een percentage, bv. 21%" promptTitle="Btw-percentage" prompt="Typ 21%, 9% of 0%" type="decimal" operator="between">
      <formula1>0</formula1>
      <formula2>1</formula2>
    </dataValidation>
    <dataValidation sqref="A6:A805 K6:K805" showDropDown="0" showInputMessage="0" showErrorMessage="0" allowBlank="1" errorTitle="Geen datum" error="Typ een datum, bv. 15-10-2026" type="date" operator="greaterThan">
      <formula1>36526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59" t="inlineStr">
        <is>
          <t>Soorten kosten</t>
        </is>
      </c>
    </row>
    <row r="2">
      <c r="A2" s="60" t="inlineStr">
        <is>
          <t>Huur &amp; kantoor</t>
        </is>
      </c>
    </row>
    <row r="3">
      <c r="A3" s="60" t="inlineStr">
        <is>
          <t>Software &amp; abonnementen</t>
        </is>
      </c>
    </row>
    <row r="4">
      <c r="A4" s="60" t="inlineStr">
        <is>
          <t>Auto &amp; reizen</t>
        </is>
      </c>
    </row>
    <row r="5">
      <c r="A5" s="60" t="inlineStr">
        <is>
          <t>Verzekeringen</t>
        </is>
      </c>
    </row>
    <row r="6">
      <c r="A6" s="60" t="inlineStr">
        <is>
          <t>Marketing &amp; werving</t>
        </is>
      </c>
    </row>
    <row r="7">
      <c r="A7" s="60" t="inlineStr">
        <is>
          <t>Advies, boekhouder &amp; juridisch</t>
        </is>
      </c>
    </row>
    <row r="8">
      <c r="A8" s="60" t="inlineStr">
        <is>
          <t>Bank &amp; rente</t>
        </is>
      </c>
    </row>
    <row r="9">
      <c r="A9" s="60" t="inlineStr">
        <is>
          <t>Opleiding &amp; certificering</t>
        </is>
      </c>
    </row>
    <row r="10">
      <c r="A10" s="60" t="inlineStr">
        <is>
          <t>Belastingen</t>
        </is>
      </c>
    </row>
    <row r="11">
      <c r="A11" s="60" t="inlineStr">
        <is>
          <t>Personeel</t>
        </is>
      </c>
    </row>
    <row r="12">
      <c r="A12" s="60" t="inlineStr">
        <is>
          <t>Declaraties</t>
        </is>
      </c>
    </row>
    <row r="13">
      <c r="A13" s="60" t="inlineStr">
        <is>
          <t>Overig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2026-10-06T09:35:24Z</dcterms:created>
  <dcterms:modified xsi:type="dcterms:W3CDTF">2026-10-06T09:35:27Z</dcterms:modified>
</cp:coreProperties>
</file>